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G:\Other computers\My Laptop W11\working_folder\Personales\Upright\Data_Science\Instructor_material\inst-dab-sep-26\wk4\"/>
    </mc:Choice>
  </mc:AlternateContent>
  <xr:revisionPtr revIDLastSave="0" documentId="13_ncr:1_{9810F1DA-8C1F-47B3-BA66-4762C595057B}" xr6:coauthVersionLast="47" xr6:coauthVersionMax="47" xr10:uidLastSave="{00000000-0000-0000-0000-000000000000}"/>
  <bookViews>
    <workbookView xWindow="-108" yWindow="-108" windowWidth="23256" windowHeight="12456" activeTab="4" xr2:uid="{346724B3-1C49-40AE-AA36-C77CF5D6DD09}"/>
  </bookViews>
  <sheets>
    <sheet name="Pivots" sheetId="7" r:id="rId1"/>
    <sheet name="Sheet1" sheetId="8" r:id="rId2"/>
    <sheet name="Data" sheetId="1" r:id="rId3"/>
    <sheet name="Questions &amp; KPIs" sheetId="2" r:id="rId4"/>
    <sheet name="Dashboard" sheetId="5" r:id="rId5"/>
    <sheet name="Logo &amp; Colors" sheetId="4" r:id="rId6"/>
  </sheets>
  <definedNames>
    <definedName name="_xlchart.v5.0" hidden="1">Pivots!$O$36:$P$36</definedName>
    <definedName name="_xlchart.v5.1" hidden="1">Pivots!$O$37:$P$94</definedName>
    <definedName name="_xlchart.v5.10" hidden="1">Pivots!$U$36</definedName>
    <definedName name="_xlchart.v5.11" hidden="1">Pivots!$U$37:$U$94</definedName>
    <definedName name="_xlchart.v5.2" hidden="1">Pivots!$Q$36</definedName>
    <definedName name="_xlchart.v5.3" hidden="1">Pivots!$Q$37:$Q$94</definedName>
    <definedName name="_xlchart.v5.4" hidden="1">Pivots!$O$36:$P$36</definedName>
    <definedName name="_xlchart.v5.5" hidden="1">Pivots!$O$37:$P$94</definedName>
    <definedName name="_xlchart.v5.6" hidden="1">Pivots!$Q$36</definedName>
    <definedName name="_xlchart.v5.7" hidden="1">Pivots!$Q$37:$Q$94</definedName>
    <definedName name="_xlchart.v5.8" hidden="1">Pivots!$S$36:$T$36</definedName>
    <definedName name="_xlchart.v5.9" hidden="1">Pivots!$S$37:$T$94</definedName>
    <definedName name="Slicer_Gender_Value">#N/A</definedName>
    <definedName name="Slicer_Order_Mode">#N/A</definedName>
  </definedNames>
  <calcPr calcId="191029"/>
  <pivotCaches>
    <pivotCache cacheId="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8" i="7" l="1"/>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37" i="7"/>
  <c r="O37" i="7"/>
  <c r="S37" i="7" s="1"/>
  <c r="P37" i="7"/>
  <c r="T37" i="7" s="1"/>
  <c r="Q37" i="7"/>
  <c r="O38" i="7"/>
  <c r="S38" i="7" s="1"/>
  <c r="P38" i="7"/>
  <c r="T38" i="7" s="1"/>
  <c r="Q38" i="7"/>
  <c r="O39" i="7"/>
  <c r="S39" i="7" s="1"/>
  <c r="P39" i="7"/>
  <c r="T39" i="7" s="1"/>
  <c r="Q39" i="7"/>
  <c r="O40" i="7"/>
  <c r="S40" i="7" s="1"/>
  <c r="P40" i="7"/>
  <c r="T40" i="7" s="1"/>
  <c r="Q40" i="7"/>
  <c r="O41" i="7"/>
  <c r="S41" i="7" s="1"/>
  <c r="P41" i="7"/>
  <c r="T41" i="7" s="1"/>
  <c r="Q41" i="7"/>
  <c r="O42" i="7"/>
  <c r="S42" i="7" s="1"/>
  <c r="P42" i="7"/>
  <c r="T42" i="7" s="1"/>
  <c r="Q42" i="7"/>
  <c r="O43" i="7"/>
  <c r="S43" i="7" s="1"/>
  <c r="P43" i="7"/>
  <c r="T43" i="7" s="1"/>
  <c r="Q43" i="7"/>
  <c r="O44" i="7"/>
  <c r="S44" i="7" s="1"/>
  <c r="P44" i="7"/>
  <c r="T44" i="7" s="1"/>
  <c r="Q44" i="7"/>
  <c r="O45" i="7"/>
  <c r="S45" i="7" s="1"/>
  <c r="P45" i="7"/>
  <c r="T45" i="7" s="1"/>
  <c r="Q45" i="7"/>
  <c r="O46" i="7"/>
  <c r="S46" i="7" s="1"/>
  <c r="P46" i="7"/>
  <c r="T46" i="7" s="1"/>
  <c r="Q46" i="7"/>
  <c r="O47" i="7"/>
  <c r="S47" i="7" s="1"/>
  <c r="P47" i="7"/>
  <c r="T47" i="7" s="1"/>
  <c r="Q47" i="7"/>
  <c r="O48" i="7"/>
  <c r="S48" i="7" s="1"/>
  <c r="P48" i="7"/>
  <c r="T48" i="7" s="1"/>
  <c r="Q48" i="7"/>
  <c r="O49" i="7"/>
  <c r="S49" i="7" s="1"/>
  <c r="P49" i="7"/>
  <c r="T49" i="7" s="1"/>
  <c r="Q49" i="7"/>
  <c r="O50" i="7"/>
  <c r="S50" i="7" s="1"/>
  <c r="P50" i="7"/>
  <c r="T50" i="7" s="1"/>
  <c r="Q50" i="7"/>
  <c r="O51" i="7"/>
  <c r="S51" i="7" s="1"/>
  <c r="P51" i="7"/>
  <c r="T51" i="7" s="1"/>
  <c r="Q51" i="7"/>
  <c r="O52" i="7"/>
  <c r="S52" i="7" s="1"/>
  <c r="P52" i="7"/>
  <c r="T52" i="7" s="1"/>
  <c r="Q52" i="7"/>
  <c r="O53" i="7"/>
  <c r="S53" i="7" s="1"/>
  <c r="P53" i="7"/>
  <c r="T53" i="7" s="1"/>
  <c r="Q53" i="7"/>
  <c r="O54" i="7"/>
  <c r="S54" i="7" s="1"/>
  <c r="P54" i="7"/>
  <c r="T54" i="7" s="1"/>
  <c r="Q54" i="7"/>
  <c r="O55" i="7"/>
  <c r="S55" i="7" s="1"/>
  <c r="P55" i="7"/>
  <c r="T55" i="7" s="1"/>
  <c r="Q55" i="7"/>
  <c r="O56" i="7"/>
  <c r="S56" i="7" s="1"/>
  <c r="P56" i="7"/>
  <c r="T56" i="7" s="1"/>
  <c r="Q56" i="7"/>
  <c r="O57" i="7"/>
  <c r="S57" i="7" s="1"/>
  <c r="P57" i="7"/>
  <c r="T57" i="7" s="1"/>
  <c r="Q57" i="7"/>
  <c r="O58" i="7"/>
  <c r="S58" i="7" s="1"/>
  <c r="P58" i="7"/>
  <c r="T58" i="7" s="1"/>
  <c r="Q58" i="7"/>
  <c r="O59" i="7"/>
  <c r="S59" i="7" s="1"/>
  <c r="P59" i="7"/>
  <c r="T59" i="7" s="1"/>
  <c r="Q59" i="7"/>
  <c r="O60" i="7"/>
  <c r="S60" i="7" s="1"/>
  <c r="P60" i="7"/>
  <c r="T60" i="7" s="1"/>
  <c r="Q60" i="7"/>
  <c r="O61" i="7"/>
  <c r="S61" i="7" s="1"/>
  <c r="P61" i="7"/>
  <c r="T61" i="7" s="1"/>
  <c r="Q61" i="7"/>
  <c r="O62" i="7"/>
  <c r="S62" i="7" s="1"/>
  <c r="P62" i="7"/>
  <c r="T62" i="7" s="1"/>
  <c r="Q62" i="7"/>
  <c r="O63" i="7"/>
  <c r="S63" i="7" s="1"/>
  <c r="P63" i="7"/>
  <c r="T63" i="7" s="1"/>
  <c r="Q63" i="7"/>
  <c r="O64" i="7"/>
  <c r="S64" i="7" s="1"/>
  <c r="P64" i="7"/>
  <c r="T64" i="7" s="1"/>
  <c r="Q64" i="7"/>
  <c r="O65" i="7"/>
  <c r="S65" i="7" s="1"/>
  <c r="P65" i="7"/>
  <c r="T65" i="7" s="1"/>
  <c r="Q65" i="7"/>
  <c r="O66" i="7"/>
  <c r="S66" i="7" s="1"/>
  <c r="P66" i="7"/>
  <c r="T66" i="7" s="1"/>
  <c r="Q66" i="7"/>
  <c r="O67" i="7"/>
  <c r="S67" i="7" s="1"/>
  <c r="P67" i="7"/>
  <c r="T67" i="7" s="1"/>
  <c r="Q67" i="7"/>
  <c r="O68" i="7"/>
  <c r="S68" i="7" s="1"/>
  <c r="P68" i="7"/>
  <c r="T68" i="7" s="1"/>
  <c r="Q68" i="7"/>
  <c r="O69" i="7"/>
  <c r="S69" i="7" s="1"/>
  <c r="P69" i="7"/>
  <c r="T69" i="7" s="1"/>
  <c r="Q69" i="7"/>
  <c r="O70" i="7"/>
  <c r="S70" i="7" s="1"/>
  <c r="P70" i="7"/>
  <c r="T70" i="7" s="1"/>
  <c r="Q70" i="7"/>
  <c r="O71" i="7"/>
  <c r="S71" i="7" s="1"/>
  <c r="P71" i="7"/>
  <c r="T71" i="7" s="1"/>
  <c r="Q71" i="7"/>
  <c r="O72" i="7"/>
  <c r="S72" i="7" s="1"/>
  <c r="P72" i="7"/>
  <c r="T72" i="7" s="1"/>
  <c r="Q72" i="7"/>
  <c r="O73" i="7"/>
  <c r="S73" i="7" s="1"/>
  <c r="P73" i="7"/>
  <c r="T73" i="7" s="1"/>
  <c r="Q73" i="7"/>
  <c r="O74" i="7"/>
  <c r="S74" i="7" s="1"/>
  <c r="P74" i="7"/>
  <c r="T74" i="7" s="1"/>
  <c r="Q74" i="7"/>
  <c r="O75" i="7"/>
  <c r="S75" i="7" s="1"/>
  <c r="P75" i="7"/>
  <c r="T75" i="7" s="1"/>
  <c r="Q75" i="7"/>
  <c r="O76" i="7"/>
  <c r="S76" i="7" s="1"/>
  <c r="P76" i="7"/>
  <c r="T76" i="7" s="1"/>
  <c r="Q76" i="7"/>
  <c r="O77" i="7"/>
  <c r="S77" i="7" s="1"/>
  <c r="P77" i="7"/>
  <c r="T77" i="7" s="1"/>
  <c r="Q77" i="7"/>
  <c r="O78" i="7"/>
  <c r="S78" i="7" s="1"/>
  <c r="P78" i="7"/>
  <c r="T78" i="7" s="1"/>
  <c r="Q78" i="7"/>
  <c r="O79" i="7"/>
  <c r="S79" i="7" s="1"/>
  <c r="P79" i="7"/>
  <c r="T79" i="7" s="1"/>
  <c r="Q79" i="7"/>
  <c r="O80" i="7"/>
  <c r="S80" i="7" s="1"/>
  <c r="P80" i="7"/>
  <c r="T80" i="7" s="1"/>
  <c r="Q80" i="7"/>
  <c r="O81" i="7"/>
  <c r="S81" i="7" s="1"/>
  <c r="P81" i="7"/>
  <c r="T81" i="7" s="1"/>
  <c r="Q81" i="7"/>
  <c r="O82" i="7"/>
  <c r="S82" i="7" s="1"/>
  <c r="P82" i="7"/>
  <c r="T82" i="7" s="1"/>
  <c r="Q82" i="7"/>
  <c r="O83" i="7"/>
  <c r="S83" i="7" s="1"/>
  <c r="P83" i="7"/>
  <c r="T83" i="7" s="1"/>
  <c r="Q83" i="7"/>
  <c r="O84" i="7"/>
  <c r="S84" i="7" s="1"/>
  <c r="P84" i="7"/>
  <c r="T84" i="7" s="1"/>
  <c r="Q84" i="7"/>
  <c r="O85" i="7"/>
  <c r="S85" i="7" s="1"/>
  <c r="P85" i="7"/>
  <c r="T85" i="7" s="1"/>
  <c r="Q85" i="7"/>
  <c r="O86" i="7"/>
  <c r="S86" i="7" s="1"/>
  <c r="P86" i="7"/>
  <c r="T86" i="7" s="1"/>
  <c r="Q86" i="7"/>
  <c r="O87" i="7"/>
  <c r="S87" i="7" s="1"/>
  <c r="P87" i="7"/>
  <c r="T87" i="7" s="1"/>
  <c r="Q87" i="7"/>
  <c r="O88" i="7"/>
  <c r="S88" i="7" s="1"/>
  <c r="P88" i="7"/>
  <c r="T88" i="7" s="1"/>
  <c r="Q88" i="7"/>
  <c r="O89" i="7"/>
  <c r="S89" i="7" s="1"/>
  <c r="P89" i="7"/>
  <c r="T89" i="7" s="1"/>
  <c r="Q89" i="7"/>
  <c r="O90" i="7"/>
  <c r="S90" i="7" s="1"/>
  <c r="P90" i="7"/>
  <c r="T90" i="7" s="1"/>
  <c r="Q90" i="7"/>
  <c r="O91" i="7"/>
  <c r="S91" i="7" s="1"/>
  <c r="P91" i="7"/>
  <c r="T91" i="7" s="1"/>
  <c r="Q91" i="7"/>
  <c r="O92" i="7"/>
  <c r="S92" i="7" s="1"/>
  <c r="P92" i="7"/>
  <c r="T92" i="7" s="1"/>
  <c r="Q92" i="7"/>
  <c r="O93" i="7"/>
  <c r="S93" i="7" s="1"/>
  <c r="P93" i="7"/>
  <c r="T93" i="7" s="1"/>
  <c r="Q93" i="7"/>
  <c r="O94" i="7"/>
  <c r="S94" i="7" s="1"/>
  <c r="P94" i="7"/>
  <c r="T94" i="7" s="1"/>
  <c r="Q94" i="7"/>
  <c r="P36" i="7"/>
  <c r="T36" i="7" s="1"/>
  <c r="O36" i="7"/>
  <c r="S36" i="7" s="1"/>
  <c r="J4" i="8"/>
  <c r="K4" i="8"/>
  <c r="L4" i="8"/>
  <c r="I4" i="8"/>
  <c r="I5" i="8"/>
  <c r="J5" i="8"/>
  <c r="K5" i="8"/>
  <c r="L5" i="8"/>
  <c r="I6" i="8"/>
  <c r="J6" i="8"/>
  <c r="K6" i="8"/>
  <c r="L6" i="8"/>
  <c r="I7" i="8"/>
  <c r="J7" i="8"/>
  <c r="K7" i="8"/>
  <c r="L7" i="8"/>
  <c r="I8" i="8"/>
  <c r="J8" i="8"/>
  <c r="K8" i="8"/>
  <c r="L8" i="8"/>
  <c r="I9" i="8"/>
  <c r="J9" i="8"/>
  <c r="K9" i="8"/>
  <c r="L9" i="8"/>
  <c r="H6" i="8"/>
  <c r="H7" i="8"/>
  <c r="H8" i="8"/>
  <c r="H9" i="8"/>
  <c r="H5" i="8"/>
  <c r="K4" i="7"/>
  <c r="J4" i="7"/>
  <c r="H4" i="7"/>
  <c r="I4" i="7"/>
  <c r="G4" i="7"/>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 r="I5"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<sst xmlns="http://schemas.openxmlformats.org/spreadsheetml/2006/main" count="14662" uniqueCount="2571">
  <si>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</si>
  <si>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</si>
  <si>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</si>
  <si>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</si>
  <si>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</si>
  <si>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</si>
  <si>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</si>
  <si>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</si>
  <si>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</si>
  <si>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</si>
  <si>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</si>
  <si>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</si>
  <si>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</si>
  <si>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</si>
  <si>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</si>
  <si>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</si>
  <si>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</si>
  <si>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</si>
  <si>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</si>
  <si>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</si>
  <si>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</si>
  <si>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</si>
  <si>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</si>
  <si>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</si>
  <si>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</si>
  <si>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</si>
  <si>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</si>
  <si>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</si>
  <si>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</si>
  <si>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</si>
  <si>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</si>
  <si>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</si>
  <si>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</si>
  <si>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</si>
  <si>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</si>
  <si>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</si>
  <si>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</si>
  <si>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</si>
  <si>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</si>
  <si>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</si>
  <si>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</si>
  <si>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</si>
  <si>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</si>
  <si>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</si>
  <si>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</si>
  <si>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</si>
  <si>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</si>
  <si>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</si>
  <si>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</si>
  <si>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</si>
  <si>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</si>
  <si>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</si>
  <si>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</si>
  <si>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</si>
  <si>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</si>
  <si>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</si>
  <si>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</si>
  <si>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</si>
  <si>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</si>
  <si>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</si>
  <si>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</si>
  <si>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</si>
  <si>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</si>
  <si>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</si>
  <si>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</si>
  <si>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</si>
  <si>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</si>
  <si>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</si>
  <si>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</si>
  <si>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</si>
  <si>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</si>
  <si>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</si>
  <si>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</si>
  <si>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</si>
  <si>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</si>
  <si>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</si>
  <si>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</si>
  <si>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</si>
  <si>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</si>
  <si>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</si>
  <si>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</si>
  <si>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</si>
  <si>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</si>
  <si>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</si>
  <si>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</si>
  <si>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</si>
  <si>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</si>
  <si>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</si>
  <si>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</si>
  <si>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</si>
  <si>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</si>
  <si>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</si>
  <si>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</si>
  <si>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</si>
  <si>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</si>
  <si>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</si>
  <si>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</si>
  <si>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</si>
  <si>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</si>
  <si>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</si>
  <si>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</si>
  <si>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</si>
  <si>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</si>
  <si>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</si>
  <si>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</si>
  <si>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</si>
  <si>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</si>
  <si>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</si>
  <si>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</si>
  <si>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</si>
  <si>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</si>
  <si>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</si>
  <si>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</si>
  <si>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</si>
  <si>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</si>
  <si>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</si>
  <si>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</si>
  <si>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</si>
  <si>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</si>
  <si>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</si>
  <si>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</si>
  <si>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</si>
  <si>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</si>
  <si>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</si>
  <si>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</si>
  <si>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</si>
  <si>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</si>
  <si>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</si>
  <si>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</si>
  <si>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</si>
  <si>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</si>
  <si>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</si>
  <si>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</si>
  <si>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</si>
  <si>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</si>
  <si>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</si>
  <si>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</si>
  <si>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</si>
  <si>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</si>
  <si>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</si>
  <si>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</si>
  <si>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</si>
  <si>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</si>
  <si>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</si>
  <si>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</si>
  <si>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</si>
  <si>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</si>
  <si>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</si>
  <si>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</si>
  <si>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</si>
  <si>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</si>
  <si>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</si>
  <si>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</si>
  <si>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</si>
  <si>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</si>
  <si>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</si>
  <si>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</si>
  <si>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</si>
  <si>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</si>
  <si>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</si>
  <si>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</si>
  <si>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</si>
  <si>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</si>
  <si>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</si>
  <si>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</si>
  <si>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</si>
  <si>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</si>
  <si>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</si>
  <si>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</si>
  <si>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</si>
  <si>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</si>
  <si>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</si>
  <si>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</si>
  <si>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</si>
  <si>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</si>
  <si>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</si>
  <si>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</si>
  <si>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</si>
  <si>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</si>
  <si>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</si>
  <si>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</si>
  <si>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</si>
  <si>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</si>
  <si>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</si>
  <si>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</si>
  <si>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</si>
  <si>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</si>
  <si>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</si>
  <si>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</si>
  <si>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</si>
  <si>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</si>
  <si>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</si>
  <si>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</si>
  <si>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</si>
  <si>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</si>
  <si>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</si>
  <si>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</si>
  <si>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</si>
  <si>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</si>
  <si>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</si>
  <si>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</si>
  <si>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</si>
  <si>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</si>
  <si>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</si>
  <si>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</si>
  <si>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</si>
  <si>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</si>
  <si>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</si>
  <si>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</si>
  <si>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</si>
  <si>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</si>
  <si>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</si>
  <si>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</si>
  <si>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</si>
  <si>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</si>
  <si>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</si>
  <si>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</si>
  <si>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</si>
  <si>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</si>
  <si>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</si>
  <si>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</si>
  <si>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</si>
  <si>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</si>
  <si>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</si>
  <si>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</si>
  <si>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</si>
  <si>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</si>
  <si>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</si>
  <si>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</si>
  <si>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</si>
  <si>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</si>
  <si>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</si>
  <si>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</si>
  <si>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</si>
  <si>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</si>
  <si>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</si>
  <si>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</si>
  <si>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</si>
  <si>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</si>
  <si>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</si>
  <si>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</si>
  <si>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</si>
  <si>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</si>
  <si>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</si>
  <si>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</si>
  <si>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</si>
  <si>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</si>
  <si>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</si>
  <si>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</si>
  <si>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</si>
  <si>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</si>
  <si>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</si>
  <si>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</si>
  <si>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</si>
  <si>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</si>
  <si>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</si>
  <si>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</si>
  <si>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</si>
  <si>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</si>
  <si>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</si>
  <si>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</si>
  <si>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</si>
  <si>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</si>
  <si>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</si>
  <si>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</si>
  <si>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</si>
  <si>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</si>
  <si>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</si>
  <si>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</si>
  <si>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</si>
  <si>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</si>
  <si>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</si>
  <si>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</si>
  <si>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</si>
  <si>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</si>
  <si>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</si>
  <si>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</si>
  <si>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</si>
  <si>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</si>
  <si>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</si>
  <si>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</si>
  <si>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</si>
  <si>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</si>
  <si>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</si>
  <si>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</si>
  <si>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</si>
  <si>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</si>
  <si>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</si>
  <si>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</si>
  <si>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</si>
  <si>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</si>
  <si>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</si>
  <si>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</si>
  <si>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</si>
  <si>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</si>
  <si>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</si>
  <si>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</si>
  <si>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</si>
  <si>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</si>
  <si>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</si>
  <si>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</si>
  <si>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</si>
  <si>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</si>
  <si>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</si>
  <si>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</si>
  <si>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</si>
  <si>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</si>
  <si>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</si>
  <si>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</si>
  <si>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</si>
  <si>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</si>
  <si>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</si>
  <si>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</si>
  <si>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</si>
  <si>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</si>
  <si>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</si>
  <si>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</si>
  <si>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</si>
  <si>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</si>
  <si>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</si>
  <si>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</si>
  <si>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</si>
  <si>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</si>
  <si>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</si>
  <si>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</si>
  <si>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</si>
  <si>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</si>
  <si>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</si>
  <si>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</si>
  <si>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</si>
  <si>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</si>
  <si>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</si>
  <si>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</si>
  <si>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</si>
  <si>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</si>
  <si>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</si>
  <si>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</si>
  <si>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</si>
  <si>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</si>
  <si>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</si>
  <si>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</si>
  <si>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</si>
  <si>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</si>
  <si>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</si>
  <si>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</si>
  <si>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</si>
  <si>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</si>
  <si>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</si>
  <si>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</si>
  <si>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</si>
  <si>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</si>
  <si>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</si>
  <si>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</si>
  <si>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</si>
  <si>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</si>
  <si>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</si>
  <si>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</si>
  <si>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</si>
  <si>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</si>
  <si>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</si>
  <si>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</si>
  <si>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</si>
  <si>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</si>
  <si>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</si>
  <si>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</si>
  <si>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</si>
  <si>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</si>
  <si>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</si>
  <si>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</si>
  <si>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</si>
  <si>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</si>
  <si>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</si>
  <si>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</si>
  <si>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</si>
  <si>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</si>
  <si>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</si>
  <si>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</si>
  <si>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</si>
  <si>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</si>
  <si>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</si>
  <si>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</si>
  <si>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</si>
  <si>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</si>
  <si>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</si>
  <si>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</si>
  <si>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</si>
  <si>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</si>
  <si>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</si>
  <si>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</si>
  <si>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</si>
  <si>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</si>
  <si>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</si>
  <si>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</si>
  <si>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</si>
  <si>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</si>
  <si>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</si>
  <si>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</si>
  <si>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</si>
  <si>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</si>
  <si>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</si>
  <si>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</si>
  <si>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</si>
  <si>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</si>
  <si>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</si>
  <si>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</si>
  <si>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</si>
  <si>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</si>
  <si>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</si>
  <si>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</si>
  <si>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</si>
  <si>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</si>
  <si>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</si>
  <si>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</si>
  <si>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</si>
  <si>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</si>
  <si>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</si>
  <si>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</si>
  <si>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</si>
  <si>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</si>
  <si>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</si>
  <si>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</si>
  <si>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</si>
  <si>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</si>
  <si>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</si>
  <si>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</si>
  <si>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</si>
  <si>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</si>
  <si>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</si>
  <si>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</si>
  <si>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</si>
  <si>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</si>
  <si>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</si>
  <si>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</si>
  <si>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</si>
  <si>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</si>
  <si>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</si>
  <si>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</si>
  <si>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</si>
  <si>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</si>
  <si>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</si>
  <si>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</si>
  <si>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</si>
  <si>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</si>
  <si>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</si>
  <si>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</si>
  <si>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</si>
  <si>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</si>
  <si>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</si>
  <si>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</si>
  <si>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</si>
  <si>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</si>
  <si>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</si>
  <si>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</si>
  <si>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</si>
  <si>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</si>
  <si>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</si>
  <si>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</si>
  <si>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</si>
  <si>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</si>
  <si>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</si>
  <si>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</si>
  <si>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</si>
  <si>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</si>
  <si>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</si>
  <si>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</si>
  <si>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</si>
  <si>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</si>
  <si>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</si>
  <si>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</si>
  <si>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</si>
  <si>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</si>
  <si>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</si>
  <si>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</si>
  <si>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</si>
  <si>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</si>
  <si>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</si>
  <si>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</si>
  <si>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</si>
  <si>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</si>
  <si>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</si>
  <si>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</si>
  <si>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</si>
  <si>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</si>
  <si>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</si>
  <si>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</si>
  <si>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</si>
  <si>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</si>
  <si>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</si>
  <si>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</si>
  <si>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</si>
  <si>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</si>
  <si>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</si>
  <si>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</si>
  <si>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</si>
  <si>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</si>
  <si>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</si>
  <si>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</si>
  <si>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</si>
  <si>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</si>
  <si>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</si>
  <si>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</si>
  <si>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</si>
  <si>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</si>
  <si>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</si>
  <si>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</si>
  <si>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</si>
  <si>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</si>
  <si>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</si>
  <si>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</si>
  <si>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</si>
  <si>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</si>
  <si>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</si>
  <si>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</si>
  <si>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</si>
  <si>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</si>
  <si>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</si>
  <si>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</si>
  <si>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</si>
  <si>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</si>
  <si>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</si>
  <si>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</si>
  <si>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</si>
  <si>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</si>
  <si>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</si>
  <si>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</si>
  <si>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</si>
  <si>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</si>
  <si>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</si>
  <si>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</si>
  <si>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</si>
  <si>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</si>
  <si>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</si>
  <si>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</si>
  <si>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</si>
  <si>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</si>
  <si>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</si>
  <si>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</si>
  <si>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</si>
  <si>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</si>
  <si>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</si>
  <si>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</si>
  <si>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</si>
  <si>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</si>
  <si>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</si>
  <si>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</si>
  <si>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</si>
  <si>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</si>
  <si>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</si>
  <si>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</si>
  <si>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</si>
  <si>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</si>
  <si>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</si>
  <si>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</si>
  <si>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</si>
  <si>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</si>
  <si>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</si>
  <si>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</si>
  <si>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</si>
  <si>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</si>
  <si>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</si>
  <si>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</si>
  <si>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</si>
  <si>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</si>
  <si>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</si>
  <si>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</si>
  <si>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</si>
  <si>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</si>
  <si>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</si>
  <si>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</si>
  <si>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</si>
  <si>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</si>
  <si>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</si>
  <si>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</si>
  <si>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</si>
  <si>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</si>
  <si>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</si>
  <si>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</si>
  <si>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</si>
  <si>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</si>
  <si>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</si>
  <si>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</si>
  <si>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</si>
  <si>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</si>
  <si>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</si>
  <si>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</si>
  <si>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</si>
  <si>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</si>
  <si>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</si>
  <si>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</si>
  <si>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</si>
  <si>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</si>
  <si>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</si>
  <si>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</si>
  <si>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</si>
  <si>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</si>
  <si>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</si>
  <si>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</si>
  <si>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</si>
  <si>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</si>
  <si>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</si>
  <si>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</si>
  <si>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</si>
  <si>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</si>
  <si>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</si>
  <si>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</si>
  <si>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</si>
  <si>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</si>
  <si>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</si>
  <si>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</si>
  <si>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</si>
  <si>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</si>
  <si>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</si>
  <si>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</si>
  <si>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</si>
  <si>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</si>
  <si>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</si>
  <si>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</si>
  <si>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</si>
  <si>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</si>
  <si>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</si>
  <si>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</si>
  <si>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</si>
  <si>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</si>
  <si>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</si>
  <si>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</si>
  <si>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</si>
  <si>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</si>
  <si>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</si>
  <si>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</si>
  <si>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</si>
  <si>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</si>
  <si>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</si>
  <si>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</si>
  <si>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</si>
  <si>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</si>
  <si>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</si>
  <si>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</si>
  <si>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</si>
  <si>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</si>
  <si>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</si>
  <si>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</si>
  <si>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</si>
  <si>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</si>
  <si>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</si>
  <si>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</si>
  <si>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</si>
  <si>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</si>
  <si>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</si>
  <si>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</si>
  <si>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</si>
  <si>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</si>
  <si>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</si>
  <si>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</si>
  <si>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</si>
  <si>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</si>
  <si>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</si>
  <si>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</si>
  <si>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</si>
  <si>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</si>
  <si>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</si>
  <si>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</si>
  <si>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</si>
  <si>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</si>
  <si>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</si>
  <si>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</si>
  <si>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</si>
  <si>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</si>
  <si>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</si>
  <si>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</si>
  <si>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</si>
  <si>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</si>
  <si>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</si>
  <si>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</si>
  <si>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</si>
  <si>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</si>
  <si>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</si>
  <si>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</si>
  <si>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</si>
  <si>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</si>
  <si>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</si>
  <si>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</si>
  <si>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</si>
  <si>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</si>
  <si>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</si>
  <si>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</si>
  <si>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</si>
  <si>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</si>
  <si>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</si>
  <si>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</si>
  <si>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</si>
  <si>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</si>
  <si>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</si>
  <si>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</si>
  <si>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</si>
  <si>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</si>
  <si>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</si>
  <si>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</si>
  <si>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</si>
  <si>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</si>
  <si>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</si>
  <si>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</si>
  <si>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</si>
  <si>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</si>
  <si>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</si>
  <si>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</si>
  <si>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</si>
  <si>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</si>
  <si>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</si>
  <si>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</si>
  <si>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</si>
  <si>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</si>
  <si>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</si>
  <si>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</si>
  <si>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</si>
  <si>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</si>
  <si>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</si>
  <si>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</si>
  <si>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</si>
  <si>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</si>
  <si>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</si>
  <si>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</si>
  <si>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</si>
  <si>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</si>
  <si>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</si>
  <si>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</si>
  <si>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</si>
  <si>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</si>
  <si>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</si>
  <si>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</si>
  <si>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</si>
  <si>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</si>
  <si>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</si>
  <si>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</si>
  <si>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</si>
  <si>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</si>
  <si>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</si>
  <si>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</si>
  <si>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</si>
  <si>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</si>
  <si>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</si>
  <si>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</si>
  <si>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</si>
  <si>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</si>
  <si>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</si>
  <si>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</si>
  <si>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</si>
  <si>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</si>
  <si>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</si>
  <si>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</si>
  <si>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</si>
  <si>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</si>
  <si>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</si>
  <si>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</si>
  <si>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</si>
  <si>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</si>
  <si>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</si>
  <si>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</si>
  <si>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</si>
  <si>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</si>
  <si>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</si>
  <si>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</si>
  <si>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</si>
  <si>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</si>
  <si>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</si>
  <si>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</si>
  <si>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</si>
  <si>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</si>
  <si>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</si>
  <si>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</si>
  <si>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</si>
  <si>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</si>
  <si>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</si>
  <si>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</si>
  <si>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</si>
  <si>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</si>
  <si>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</si>
  <si>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</si>
  <si>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</si>
  <si>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</si>
  <si>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</si>
  <si>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</si>
  <si>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</si>
  <si>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</si>
  <si>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</si>
  <si>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</si>
  <si>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</si>
  <si>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</si>
  <si>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</si>
  <si>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</si>
  <si>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</si>
  <si>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</si>
  <si>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</si>
  <si>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</si>
  <si>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</si>
  <si>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</si>
  <si>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</si>
  <si>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</si>
  <si>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</si>
  <si>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</si>
  <si>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</si>
  <si>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</si>
  <si>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</si>
  <si>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</si>
  <si>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</si>
  <si>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</si>
  <si>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</si>
  <si>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</si>
  <si>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</si>
  <si>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</si>
  <si>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</si>
  <si>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</si>
  <si>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</si>
  <si>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</si>
  <si>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</si>
  <si>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</si>
  <si>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</si>
  <si>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</si>
  <si>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</si>
  <si>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</si>
  <si>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</si>
  <si>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</si>
  <si>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</si>
  <si>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</si>
  <si>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</si>
  <si>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</si>
  <si>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</si>
  <si>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</si>
  <si>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</si>
  <si>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</si>
  <si>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</si>
  <si>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</si>
  <si>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</si>
  <si>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</si>
  <si>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</si>
  <si>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</si>
  <si>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</si>
  <si>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</si>
  <si>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</si>
  <si>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</si>
  <si>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</si>
  <si>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</si>
  <si>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</si>
  <si>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</si>
  <si>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</si>
  <si>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</si>
  <si>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</si>
  <si>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</si>
  <si>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</si>
  <si>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</si>
  <si>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</si>
  <si>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</si>
  <si>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</si>
  <si>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</si>
  <si>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</si>
  <si>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</si>
  <si>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</si>
  <si>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</si>
  <si>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</si>
  <si>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</si>
  <si>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</si>
  <si>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</si>
  <si>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</si>
  <si>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</si>
  <si>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</si>
  <si>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</si>
  <si>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</si>
  <si>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</si>
  <si>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</si>
  <si>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</si>
  <si>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</si>
  <si>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</si>
  <si>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</si>
  <si>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</si>
  <si>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</si>
  <si>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</si>
  <si>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</si>
  <si>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</si>
  <si>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</si>
  <si>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</si>
  <si>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</si>
  <si>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</si>
  <si>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</si>
  <si>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</si>
  <si>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</si>
  <si>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</si>
  <si>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</si>
  <si>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</si>
  <si>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</si>
  <si>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</si>
  <si>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</si>
  <si>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</si>
  <si>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</si>
  <si>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</si>
  <si>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</si>
  <si>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</si>
  <si>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</si>
  <si>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</si>
  <si>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</si>
  <si>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</si>
  <si>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</si>
  <si>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</si>
  <si>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</si>
  <si>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</si>
  <si>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</si>
  <si>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</si>
  <si>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</si>
  <si>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</si>
  <si>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</si>
  <si>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</si>
  <si>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</si>
  <si>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</si>
  <si>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</si>
  <si>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</si>
  <si>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</si>
  <si>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</si>
  <si>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</si>
  <si>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</si>
  <si>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</si>
  <si>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</si>
  <si>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</si>
  <si>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</si>
  <si>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</si>
  <si>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</si>
  <si>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</si>
  <si>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</si>
  <si>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</si>
  <si>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</si>
  <si>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</si>
  <si>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</si>
  <si>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</si>
  <si>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</si>
  <si>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</si>
  <si>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</si>
  <si>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</si>
  <si>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</si>
  <si>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</si>
  <si>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</si>
  <si>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</si>
  <si>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</si>
  <si>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</si>
  <si>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</si>
  <si>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</si>
  <si>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</si>
  <si>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</si>
  <si>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</si>
  <si>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</si>
  <si>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</si>
  <si>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</si>
  <si>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</si>
  <si>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</si>
  <si>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</si>
  <si>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</si>
  <si>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</si>
  <si>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</si>
  <si>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</si>
  <si>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</si>
  <si>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</si>
  <si>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</si>
  <si>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</si>
  <si>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</si>
  <si>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</si>
  <si>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</si>
  <si>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</si>
  <si>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</si>
  <si>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</si>
  <si>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</si>
  <si>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</si>
  <si>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</si>
  <si>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</si>
  <si>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</si>
  <si>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</si>
  <si>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</si>
  <si>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</si>
  <si>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</si>
  <si>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</si>
  <si>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</si>
  <si>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</si>
  <si>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</si>
  <si>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</si>
  <si>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</si>
  <si>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</si>
  <si>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</si>
  <si>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</si>
  <si>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</si>
  <si>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</si>
  <si>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</si>
  <si>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</si>
  <si>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</si>
  <si>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</si>
  <si>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</si>
  <si>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</si>
  <si>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</si>
  <si>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</si>
  <si>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</si>
  <si>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</si>
  <si>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</si>
  <si>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</si>
  <si>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</si>
  <si>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</si>
  <si>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</si>
  <si>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</si>
  <si>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</si>
  <si>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</si>
  <si>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</si>
  <si>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</si>
  <si>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</si>
  <si>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</si>
  <si>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</si>
  <si>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</si>
  <si>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</si>
  <si>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</si>
  <si>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</si>
  <si>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</si>
  <si>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</si>
  <si>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</si>
  <si>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</si>
  <si>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</si>
  <si>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</si>
  <si>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</si>
  <si>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</si>
  <si>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</si>
  <si>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</si>
  <si>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</si>
  <si>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</si>
  <si>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</si>
  <si>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</si>
  <si>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</si>
  <si>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</si>
  <si>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</si>
  <si>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</si>
  <si>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</si>
  <si>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</si>
  <si>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</si>
  <si>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</si>
  <si>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</si>
  <si>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</si>
  <si>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</si>
  <si>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</si>
  <si>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</si>
  <si>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</si>
  <si>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</si>
  <si>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</si>
  <si>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</si>
  <si>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</si>
  <si>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</si>
  <si>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</si>
  <si>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</si>
  <si>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</si>
  <si>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</si>
  <si>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</si>
  <si>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</si>
  <si>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</si>
  <si>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</si>
  <si>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</si>
  <si>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</si>
  <si>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</si>
  <si>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</si>
  <si>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</si>
  <si>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</si>
  <si>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</si>
  <si>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</si>
  <si>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</si>
  <si>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</si>
  <si>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</si>
  <si>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</si>
  <si>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</si>
  <si>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</si>
  <si>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</si>
  <si>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</si>
  <si>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</si>
  <si>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</si>
  <si>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</si>
  <si>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</si>
  <si>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</si>
  <si>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</si>
  <si>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</si>
  <si>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</si>
  <si>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</si>
  <si>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</si>
  <si>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</si>
  <si>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</si>
  <si>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</si>
  <si>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</si>
  <si>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</si>
  <si>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</si>
  <si>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</si>
  <si>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</si>
  <si>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</si>
  <si>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</si>
  <si>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</si>
  <si>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</si>
  <si>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</si>
  <si>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</si>
  <si>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</si>
  <si>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</si>
  <si>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</si>
  <si>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</si>
  <si>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</si>
  <si>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</si>
  <si>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</si>
  <si>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</si>
  <si>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</si>
  <si>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</si>
  <si>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</si>
  <si>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</si>
  <si>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</si>
  <si>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</si>
  <si>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</si>
  <si>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</si>
  <si>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</si>
  <si>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</si>
  <si>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</si>
  <si>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</si>
  <si>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</si>
  <si>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</si>
  <si>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</si>
  <si>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</si>
  <si>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</si>
  <si>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</si>
  <si>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</si>
  <si>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</si>
  <si>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</si>
  <si>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</si>
  <si>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</si>
  <si>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</si>
  <si>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</si>
  <si>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</si>
  <si>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</si>
  <si>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</si>
  <si>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</si>
  <si>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</si>
  <si>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</si>
  <si>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</si>
  <si>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</si>
  <si>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</si>
  <si>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</si>
  <si>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</si>
  <si>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</si>
  <si>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</si>
  <si>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</si>
  <si>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</si>
  <si>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</si>
  <si>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</si>
  <si>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</si>
  <si>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</si>
  <si>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</si>
  <si>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</si>
  <si>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</si>
  <si>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</si>
  <si>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</si>
  <si>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</si>
  <si>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</si>
  <si>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</si>
  <si>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</si>
  <si>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</si>
  <si>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</si>
  <si>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</si>
  <si>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</si>
  <si>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</si>
  <si>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</si>
  <si>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</si>
  <si>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</si>
  <si>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</si>
  <si>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</si>
  <si>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</si>
  <si>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</si>
  <si>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</si>
  <si>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</si>
  <si>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</si>
  <si>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</si>
  <si>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</si>
  <si>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</si>
  <si>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</si>
  <si>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</si>
  <si>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</si>
  <si>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</si>
  <si>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</si>
  <si>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</si>
  <si>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</si>
  <si>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</si>
  <si>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</si>
  <si>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</si>
  <si>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</si>
  <si>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</si>
  <si>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</si>
  <si>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</si>
  <si>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</si>
  <si>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</si>
  <si>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</si>
  <si>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</si>
  <si>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</si>
  <si>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</si>
  <si>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</si>
  <si>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</si>
  <si>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</si>
  <si>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</si>
  <si>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</si>
  <si>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</si>
  <si>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</si>
  <si>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</si>
  <si>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</si>
  <si>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</si>
  <si>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</si>
  <si>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</si>
  <si>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</si>
  <si>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</si>
  <si>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</si>
  <si>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</si>
  <si>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</si>
  <si>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</si>
  <si>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</si>
  <si>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</si>
  <si>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</si>
  <si>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</si>
  <si>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</si>
  <si>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</si>
  <si>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</si>
  <si>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</si>
  <si>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</si>
  <si>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</si>
  <si>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</si>
  <si>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</si>
  <si>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</si>
  <si>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</si>
  <si>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</si>
  <si>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</si>
  <si>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</si>
  <si>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</si>
  <si>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</si>
  <si>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</si>
  <si>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</si>
  <si>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</si>
  <si>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</si>
  <si>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</si>
  <si>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</si>
  <si>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</si>
  <si>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</si>
  <si>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</si>
  <si>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</si>
  <si>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</si>
  <si>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</si>
  <si>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</si>
  <si>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</si>
  <si>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</si>
  <si>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</si>
  <si>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</si>
  <si>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</si>
  <si>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</si>
  <si>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</si>
  <si>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</si>
  <si>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</si>
  <si>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</si>
  <si>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</si>
  <si>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</si>
  <si>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</si>
  <si>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</si>
  <si>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</si>
  <si>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</si>
  <si>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</si>
  <si>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</si>
  <si>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</si>
  <si>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</si>
  <si>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</si>
  <si>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</si>
  <si>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</si>
  <si>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</si>
  <si>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</si>
  <si>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</si>
  <si>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</si>
  <si>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</si>
  <si>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</si>
  <si>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</si>
  <si>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</si>
  <si>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</si>
  <si>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</si>
  <si>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</si>
  <si>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</si>
  <si>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</si>
  <si>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</si>
  <si>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</si>
  <si>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</si>
  <si>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</si>
  <si>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</si>
  <si>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</si>
  <si>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</si>
  <si>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</si>
  <si>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</si>
  <si>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</si>
  <si>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</si>
  <si>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</si>
  <si>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</si>
  <si>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</si>
  <si>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</si>
  <si>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</si>
  <si>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</si>
  <si>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</si>
  <si>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</si>
  <si>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</si>
  <si>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</si>
  <si>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</si>
  <si>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</si>
  <si>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</si>
  <si>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</si>
  <si>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</si>
  <si>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</si>
  <si>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</si>
  <si>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</si>
  <si>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</si>
  <si>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</si>
  <si>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</si>
  <si>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</si>
  <si>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</si>
  <si>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</si>
  <si>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</si>
  <si>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</si>
  <si>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</si>
  <si>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</si>
  <si>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</si>
  <si>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</si>
  <si>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</si>
  <si>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</si>
  <si>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</si>
  <si>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</si>
  <si>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</si>
  <si>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</si>
  <si>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</si>
  <si>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</si>
  <si>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</si>
  <si>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</si>
  <si>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</si>
  <si>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</si>
  <si>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</si>
  <si>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</si>
  <si>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</si>
  <si>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</si>
  <si>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</si>
  <si>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</si>
  <si>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</si>
  <si>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</si>
  <si>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</si>
  <si>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</si>
  <si>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</si>
  <si>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</si>
  <si>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</si>
  <si>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</si>
  <si>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</si>
  <si>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</si>
  <si>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</si>
  <si>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</si>
  <si>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</si>
  <si>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</si>
  <si>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</si>
  <si>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</si>
  <si>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</si>
  <si>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</si>
  <si>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</si>
  <si>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</si>
  <si>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</si>
  <si>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</si>
  <si>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</si>
  <si>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</si>
  <si>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</si>
  <si>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</si>
  <si>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</si>
  <si>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</si>
  <si>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</si>
  <si>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</si>
  <si>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</si>
  <si>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</si>
  <si>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</si>
  <si>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</si>
  <si>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</si>
  <si>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</si>
  <si>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</si>
  <si>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</si>
  <si>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</si>
  <si>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</si>
  <si>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</si>
  <si>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</si>
  <si>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</si>
  <si>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</si>
  <si>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</si>
  <si>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</si>
  <si>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</si>
  <si>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</si>
  <si>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</si>
  <si>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</si>
  <si>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</si>
  <si>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</si>
  <si>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</si>
  <si>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</si>
  <si>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</si>
  <si>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</si>
  <si>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</si>
  <si>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</si>
  <si>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</si>
  <si>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</si>
  <si>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</si>
  <si>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</si>
  <si>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</si>
  <si>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</si>
  <si>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</si>
  <si>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</si>
  <si>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</si>
  <si>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</si>
  <si>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</si>
  <si>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</si>
  <si>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</si>
  <si>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</si>
  <si>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</si>
  <si>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</si>
  <si>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</si>
  <si>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</si>
  <si>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</si>
  <si>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</si>
  <si>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</si>
  <si>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</si>
  <si>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</si>
  <si>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</si>
  <si>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</si>
  <si>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</si>
  <si>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</si>
  <si>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</si>
  <si>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</si>
  <si>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</si>
  <si>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</si>
  <si>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</si>
  <si>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</si>
  <si>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</si>
  <si>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</si>
  <si>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</si>
  <si>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</si>
  <si>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</si>
  <si>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</si>
  <si>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</si>
  <si>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</si>
  <si>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</si>
  <si>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</si>
  <si>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</si>
  <si>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</si>
  <si>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</si>
  <si>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</si>
  <si>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</si>
  <si>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</si>
  <si>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</si>
  <si>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</si>
  <si>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</si>
  <si>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</si>
  <si>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</si>
  <si>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</si>
  <si>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</si>
  <si>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</si>
  <si>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</si>
  <si>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</si>
  <si>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</si>
  <si>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</si>
  <si>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</si>
  <si>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</si>
  <si>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</si>
  <si>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</si>
  <si>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</si>
  <si>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</si>
  <si>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</si>
  <si>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</si>
  <si>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</si>
  <si>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</si>
  <si>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</si>
  <si>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</si>
  <si>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</si>
  <si>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</si>
  <si>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</si>
  <si>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</si>
  <si>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</si>
  <si>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</si>
  <si>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</si>
  <si>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</si>
  <si>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</si>
  <si>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</si>
  <si>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</si>
  <si>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</si>
  <si>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</si>
  <si>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</si>
  <si>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</si>
  <si>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</si>
  <si>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</si>
  <si>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</si>
  <si>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</si>
  <si>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</si>
  <si>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</si>
  <si>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</si>
  <si>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</si>
  <si>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</si>
  <si>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</si>
  <si>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</si>
  <si>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</si>
  <si>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</si>
  <si>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</si>
  <si>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</si>
  <si>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</si>
  <si>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</si>
  <si>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</si>
  <si>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</si>
  <si>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</si>
  <si>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</si>
  <si>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</si>
  <si>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</si>
  <si>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</si>
  <si>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</si>
  <si>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</si>
  <si>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</si>
  <si>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</si>
  <si>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</si>
  <si>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</si>
  <si>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</si>
  <si>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</si>
  <si>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</si>
  <si>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</si>
  <si>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</si>
  <si>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</si>
  <si>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</si>
  <si>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</si>
  <si>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</si>
  <si>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</si>
  <si>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</si>
  <si>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</si>
  <si>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</si>
  <si>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</si>
  <si>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</si>
  <si>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</si>
  <si>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</si>
  <si>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</si>
  <si>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</si>
  <si>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</si>
  <si>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</si>
  <si>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</si>
  <si>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</si>
  <si>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</si>
  <si>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</si>
  <si>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</si>
  <si>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</si>
  <si>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</si>
  <si>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</si>
  <si>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</si>
  <si>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</si>
  <si>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</si>
  <si>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</si>
  <si>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</si>
  <si>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</si>
  <si>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</si>
  <si>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</si>
  <si>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</si>
  <si>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</si>
  <si>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</si>
  <si>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</si>
  <si>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</si>
  <si>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</si>
  <si>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</si>
  <si>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</si>
  <si>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</si>
  <si>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</si>
  <si>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</si>
  <si>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</si>
  <si>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</si>
  <si>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</si>
  <si>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</si>
  <si>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</si>
  <si>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</si>
  <si>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</si>
  <si>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</si>
  <si>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</si>
  <si>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</si>
  <si>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</si>
  <si>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</si>
  <si>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</si>
  <si>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</si>
  <si>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</si>
  <si>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</si>
  <si>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</si>
  <si>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</si>
  <si>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</si>
  <si>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</si>
  <si>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</si>
  <si>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</si>
  <si>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</si>
  <si>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</si>
  <si>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</si>
  <si>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</si>
  <si>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</si>
  <si>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</si>
  <si>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</si>
  <si>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</si>
  <si>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</si>
  <si>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</si>
  <si>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</si>
  <si>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</si>
  <si>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</si>
  <si>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</si>
  <si>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</si>
  <si>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</si>
  <si>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</si>
  <si>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</si>
  <si>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</si>
  <si>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</si>
  <si>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</si>
  <si>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</si>
  <si>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</si>
  <si>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</si>
  <si>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</si>
  <si>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</si>
  <si>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</si>
  <si>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</si>
  <si>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</si>
  <si>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</si>
  <si>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</si>
  <si>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</si>
  <si>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</si>
  <si>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</si>
  <si>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</si>
  <si>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</si>
  <si>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</si>
  <si>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</si>
  <si>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</si>
  <si>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</si>
  <si>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</si>
  <si>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</si>
  <si>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</si>
  <si>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</si>
  <si>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</si>
  <si>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</si>
  <si>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</si>
  <si>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</si>
  <si>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</si>
  <si>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</si>
  <si>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</si>
  <si>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</si>
  <si>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</si>
  <si>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</si>
  <si>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</si>
  <si>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</si>
  <si>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</si>
  <si>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</si>
  <si>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</si>
  <si>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</si>
  <si>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</si>
  <si>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</si>
  <si>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</si>
  <si>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</si>
  <si>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</si>
  <si>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</si>
  <si>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</si>
  <si>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</si>
  <si>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</si>
  <si>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</si>
  <si>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</si>
  <si>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</si>
  <si>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</si>
  <si>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</si>
  <si>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</si>
  <si>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</si>
  <si>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</si>
  <si>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</si>
  <si>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</si>
  <si>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</si>
  <si>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</si>
  <si>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</si>
  <si>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</si>
  <si>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</si>
  <si>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</si>
  <si>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</si>
  <si>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</si>
  <si>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</si>
  <si>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</si>
  <si>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</si>
  <si>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</si>
  <si>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</si>
  <si>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</si>
  <si>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</si>
  <si>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</si>
  <si>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</si>
  <si>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</si>
  <si>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</si>
  <si>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</si>
  <si>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</si>
  <si>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</si>
  <si>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</si>
  <si>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</si>
  <si>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</si>
  <si>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</si>
  <si>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</si>
  <si>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</si>
  <si>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</si>
  <si>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</si>
  <si>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</si>
  <si>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</si>
  <si>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</si>
  <si>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</si>
  <si>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</si>
  <si>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</si>
  <si>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</si>
  <si>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</si>
  <si>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</si>
  <si>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</si>
  <si>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</si>
  <si>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</si>
  <si>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</si>
  <si>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</si>
  <si>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</si>
  <si>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</si>
  <si>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</si>
  <si>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</si>
  <si>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</si>
  <si>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</si>
  <si>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</si>
  <si>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</si>
  <si>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</si>
  <si>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</si>
  <si>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</si>
  <si>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</si>
  <si>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</si>
  <si>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</si>
  <si>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</si>
  <si>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</si>
  <si>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</si>
  <si>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</si>
  <si>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</si>
  <si>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</si>
  <si>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</si>
  <si>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</si>
  <si>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</si>
  <si>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</si>
  <si>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</si>
  <si>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</si>
  <si>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</si>
  <si>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</si>
  <si>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</si>
  <si>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</si>
  <si>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</si>
  <si>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</si>
  <si>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</si>
  <si>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</si>
  <si>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</si>
  <si>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</si>
  <si>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</si>
  <si>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</si>
  <si>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</si>
  <si>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</si>
  <si>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</si>
  <si>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</si>
  <si>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</si>
  <si>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</si>
  <si>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</si>
  <si>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</si>
  <si>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</si>
  <si>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</si>
  <si>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</si>
  <si>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</si>
  <si>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</si>
  <si>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</si>
  <si>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</si>
  <si>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</si>
  <si>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</si>
  <si>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</si>
  <si>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</si>
  <si>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</si>
  <si>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</si>
  <si>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</si>
  <si>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</si>
  <si>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</si>
  <si>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</si>
  <si>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</si>
  <si>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</si>
  <si>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</si>
  <si>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</si>
  <si>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</si>
  <si>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</si>
  <si>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</si>
  <si>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</si>
  <si>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</si>
  <si>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</si>
  <si>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</si>
  <si>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</si>
  <si>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</si>
  <si>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</si>
  <si>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</si>
  <si>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</si>
  <si>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</si>
  <si>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</si>
  <si>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</si>
  <si>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</si>
  <si>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</si>
  <si>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</si>
  <si>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</si>
  <si>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</si>
  <si>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</si>
  <si>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</si>
  <si>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</si>
  <si>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</si>
  <si>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</si>
  <si>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</si>
  <si>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</si>
  <si>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</si>
  <si>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</si>
  <si>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</si>
  <si>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</si>
  <si>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</si>
  <si>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</si>
  <si>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</si>
  <si>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</si>
  <si>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</si>
  <si>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</si>
  <si>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</si>
  <si>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</si>
  <si>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</si>
  <si>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</si>
  <si>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</si>
  <si>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</si>
  <si>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</si>
  <si>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</si>
  <si>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</si>
  <si>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</si>
  <si>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</si>
  <si>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</si>
  <si>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</si>
  <si>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</si>
  <si>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</si>
  <si>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</si>
  <si>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</si>
  <si>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</si>
  <si>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</si>
  <si>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</si>
  <si>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</si>
  <si>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</si>
  <si>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</si>
  <si>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</si>
  <si>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</si>
  <si>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</si>
  <si>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</si>
  <si>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</si>
  <si>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</si>
  <si>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</si>
  <si>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</si>
  <si>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</si>
  <si>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</si>
  <si>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</si>
  <si>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</si>
  <si>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</si>
  <si>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</si>
  <si>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</si>
  <si>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</si>
  <si>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</si>
  <si>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</si>
  <si>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</si>
  <si>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</si>
  <si>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</si>
  <si>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</si>
  <si>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</si>
  <si>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</si>
  <si>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</si>
  <si>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</si>
  <si>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</si>
  <si>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</si>
  <si>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</si>
  <si>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</si>
  <si>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</si>
  <si>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</si>
  <si>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</si>
  <si>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</si>
  <si>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</si>
  <si>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</si>
  <si>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</si>
  <si>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</si>
  <si>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</si>
  <si>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</si>
  <si>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</si>
  <si>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</si>
  <si>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</si>
  <si>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</si>
  <si>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</si>
  <si>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</si>
  <si>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</si>
  <si>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</si>
  <si>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</si>
  <si>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</si>
  <si>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</si>
  <si>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</si>
  <si>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</si>
  <si>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</si>
  <si>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</si>
  <si>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</si>
  <si>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</si>
  <si>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</si>
  <si>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</si>
  <si>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</si>
  <si>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</si>
  <si>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</si>
  <si>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</si>
  <si>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</si>
  <si>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</si>
  <si>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</si>
  <si>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</si>
  <si>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</si>
  <si>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</si>
  <si>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</si>
  <si>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</si>
  <si>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</si>
  <si>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</si>
  <si>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</si>
  <si>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</si>
  <si>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</si>
  <si>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</si>
  <si>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</si>
  <si>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</si>
  <si>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</si>
  <si>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</si>
  <si>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</si>
  <si>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</si>
  <si>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</si>
  <si>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</si>
  <si>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</si>
  <si>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</si>
  <si>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</si>
  <si>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</si>
  <si>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</si>
  <si>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</si>
  <si>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</si>
  <si>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</si>
  <si>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</si>
  <si>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</si>
  <si>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</si>
  <si>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</si>
  <si>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</si>
  <si>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</si>
  <si>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</si>
  <si>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</si>
  <si>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</si>
  <si>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</si>
  <si>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</si>
  <si>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</si>
  <si>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</si>
  <si>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</si>
  <si>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</si>
  <si>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</si>
  <si>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</si>
  <si>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</si>
  <si>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</si>
  <si>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</si>
  <si>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</si>
  <si>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</si>
  <si>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</si>
  <si>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</si>
  <si>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</si>
  <si>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</si>
  <si>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</si>
  <si>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</si>
  <si>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</si>
  <si>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</si>
  <si>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</si>
  <si>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</si>
  <si>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</si>
  <si>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</si>
  <si>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</si>
  <si>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</si>
  <si>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</si>
  <si>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</si>
  <si>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</si>
  <si>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</si>
  <si>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</si>
  <si>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</si>
  <si>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</si>
  <si>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</si>
  <si>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</si>
  <si>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</si>
  <si>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</si>
  <si>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</si>
  <si>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</si>
  <si>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</si>
  <si>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</si>
  <si>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</si>
  <si>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</si>
  <si>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</si>
  <si>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</si>
  <si>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</si>
  <si>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</si>
  <si>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</si>
  <si>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</si>
  <si>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</si>
  <si>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</si>
  <si>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</si>
  <si>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</si>
  <si>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</si>
  <si>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</si>
  <si>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</si>
  <si>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</si>
  <si>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</si>
  <si>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</si>
  <si>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</si>
  <si>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</si>
  <si>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</si>
  <si>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</si>
  <si>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</si>
  <si>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</si>
  <si>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</si>
  <si>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</si>
  <si>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</si>
  <si>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</si>
  <si>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</si>
  <si>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</si>
  <si>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</si>
  <si>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</si>
  <si>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</si>
  <si>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</si>
  <si>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</si>
  <si>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</si>
  <si>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</si>
  <si>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</si>
  <si>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</si>
  <si>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</si>
  <si>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</si>
  <si>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</si>
  <si>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</si>
  <si>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</si>
  <si>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</si>
  <si>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</si>
  <si>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</si>
  <si>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</si>
  <si>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</si>
  <si>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</si>
  <si>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</si>
  <si>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</si>
  <si>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</si>
  <si>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</si>
  <si>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</si>
  <si>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</si>
  <si>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</si>
  <si>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</si>
  <si>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</si>
  <si>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</si>
  <si>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</si>
  <si>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</si>
  <si>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</si>
  <si>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</si>
  <si>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</si>
  <si>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</si>
  <si>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</si>
  <si>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</si>
  <si>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</si>
  <si>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</si>
  <si>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</si>
  <si>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</si>
  <si>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</si>
  <si>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</si>
  <si>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</si>
  <si>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</si>
  <si>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</si>
  <si>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</si>
  <si>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</si>
  <si>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</si>
  <si>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</si>
  <si>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</si>
  <si>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</si>
  <si>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</si>
  <si>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</si>
  <si>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</si>
  <si>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</si>
  <si>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</si>
  <si>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</si>
  <si>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</si>
  <si>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</si>
  <si>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</si>
  <si>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</si>
  <si>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</si>
  <si>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</si>
  <si>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</si>
  <si>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</si>
  <si>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</si>
  <si>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</si>
  <si>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</si>
  <si>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</si>
  <si>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</si>
  <si>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</si>
  <si>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</si>
  <si>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</si>
  <si>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</si>
  <si>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</si>
  <si>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</si>
  <si>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</si>
  <si>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</si>
  <si>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</si>
  <si>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</si>
  <si>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</si>
  <si>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</si>
  <si>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</si>
  <si>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</si>
  <si>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</si>
  <si>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</si>
  <si>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</si>
  <si>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</si>
  <si>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</si>
  <si>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</si>
  <si>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</si>
  <si>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</si>
  <si>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</si>
  <si>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</si>
  <si>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</si>
  <si>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</si>
  <si>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</si>
  <si>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</si>
  <si>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</si>
  <si>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</si>
  <si>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</si>
  <si>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</si>
  <si>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</si>
  <si>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</si>
  <si>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</si>
  <si>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</si>
  <si>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</si>
  <si>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</si>
  <si>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</si>
  <si>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</si>
  <si>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</si>
  <si>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</si>
  <si>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</si>
  <si>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</si>
  <si>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</si>
  <si>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</si>
  <si>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</si>
  <si>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</si>
  <si>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</si>
  <si>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</si>
  <si>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</si>
  <si>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</si>
  <si>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</si>
  <si>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</si>
  <si>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</si>
  <si>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</si>
  <si>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</si>
  <si>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</si>
  <si>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</si>
  <si>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</si>
  <si>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</si>
  <si>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</si>
  <si>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</si>
  <si>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</si>
  <si>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</si>
  <si>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</si>
  <si>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</si>
  <si>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</si>
  <si>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</si>
  <si>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</si>
  <si>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</si>
  <si>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</si>
  <si>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</si>
  <si>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</si>
  <si>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</si>
  <si>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</si>
  <si>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</si>
  <si>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</si>
  <si>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</si>
  <si>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</si>
  <si>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</si>
  <si>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</si>
  <si>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</si>
  <si>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</si>
  <si>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</si>
  <si>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</si>
  <si>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</si>
  <si>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</si>
  <si>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</si>
  <si>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</si>
  <si>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</si>
  <si>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</si>
  <si>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</si>
  <si>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</si>
  <si>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</si>
  <si>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</si>
  <si>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</si>
  <si>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</si>
  <si>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</si>
  <si>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</si>
  <si>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</si>
  <si>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</si>
  <si>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</si>
  <si>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</si>
  <si>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</si>
  <si>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</si>
  <si>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</si>
  <si>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</si>
  <si>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</si>
  <si>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</si>
  <si>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</si>
  <si>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</si>
  <si>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</si>
  <si>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</si>
  <si>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</si>
  <si>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</si>
  <si>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</si>
  <si>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</si>
  <si>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</si>
  <si>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</si>
  <si>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</si>
  <si>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</si>
  <si>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</si>
  <si>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</si>
  <si>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</si>
  <si>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</si>
  <si>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</si>
  <si>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</si>
  <si>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</si>
  <si>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</si>
  <si>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</si>
  <si>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</si>
  <si>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</si>
  <si>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</si>
  <si>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</si>
  <si>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</si>
  <si>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</si>
  <si>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</si>
  <si>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</si>
  <si>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</si>
  <si>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</si>
  <si>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</si>
  <si>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</si>
  <si>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</si>
  <si>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</si>
  <si>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</si>
  <si>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</si>
  <si>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</si>
  <si>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</si>
  <si>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</si>
  <si>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</si>
  <si>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</si>
  <si>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</si>
  <si>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</si>
  <si>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</si>
  <si>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</si>
  <si>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</si>
  <si>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</si>
  <si>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</si>
  <si>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</si>
  <si>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</si>
  <si>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</si>
  <si>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</si>
  <si>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</si>
  <si>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</si>
  <si>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</si>
  <si>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</si>
  <si>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</si>
  <si>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</si>
  <si>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</si>
  <si>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</si>
  <si>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</si>
  <si>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</si>
  <si>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</si>
  <si>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</si>
  <si>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</si>
  <si>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</si>
  <si>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</si>
  <si>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</si>
  <si>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</si>
  <si>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</si>
  <si>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</si>
  <si>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</si>
  <si>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</si>
  <si>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</si>
  <si>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</si>
  <si>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</si>
  <si>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</si>
  <si>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</si>
  <si>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</si>
  <si>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</si>
  <si>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</si>
  <si>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</si>
  <si>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</si>
  <si>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</si>
  <si>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</si>
  <si>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</si>
  <si>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</si>
  <si>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</si>
  <si>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</si>
  <si>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</si>
  <si>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</si>
  <si>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</si>
  <si>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</si>
  <si>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</si>
  <si>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</si>
  <si>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</si>
  <si>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</si>
  <si>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</si>
  <si>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</si>
  <si>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</si>
  <si>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</si>
  <si>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</si>
  <si>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</si>
  <si>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</si>
  <si>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</si>
  <si>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</si>
  <si>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</si>
  <si>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</si>
  <si>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</si>
  <si>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</si>
  <si>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</si>
  <si>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</si>
  <si>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</si>
  <si>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</si>
  <si>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</si>
  <si>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</si>
  <si>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</si>
  <si>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</si>
  <si>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</si>
  <si>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</si>
  <si>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</si>
  <si>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</si>
  <si>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</si>
  <si>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</si>
  <si>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</si>
  <si>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</si>
  <si>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</si>
  <si>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</si>
  <si>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</si>
  <si>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</si>
  <si>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</si>
  <si>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</si>
  <si>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</si>
  <si>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</si>
  <si>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</si>
  <si>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</si>
  <si>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</si>
  <si>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</si>
  <si>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</si>
  <si>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</si>
  <si>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</si>
  <si>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</si>
  <si>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</si>
  <si>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</si>
  <si>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</si>
  <si>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</si>
  <si>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</si>
  <si>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</si>
  <si>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</si>
  <si>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</si>
  <si>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</si>
  <si>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</si>
  <si>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</si>
  <si>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</si>
  <si>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</si>
  <si>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</si>
  <si>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</si>
  <si>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</si>
  <si>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</si>
  <si>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</si>
  <si>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</si>
  <si>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</si>
  <si>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</si>
  <si>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</si>
  <si>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</si>
  <si>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</si>
  <si>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</si>
  <si>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</si>
  <si>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</si>
  <si>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</si>
  <si>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</si>
  <si>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</si>
  <si>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</si>
  <si>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</si>
  <si>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</si>
  <si>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</si>
  <si>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</si>
  <si>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</si>
  <si>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</si>
  <si>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</si>
  <si>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</si>
  <si>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</si>
  <si>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</si>
  <si>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</si>
  <si>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</si>
  <si>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</si>
  <si>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</si>
  <si>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</si>
  <si>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</si>
  <si>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</si>
  <si>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</si>
  <si>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</si>
  <si>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</si>
  <si>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</si>
  <si>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</si>
  <si>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</si>
  <si>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</si>
  <si>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</si>
  <si>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</si>
  <si>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</si>
  <si>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</si>
  <si>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</si>
  <si>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</si>
  <si>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</si>
  <si>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</si>
  <si>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</si>
  <si>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</si>
  <si>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</si>
  <si>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</si>
  <si>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</si>
  <si>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</si>
  <si>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</si>
  <si>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</si>
  <si>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</si>
  <si>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</si>
  <si>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</si>
  <si>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</si>
  <si>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</si>
  <si>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</si>
  <si>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</si>
  <si>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</si>
  <si>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</si>
  <si>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</si>
  <si>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</si>
  <si>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</si>
  <si>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</si>
  <si>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</si>
  <si>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</si>
  <si>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</si>
  <si>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</si>
  <si>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</si>
  <si>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</si>
  <si>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</si>
  <si>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</si>
  <si>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</si>
  <si>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</si>
  <si>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</si>
  <si>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</si>
  <si>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</si>
  <si>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</si>
  <si>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</si>
  <si>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</si>
  <si>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</si>
  <si>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</si>
  <si>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</si>
  <si>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</si>
  <si>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</si>
  <si>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</si>
  <si>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</si>
  <si>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</si>
  <si>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</si>
  <si>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</si>
  <si>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</si>
  <si>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</si>
  <si>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</si>
  <si>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</si>
  <si>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</si>
  <si>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</si>
  <si>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</si>
  <si>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</si>
  <si>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</si>
  <si>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</si>
  <si>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</si>
  <si>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</si>
  <si>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</si>
  <si>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</si>
  <si>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</si>
  <si>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</si>
  <si>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</si>
  <si>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</si>
  <si>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</si>
  <si>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</si>
  <si>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</si>
  <si>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</si>
  <si>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</si>
  <si>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</si>
  <si>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</si>
  <si>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</si>
  <si>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</si>
  <si>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</si>
  <si>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</si>
  <si>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</si>
  <si>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</si>
  <si>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</si>
  <si>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</si>
  <si>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</si>
  <si>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</si>
  <si>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</si>
  <si>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</si>
  <si>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</si>
  <si>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</si>
  <si>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</si>
  <si>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</si>
  <si>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</si>
  <si>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</si>
  <si>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</si>
  <si>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</si>
  <si>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</si>
  <si>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</si>
  <si>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</si>
  <si>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</si>
  <si>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</si>
  <si>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</si>
  <si>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</si>
  <si>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</si>
  <si>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</si>
  <si>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</si>
  <si>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</si>
  <si>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</si>
  <si>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</si>
  <si>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</si>
  <si>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</si>
  <si>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</si>
  <si>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</si>
  <si>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</si>
  <si>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</si>
  <si>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</si>
  <si>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</si>
  <si>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</si>
  <si>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</si>
  <si>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</si>
  <si>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</si>
  <si>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</si>
  <si>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</si>
  <si>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Where do our customers live?</t>
  </si>
  <si>
    <t>How long we take to ship the orders</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</si>
  <si>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</si>
  <si>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</si>
  <si>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</si>
  <si>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</si>
  <si>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</si>
  <si>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</si>
  <si>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</si>
  <si>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</si>
  <si>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</si>
  <si>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</si>
  <si>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</si>
  <si>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</si>
  <si>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</si>
  <si>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</si>
  <si>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</si>
  <si>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</si>
  <si>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</si>
  <si>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</si>
  <si>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</si>
  <si>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</si>
  <si>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</si>
  <si>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</si>
  <si>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</si>
  <si>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</si>
  <si>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$#,##,.0k</t>
  </si>
  <si>
    <t>Amount in thousands with one decimal</t>
  </si>
  <si>
    <t>0.0</t>
  </si>
  <si>
    <t>Other numbers</t>
  </si>
  <si>
    <t>value with thousand's separator</t>
  </si>
  <si>
    <t>Sum of Quantity</t>
  </si>
  <si>
    <t>Sum of Amount</t>
  </si>
  <si>
    <t>Count of TX ID</t>
  </si>
  <si>
    <t>Average of Rating C</t>
  </si>
  <si>
    <t>Average of Days to Deliver</t>
  </si>
  <si>
    <t>Values for display</t>
  </si>
  <si>
    <t>Qty</t>
  </si>
  <si>
    <t>Avg. Days</t>
  </si>
  <si>
    <t>Row Labels</t>
  </si>
  <si>
    <t>Grand Total</t>
  </si>
  <si>
    <t>Female</t>
  </si>
  <si>
    <t>Male</t>
  </si>
  <si>
    <t>Other</t>
  </si>
  <si>
    <t>Unknown</t>
  </si>
  <si>
    <t>Column Labels</t>
  </si>
  <si>
    <t>For matrix</t>
  </si>
  <si>
    <t>6 TO 10</t>
  </si>
  <si>
    <t>More than 10</t>
  </si>
  <si>
    <t>Map chart for Qty</t>
  </si>
  <si>
    <t>Map Chart for Amount</t>
  </si>
  <si>
    <t>For trends</t>
  </si>
  <si>
    <t>Products by Qty</t>
  </si>
  <si>
    <t>Product distribution</t>
  </si>
  <si>
    <t>Geographical Analysis</t>
  </si>
  <si>
    <t>Shipment Duration Analysis</t>
  </si>
  <si>
    <t>Order Qty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</si>
</sst>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
    <numFmt numFmtId="166"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2">
    <border>
      <left/>
      <right/>
      <top/>
      <bottom/>
      <diagonal/>
    </border>
    <border>
      <left style="thick">
        <color theme="0"/>
      </left>
      <right style="thick">
        <color theme="0"/>
      </right>
      <top style="thick">
        <color theme="0"/>
      </top>
      <bottom style="thick">
        <color theme="0"/>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166" fontId="0" fillId="0" borderId="1" xfId="1" applyNumberFormat="1" applyFont="1" applyBorder="1"/>
    <xf numFmtId="0" fontId="0" fillId="0" borderId="1" xfId="0" applyBorder="1"/>
    <xf numFmtId="0" fontId="1" fillId="0" borderId="1" xfId="0" applyFont="1" applyBorder="1" applyAlignment="1">
      <alignment horizontal="center"/>
    </xf>
    <xf numFmtId="0" fontId="1" fillId="0" borderId="0" xfId="0" applyFont="1"/>
  </cellXfs>
  <cellStyles count="2">
    <cellStyle name="Normal" xfId="0" builtinId="0"/>
    <cellStyle name="Percent" xfId="1" builtinId="5"/>
  </cellStyles>
  <dxfs count="7">
    <dxf>
      <numFmt numFmtId="0" formatCode="General"/>
    </dxf>
    <dxf>
      <numFmt numFmtId="0" formatCode="General"/>
    </dxf>
    <dxf>
      <numFmt numFmtId="0" formatCode="General"/>
    </dxf>
    <dxf>
      <numFmt numFmtId="20" formatCode="d\-mmm\-yy"/>
    </dxf>
    <dxf>
      <numFmt numFmtId="20" formatCode="d\-mmm\-yy"/>
    </dxf>
    <dxf>
      <numFmt numFmtId="165" formatCode="&quot;$&quot;#,##0"/>
    </dxf>
    <dxf>
      <numFmt numFmtId="167"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[ecommerce-dashboard_tutorial.xlsx]Pivots!pvtTrend</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Last 13 Week Trends - Qty &amp;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0A1A-43AA-9929-AADBC914E415}"/>
            </c:ext>
          </c:extLst>
        </c:ser>
        <c:dLbls>
          <c:showLegendKey val="0"/>
          <c:showVal val="0"/>
          <c:showCatName val="0"/>
          <c:showSerName val="0"/>
          <c:showPercent val="0"/>
          <c:showBubbleSize val="0"/>
        </c:dLbls>
        <c:marker val="1"/>
        <c:smooth val="0"/>
        <c:axId val="1755170208"/>
        <c:axId val="1434843855"/>
      </c:lineChart>
      <c:lineChart>
        <c:grouping val="standard"/>
        <c:varyColors val="0"/>
        <c:ser>
          <c:idx val="1"/>
          <c:order val="1"/>
          <c:tx>
            <c:strRef>
              <c:f>Pivots!$C$9</c:f>
              <c:strCache>
                <c:ptCount val="1"/>
                <c:pt idx="0">
                  <c:v>Sum of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0A1A-43AA-9929-AADBC914E415}"/>
            </c:ext>
          </c:extLst>
        </c:ser>
        <c:dLbls>
          <c:showLegendKey val="0"/>
          <c:showVal val="0"/>
          <c:showCatName val="0"/>
          <c:showSerName val="0"/>
          <c:showPercent val="0"/>
          <c:showBubbleSize val="0"/>
        </c:dLbls>
        <c:marker val="1"/>
        <c:smooth val="0"/>
        <c:axId val="1756320800"/>
        <c:axId val="1434898095"/>
      </c:lineChart>
      <c:catAx>
        <c:axId val="175517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843855"/>
        <c:crosses val="autoZero"/>
        <c:auto val="1"/>
        <c:lblAlgn val="ctr"/>
        <c:lblOffset val="100"/>
        <c:noMultiLvlLbl val="0"/>
      </c:catAx>
      <c:valAx>
        <c:axId val="143484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170208"/>
        <c:crosses val="autoZero"/>
        <c:crossBetween val="between"/>
      </c:valAx>
      <c:valAx>
        <c:axId val="1434898095"/>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320800"/>
        <c:crosses val="max"/>
        <c:crossBetween val="between"/>
      </c:valAx>
      <c:catAx>
        <c:axId val="1756320800"/>
        <c:scaling>
          <c:orientation val="minMax"/>
        </c:scaling>
        <c:delete val="1"/>
        <c:axPos val="b"/>
        <c:numFmt formatCode="General" sourceLinked="1"/>
        <c:majorTickMark val="out"/>
        <c:minorTickMark val="none"/>
        <c:tickLblPos val="nextTo"/>
        <c:crossAx val="143489809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[ecommerce-dashboard_tutorial.xlsx]Sheet1!pvtQty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many do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Sheet1!$A$15:$A$22</c:f>
              <c:strCache>
                <c:ptCount val="7"/>
                <c:pt idx="0">
                  <c:v>1</c:v>
                </c:pt>
                <c:pt idx="1">
                  <c:v>2</c:v>
                </c:pt>
                <c:pt idx="2">
                  <c:v>3</c:v>
                </c:pt>
                <c:pt idx="3">
                  <c:v>4</c:v>
                </c:pt>
                <c:pt idx="4">
                  <c:v>5</c:v>
                </c:pt>
                <c:pt idx="5">
                  <c:v>6 TO 10</c:v>
                </c:pt>
                <c:pt idx="6">
                  <c:v>More than 10</c:v>
                </c:pt>
              </c:strCache>
            </c:strRef>
          </c:cat>
          <c:val>
            <c:numRef>
              <c:f>Sheet1!$B$15:$B$22</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1B4F-4062-855D-0D1E9F72E230}"/>
            </c:ext>
          </c:extLst>
        </c:ser>
        <c:dLbls>
          <c:showLegendKey val="0"/>
          <c:showVal val="0"/>
          <c:showCatName val="0"/>
          <c:showSerName val="0"/>
          <c:showPercent val="0"/>
          <c:showBubbleSize val="0"/>
        </c:dLbls>
        <c:gapWidth val="5"/>
        <c:overlap val="-27"/>
        <c:axId val="1723852096"/>
        <c:axId val="1434782415"/>
      </c:barChart>
      <c:catAx>
        <c:axId val="1723852096"/>
        <c:scaling>
          <c:orientation val="minMax"/>
        </c:scaling>
        <c:delete val="1"/>
        <c:axPos val="b"/>
        <c:numFmt formatCode="General" sourceLinked="1"/>
        <c:majorTickMark val="none"/>
        <c:minorTickMark val="none"/>
        <c:tickLblPos val="nextTo"/>
        <c:crossAx val="1434782415"/>
        <c:crosses val="autoZero"/>
        <c:auto val="1"/>
        <c:lblAlgn val="ctr"/>
        <c:lblOffset val="100"/>
        <c:noMultiLvlLbl val="0"/>
      </c:catAx>
      <c:valAx>
        <c:axId val="1434782415"/>
        <c:scaling>
          <c:orientation val="minMax"/>
        </c:scaling>
        <c:delete val="1"/>
        <c:axPos val="l"/>
        <c:numFmt formatCode="General" sourceLinked="1"/>
        <c:majorTickMark val="none"/>
        <c:minorTickMark val="none"/>
        <c:tickLblPos val="nextTo"/>
        <c:crossAx val="172385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[ecommerce-dashboard_tutorial.xlsx]Pivots!pvtProduct</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Which Products are Popular?</a:t>
            </a:r>
          </a:p>
        </c:rich>
      </c:tx>
      <c:layout>
        <c:manualLayout>
          <c:xMode val="edge"/>
          <c:yMode val="edge"/>
          <c:x val="3.9413988657845005E-2"/>
          <c:y val="3.16384180790960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Pivots!$B$27:$B$28</c:f>
              <c:strCache>
                <c:ptCount val="1"/>
              </c:strCache>
            </c:strRef>
          </c:tx>
          <c:spPr>
            <a:solidFill>
              <a:schemeClr val="accent6"/>
            </a:solidFill>
            <a:ln>
              <a:noFill/>
            </a:ln>
            <a:effectLst/>
          </c:spPr>
          <c:invertIfNegative val="0"/>
          <c:cat>
            <c:strRef>
              <c:f>Pivots!$A$29:$A$49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Pivots!$B$29:$B$49</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007A-4C3B-BE8A-CEF4325253D1}"/>
            </c:ext>
          </c:extLst>
        </c:ser>
        <c:ser>
          <c:idx val="1"/>
          <c:order val="1"/>
          <c:tx>
            <c:strRef>
              <c:f>Pivots!$C$27:$C$28</c:f>
              <c:strCache>
                <c:ptCount val="1"/>
                <c:pt idx="0">
                  <c:v>F</c:v>
                </c:pt>
              </c:strCache>
            </c:strRef>
          </c:tx>
          <c:spPr>
            <a:solidFill>
              <a:schemeClr val="accent5"/>
            </a:solidFill>
            <a:ln>
              <a:noFill/>
            </a:ln>
            <a:effectLst/>
          </c:spPr>
          <c:invertIfNegative val="0"/>
          <c:cat>
            <c:strRef>
              <c:f>Pivots!$A$29:$A$49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Pivots!$C$29:$C$49</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5-007A-4C3B-BE8A-CEF4325253D1}"/>
            </c:ext>
          </c:extLst>
        </c:ser>
        <c:ser>
          <c:idx val="2"/>
          <c:order val="2"/>
          <c:tx>
            <c:strRef>
              <c:f>Pivots!$D$27:$D$28</c:f>
              <c:strCache>
                <c:ptCount val="1"/>
                <c:pt idx="0">
                  <c:v>M</c:v>
                </c:pt>
              </c:strCache>
            </c:strRef>
          </c:tx>
          <c:spPr>
            <a:solidFill>
              <a:schemeClr val="accent4"/>
            </a:solidFill>
            <a:ln>
              <a:noFill/>
            </a:ln>
            <a:effectLst/>
          </c:spPr>
          <c:invertIfNegative val="0"/>
          <c:cat>
            <c:strRef>
              <c:f>Pivots!$A$29:$A$49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Pivots!$D$29:$D$49</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6-007A-4C3B-BE8A-CEF4325253D1}"/>
            </c:ext>
          </c:extLst>
        </c:ser>
        <c:ser>
          <c:idx val="3"/>
          <c:order val="3"/>
          <c:tx>
            <c:strRef>
              <c:f>Pivots!$E$27:$E$28</c:f>
              <c:strCache>
                <c:ptCount val="1"/>
                <c:pt idx="0">
                  <c:v>O</c:v>
                </c:pt>
              </c:strCache>
            </c:strRef>
          </c:tx>
          <c:spPr>
            <a:solidFill>
              <a:schemeClr val="accent6">
                <a:lumMod val="60000"/>
              </a:schemeClr>
            </a:solidFill>
            <a:ln>
              <a:noFill/>
            </a:ln>
            <a:effectLst/>
          </c:spPr>
          <c:invertIfNegative val="0"/>
          <c:cat>
            <c:strRef>
              <c:f>Pivots!$A$29:$A$49</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Pivots!$E$29:$E$49</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7-007A-4C3B-BE8A-CEF4325253D1}"/>
            </c:ext>
          </c:extLst>
        </c:ser>
        <c:dLbls>
          <c:showLegendKey val="0"/>
          <c:showVal val="0"/>
          <c:showCatName val="0"/>
          <c:showSerName val="0"/>
          <c:showPercent val="0"/>
          <c:showBubbleSize val="0"/>
        </c:dLbls>
        <c:gapWidth val="10"/>
        <c:overlap val="100"/>
        <c:axId val="53159023"/>
        <c:axId val="1769362192"/>
      </c:barChart>
      <c:catAx>
        <c:axId val="53159023"/>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362192"/>
        <c:crosses val="autoZero"/>
        <c:auto val="1"/>
        <c:lblAlgn val="ctr"/>
        <c:lblOffset val="100"/>
        <c:tickLblSkip val="1"/>
        <c:noMultiLvlLbl val="0"/>
      </c:catAx>
      <c:valAx>
        <c:axId val="1769362192"/>
        <c:scaling>
          <c:orientation val="minMax"/>
          <c:max val="1800"/>
          <c:min val="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9023"/>
        <c:crossesAt val="1"/>
        <c:crossBetween val="between"/>
        <c:majorUnit val="200"/>
        <c:min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[ecommerce-dashboard_tutorial.xlsx]Sheet1!PivotTable9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long do we take to 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Sheet1!$G$14</c:f>
              <c:strCache>
                <c:ptCount val="1"/>
                <c:pt idx="0">
                  <c:v>Total</c:v>
                </c:pt>
              </c:strCache>
            </c:strRef>
          </c:tx>
          <c:spPr>
            <a:solidFill>
              <a:schemeClr val="accent6"/>
            </a:solidFill>
            <a:ln>
              <a:noFill/>
            </a:ln>
            <a:effectLst/>
          </c:spPr>
          <c:invertIfNegative val="0"/>
          <c:cat>
            <c:strRef>
              <c:f>Sheet1!$F$15:$F$30</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Sheet1!$G$15:$G$30</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22C6-4DFB-8F42-E38F40274CF3}"/>
            </c:ext>
          </c:extLst>
        </c:ser>
        <c:dLbls>
          <c:showLegendKey val="0"/>
          <c:showVal val="0"/>
          <c:showCatName val="0"/>
          <c:showSerName val="0"/>
          <c:showPercent val="0"/>
          <c:showBubbleSize val="0"/>
        </c:dLbls>
        <c:gapWidth val="10"/>
        <c:overlap val="-27"/>
        <c:axId val="1717036496"/>
        <c:axId val="1769273392"/>
      </c:barChart>
      <c:catAx>
        <c:axId val="171703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273392"/>
        <c:crosses val="autoZero"/>
        <c:auto val="1"/>
        <c:lblAlgn val="ctr"/>
        <c:lblOffset val="100"/>
        <c:noMultiLvlLbl val="0"/>
      </c:catAx>
      <c:valAx>
        <c:axId val="176927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03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custmers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Where do our custmers live?</a:t>
          </a:r>
        </a:p>
      </cx:txPr>
    </cx:title>
    <cx:plotArea>
      <cx:plotAreaRegion>
        <cx:series layoutId="regionMap" uniqueId="{00000000-E80D-46AF-9F65-9AB73B078CE9}">
          <cx:tx>
            <cx:txData>
              <cx:f/>
              <cx:v>Qty</cx:v>
            </cx:txData>
          </cx:tx>
          <cx:spPr>
            <a:ln>
              <a:solidFill>
                <a:schemeClr val="bg1"/>
              </a:solidFill>
            </a:ln>
          </cx:spPr>
          <cx:dataId val="0"/>
          <cx:layoutPr>
            <cx:geography cultureLanguage="en-US" cultureRegion="EC" attribution="Powered by Bing">
              <cx:geoCache provider="{E9337A44-BEBE-4D9F-B70C-5C5E7DAFC167}">
                <cx:binary>5H1rc9u40uZfSeXz0oMLCRBvvXOqBpTk+yV24pnMF5ZiKyR4JwFef/22bCfHouQcemtUu69WM1NT
idRQiw/Q6H660fjvh+6/HpLVsvrQpUmm/+uh+/1jaEzxX7/9ph/CVbrUR6l6qHKdfzdHD3n6W/79
u3pY/fZYLVuVBb8RhO3fHsJlZVbdx3/9N4wWrPKL/GFpVJ59qldVf7vSdWL0L97b+daH5WOqspnS
plIPBv/+0Vsm6nteZWr5cfM98vvHO6Vj1ef1By+vM9N//LDKjDL9575Y/f5xYyDy8cNv4+/b0u1D
Auqb+hGEbXzEKXZcwqh4fn38kORZ8PK2hQk5YtRhDmL0x9deLVOQfI9OTxotHx+rldbw457+v2OE
jV8CT+SPCU/iYf1E1igEAMjvH79kyqweP9yZpVnpjx+Uzp8eWdV7+frnfrl7ej6/beL4r/8e/QU8
sdHfvIJ6/Hj/01ubaP4HpG+S5cOq+udxpu6RK7jAtivQ0wvQ3MQZHyFuU4zIz3nwPMme0Z6u126s
R/ITkB5JHBjOl3lmVtWq3wPS7IhxxjlF/E2kmcNsRhkYi9cYv0en3ShvjTAB5y2ZA0N6tko+XOWw
f/zzUK+Nt2NzTrD7vGj5eFHbRwTZlDMygvpdSu3GenuICWBvCx0Y2vPkwyyvlo/5P482mHBOBHPI
j51ajNFGR1ysTbzDnlY+3lze71JtN+bbQ0zAfFvowDD/IwGH6HG5B8T5kYtsl7g/nLOt9U2OCCc2
rO9NqN+h0W6gxwNMgHkscmAg3y2zDxe10h+uvyld7GN5O0cE3HAsbPd534blu+mhoSMGCxtjAgv/
9b79f6DabtTfGmgC+m+JHuAsOMuXZa2yvSx34cCGTmzypudGBLFtIZxdBn6NwTuUe3sOjAeZiP9Y
7MCw/yMpVLYHLw72dSYgxMYOALt+uaOFj8URh5fjcHtz4U/XaDfWI/kJMI8kDgzhe7CqdbWPjRz8
cBe5FFFw0N6AmAgIvhkC8F/b9neotBvj8QATQB6LHBjKn+s8qdO9rGR+JFwibLDQb27h1CUYu2RE
pr1Hp904b40wAegtmQNDGljATOlkWeu9bNbMRhzsNn3GGlzwTXcNCDVEbEr5aEm/T6vdaO8YYwLe
O6QODXFwgS6B+t2Hf86PbBfIFtiqn234rmCMuNgW9ijwXvtlk5V6A++tIabAvSV0cGg/VBB6Z2Yf
cLtHDge/DKKxN+DGRwA1/EPt3c74e3R7C/WtMSbBviV1YLgfJ6tsH/GXOHIIcrAgbGzLyREWLgZr
PyJaJmuyG+BN8QnYbgocGKx/pMCb7if3RYEjQ8SF+GlzjwbGlBPwvNGzwzYy3NMV2g3vSH4CviOJ
AwNY1mYfaRAK6xYTMMNvBdAEHzmOzYA5GwE8WaHd+G6KT4B3U+DA0PUgrNL7CJ4FJLEEoUCQvOFp
E/C0XcqE7WwGz9M12o3vSH4CwCOJA0P4VjWrSqvHfZBgFEJn5FD6nLoCmntkqjE/opwjgvmI/X6X
Urtx3h5iAtTbQgeGNhQkLQHv5T6CZxf8KUYwAUSfXlvBM+Q6wPEGow6u2Gs+7F1K7UZ7e4gJaG8L
HRjad2pV7YX6hM2ZIWC93OcwCW0VHqEjeBO5zN2d1Jis1260R79rAtQjiUPDGUgBuYIquX3EzOzI
dcjaF3uhSLYqFCBmRgQxPF7Wa4pkulZvIL09xhS0t6UODHEosNoH1u4RgYwULNtnekSM6TDIWhHi
QtEhGm3YU/XZjfKG9AR8Nz5/YMh6UET4ZLO12Yff7R6hdWEZMNjPEI/zklAajIEfczgeMdzv1Ws3
0jtHmYD4Trn/Acj/WsWNH74uIv7jh2O0owr8nUXglMNathkT+I28Faxlhjnh2MbPU+HHdz8XB4Nz
9LN0/dlZ26XTGyi/kt34jc8/8dcP5X9ceTfsc+ulWtXDHjJS7EhwG9sIszfXK3BgUF0kRk71+7Ta
jeOOMXbAufFX64MN28/jwBBfwJmHvey/bH1wgzkOflmSY19rXTXiOvAPHrEi0zXajfRIfgPS3Yc2
RhIHhvDLHE6WewmfgPYA8hoY6hc/a2sTxkeuC1lHZ0x+vVOt3VjvGmQC4LvEDgz107RYVWqZ7MGO
EyjjJq6zPozz9BpHzNiBkNqBlQ85jfVrRGq/R7PdqG+NMAHyLZkDw/ukTr/lyaP55/G2IQnlQkhs
b6cd7SPMMCx98rL4N92u96i0G+itESYAvSVzYEB/rb/tI5gSR+A8w5qFePjptcV4Qo7K5cyFc1mb
KE/VZzfCG9IT0N34/KEhmyf7IULgtB0UgiDwszazy3A8i9scwxoeQTpRkTcgfS09BdLXnz8wSE+z
fh+QAo+JCNSCAKw/4t0NZPE6fyEYA89rE9mp+uxGdkN6ArIbnz8wZM9X1T5KfBzIIj5VCrzkGbfS
jOKJ9MKUAJ/5OvE0VZ/dyG5IT0B24/OHhiz0VdhHTpEdAWhwGs5+I/mwJrHgPSgCGUM7VaE3sN0Q
nwLuhsCBoXuxjPdRHgDLEuIhyCW8VW1NjgR2MAMXanPdTtVnN7Yb0hOg3fj8gSH7eRUu0z24xhD/
QCTLkEPeYLIgzwCFAJAzxM/n4kbe1HS9dmM8kp+A8kjiwHC+XFUP0ELF+6dbzUCWgSIm2M+U4RaV
haDCHgIkzHdWVE/XazfOI/kJOI8kDg7n7DF/UHshp9fRLnjOnL9QWGM3i1Co6eOM0nXa+LWbdbl6
h1Jv4TweYhLUY6EDQ/tiqfVqDx41WG/gNaCt0MuZ5V31PQzetl02gnq6RrtxHslPAHkkcWAIP5Pu
cll9208mwj6Cc+mAImSJdwfF4F8LFzZqqMR9em2u7Hertxv13cNMAH+34IHNgYtcf/gjC1bJah8R
ln0EThqh7o8Ia7yBAy2yPvAIlNczyTly1N6p3G78dw0yAf1dYgeG/eXyEap19+C3QV0Bg5I+wl/q
77c2c3QE3QHhcCQeV3pN1mg31qNfNAHmkcSBIXyXJ8u9uGvrWj7oG7VuGvf02kIYTljYAgp0t+o2
J2u0G+HRL5qA8EjiwBC+XFb76izDbegtg156h40tN4TYDsXrzX1EaE9WaDe+m+IT4N0UODB0PwO4
0Lb1nzfR6xQykJ8A8IvrBa72RsIC8F0nqMA1G+3J71BpN8LjASZgPBY5MJTvwuVe6nEBZOgAxKhL
30ohkyPqYuRCF7GR6z1Zo90Yj37RBIhHEgeG8NpIFflezjo+NZmAley+hNPjnRiSGILZ3CVAhe8I
st6j2W6st0aYgPaWzKHhnQNRtgerve4ggQSkpF6sNizbTasNK96GymyBRzUhl1MVegPjDfEpAG8I
HBi6QAzA2aMqW1aP+yFDoYoLjidjl75411v1fFB+D7sztOceme13K7Yb7jd+4ATc35A8sAlwtSz2
ETZDUCUgHQ355uegagz7Oq0FvCgCW7+J+1R9dqO9IT0B443PHxqyq2a5l8a8cLaNEQ4N/V4okS1s
ofkXdHIF0z1yxa4ma/QGupvyU/DdlDgwhK+rJdCd//zeTCkUYQMl4rK3mnJCb2YH+sawcfn1dI12
IzySn4DwSOLAEF7vQQtA+UHph/yHodxxvgyM6LtuPoF0NIezUBxq+J496fEBGrDPkPCAu1Hojn35
p0ZTpt5uoDd+2M9hJuC9W/DAYL+BHp17aT0BARRlHLrov6SxtqgSBFSJC145HZ2bmq7RbrxH8hOA
HkkcGMLraTxTq2AfBbxwhAYDGwbHaEYhFbSRwUChgDP+UiX4w6K8XGr0Hp12w7z9syYgvS10aGBD
E4J9FI9B82ybCgaO9gsptuWJPU0FZkN6agT1ZI3ewHlTfgrImxIHhvDnGk5A7sMTg7peitalf28f
TidifQbSAexf1xJN12g3wiP5CQiPJA4M4bt1+7599GeEajFKCLSDetmSx0Yb+vexdYJyK5qartFu
hEfyExAeSfzfQPjtm+l+XvQ3W5rl/OmKwFeX0/363acHBHcbjkRfFtRuf/t5sZ0+/v4RKA7qwNVx
r3zw9UAby/H5QrcfS3RTagUpk98/wm2DUEoATbMdxuDGQSoQRM/t6uUtYEtdaK1OGVTxO+C3f/yQ
wbVa4e8fof8jnISnwKUS4dgY+h98/KDz+uktuDMJQ3kaWk8vyG4y8fMSx5s86YM8+/lUXv78IavT
m1xlRq8Hhi8pnj+31tdBDlzDsG7fDnlSAsQsBXq+eFjergv64SH8r6ZvG9vYvL02XRN7ton/zJv+
ludNM09EcJ3iMnrIVZNJ1dPP1NDIa6jl37m8/W6FaEGYY8uBWoMM3HKOssSVKQ+Suar8b1UQY69L
eCWbOru1RRIcI5H7x23jX7pwt+UsLPi3mqo71gx/hqlhHklMLUlhe10epicxL85ooVMYMYwkFdli
SMgdfNesNbiWVVuHM1L3WEZuHXn+wC5NLL5A0XUoszh4jLR7aVf+J2R312GgT3KOC9k0/ScSIrSw
XdrIyG5uOsLzuUsJk5x0rUyT2PMDIoeh9GhZR6fIJkq2BT7BoZ8uhMn1PFbGndd9Qec09o9ZnFQy
p6k48Qv7cyWMbHoxqymd14VGsqwc5am0Px1wZHsmC10ZoOHeEY9p7s8q0l1qnZ7xxvxVo0F5RaQ7
aVPVyLr3E8maOpRO168alJ82mC84tbgUKLwPcBpI4Vpe4ialtKtUBmo4iQi/bhW/4nbgBXl1n1vO
t7ruz3keH1vxMGOUe6XGp7UffyI9zWTgsFsXnpCveCCtvFq0SXJV2eKWKfQt7gYkOySwdBAepODt
l5TYXyNXXJGCt55pMntR1FhL0fFzHLmfrYRmHhvQvWqiRLZZdD5Q/0vRVVdFbZ0HVSykTpKVbYV/
d431uaD1RRd2t0awBWLWX7UVPSQicqTj9I1XFQGXQ5K7c6LL77zv71BtKVna4hJgumgjPiuraObb
33HhzH0CP6eth0XBcz0jtrrLw+iERW4uUcCPh4g7ssryv2nGvtJU917Wd0u7bmF+4bKUaZDFsjH5
BW6SRx9mpKhoOrNJfowTdlaz/iRn5rGx7EiSkH52dHAcKGXJwS9vMGqNxHHTzaDxUCgrq49mVli7
sqduIZGI7yMDD2nIrEg6oXaknZJbw4q5KNKTHqWVmGuTFWd+0AZXpM7vO/01KU8prLmvqVEy70t0
EgaxkoOxv+RlH37q20qc+nGSypzr7thufCVR3dpeXeJo3tehI5VVfHei1oiLFpcm++SHftTPTRqX
w5fGyVUsnaZztZCBH9t3mU+L2LMCeq/sKJ/buL6DTM8g/d6WXWY7M9E2s8SNohnPxHFftHpmYded
mbZKzlRh83na+HhetPRr3jjRfBhguSUhTOmsNUyGXeUpx6GepdJZ4Iruzi06JvMwvO7C4ZGYTqoy
cGdKlQvU1rM6TvF86LA/z5gbzmI3WCScX3W2LU2hvAG5fyonW4Su40vjhgtmzKlyqaxQP0u6/CZR
9aJoLOMNlj7PC11IqzFndpgFV0ncfYltdgdPFx+Xwr7SUXXTlfUXEYuTitqZF/jtN83s+zynf6WI
J5L4pRclNJVlOQwL1qp7J+xsmQ9p6EGi5Kr1GyGzlrZeHCYXqB2O4W+J16mokKVxvhYWKyQprXlF
4+/9UH4pIn5flOoyqexvlR5yD6X8mhlxxuocSbsMqaRli2VvAstDPv6GuujWJdkFgFdKEQ2tNDH/
kjZNCyuEGs9p3XBeusGMDZY9AzJgkFFcznIDi6mHpccH+J0hOdVB00gVmtuoBitA8BnC/NyvzUXs
JJXHBTcyaVko/SYVkqo0kTV3o5md4mHux2ZlhYNZ5KKMFqYWShYFusp8Yc2bpO5PSIbPhsBfWn16
EcbDF6unROKuf7CaMrrri67zqrY9KbSdybQX8YwH5UObIyWtChVenmZflMvOw6J4UAM3XkBQ+rnL
qhMrI184qVPPLwCNhPuLvo7RzPVdMBvtKU8Lf+az+qSIYHcozIMgrS11msBc02ndOjJBgVWdVQj3
jURJkM1tJvRC+0aLv0mqDb98fc3uxk77kBd9pYLw5cbkn3/81+c8hX+f7t3991+uL1z+95+OV/k6
TNfjD609op+f+vfdvWsP5OdFviO/5vnW5jecnl+++bZH9Nq1cYBe+JUztN0y68nBeJL64QxhSByu
i20RXN/pQCcfGPCnMwTF2OvcA1xB4kLbrvWNEy/OkA2lenjdlg+te3XBzaDgwvxwhggUecGAQHu6
UETiCvweZwivfZ0NX0jAgSw4ccegapDCpWVAl732hcxA86Ks6+4KVrKYN60fFrCxRzz2Yt42n5jl
9GdR12TxHKHYfDW53YAh0V0ptcjKP189vR2u2foM51gbSKHCAVA4PARXJq7rnF5rY2d9EYuwbq5I
meGrIB4yH9ZizkKvg21KyKa166+8KWBHrFLXlF4ZVXEg/UFz24MuhtmjMAZdwxhhPSNJgr8MjuXi
4545/gr3Fu4Wv9aYAP+wpTHc1AsnJ+DWN+jxgUYaKx4Ctr25op0TgCXqhuRLA1WYdGF4nzvgF3U4
minuu3LgrFeyjxE9Tpuqx7Oqyc1j2GmNPdi3nJmG68obadIQNZJXThzMgzwKb+JanKVahHoG7Im4
12F5Hiet082VttilqsImPf71r9qGAS6RRtC/Bu6kBJ/86Ue/cpB5bwWtVST6KjO+uM8DFxNpxwSm
RpHV3U3bVeKu8HHy16+/dj3XXs9FqDiHLoScQsdgCBsIXav16msd1AV2oYPsKnMHfIXjsL7KNGyh
rh/e//qbxhHA+psg0IDWANCzRXB3NM+KzIYNqQrzK7dA9rJs8yo59o3bExkX4RyVdTJ4FPVu7kXU
adP/NGnWk2Lzh8JEgdYENnRGhtYw46+HCl4VBlmqrngZO8s0qp1lnKx1cIZUz1mV57JHAP1xm5Qt
kWWc85VJhD5tRW9fdIxWyKNtlMdexLP0C60KQmeh2/erwmqKGbKGlHuOyO3qxKFsqOWvn96699hY
f742G3BGBO4thf4Km0AhVjuZ4/jWJa79dKkqowOJrdhktqR9nwVnbajib+DxFBfdUIKjktud8ghu
+HfDB9j5+zDgnp1HzUpVlD82ThHys18raTtbIFObwiRal+XAOTaHA7H0ejqxylWoCg29jOyy8AW4
bSIcjjvTUbEwTV17VVeiT03aO7UMw5B7Fc6ONamK48QuiBcnZXpbJE7aSZ60wZ9tlOanvTZGFk5Z
fGE6dmd+mflenUeRkgrixFb6kc6u2sLS16U10HkQYBFJa/Cz1CMNxHcOM8ktiYKboM9oJ5Oal1fG
Lz8bklp0xhoCD1L1BGyDXQ+DRK0bXSSh4371UW2fhczFF0PQNcJrUWin0Mi+V6eWW/WpbHt3mOHW
sWZD1D0UujR3NbJ4KNvU8IWvy/rU9gn5XIa4jY99bmHwrMPY/waHtStwj7LS+rtOeTorCk1O4zwr
TnEpkkfVFODHFTSN75TwOy6b0g7OKr+qvR6ewzG2ibgu27Sb221VLjDuMITR0G408JoWAmSvIaE/
TzWtZnUhrkPfCtAM49ycwFZDWi9DEZOu4clfXYrCc1KJ4s6hxjmuRWSRhWbpsHRZXs01uIPDoll7
xVbXoSXRSftdB0XheAMxqJZZQJpg0Zkoh8XRtvM+aGp3UeV+OEsMTU8y+KiEurwqhwedNlxGOoos
j/stlzx3ukHaJvE9aqwsPa5YPA/sukefWortmdIVSmQEM8ksqGmFPu4o7y5YPAyJ/6luS5OmsldJ
n1WPoR8SMnzVrdXxNJSiAlOeP5A+jQytZG3qGhxIE0NQ0p0JVQ7HjaiNf5pWShUyIkl+h7hFT6Oe
0hpCG5H4EmIh0QFcKQQfme/DfmiSuC3nLG4D5FWJwf51WCLG85O4520467tEmAumDYUZ1fo51q1X
w164YFYY+dcNLB0WeKVbuDDhaKzTRZaoSsikhM3Ln3eNYp7lwyEy8KR9lNlerv009UJRtz6EyzxJ
59oHr2DhZEE6eO7ggMXMSGzXXhpWViIb3Qf6RisrTed5oNzvVt1whWYoJ+ZY2W7tXjmWH/hnGeWG
O5GXdboc+hMNh1SqcF4EIU/nvm6GciEqnalFn7C0P0FAHBSeQ/pEebxz+uS4UqWyPICV/GkV6YBn
cDtBnM7gP2RdJxGyNDzyLPszSlORnlLgKpJ5HBp2O9SG0kVk5QSfh22oeSZ5SEJz7FdNkd3BZkzP
omAg8aIuQIN5bpJgmLu4G4TnRhAMXqZuD1PbgqVSzXyM67OKOk4yC3wa1BAxNgCn4hr8k2yI6LBK
YsiBzFxQIJ3RPg3LU4yUfRIoHgMNFMclnalc+bMBiApHWm1ViJvIb4FBoaqMBpkW0WCdIz+xF7jw
AwfUFbyY4z4c8tNQ4TaYx8IOW7n+nMRCiQymT0BLr2sVsFWmU9bfFfTi6S2pYB2RKzxkalDSbWyL
fu6TltRXrBB9PstEaS6dOoMtKdA8BgGRUnhavgpx9nXASRaelX2adAvdOoM6xyYwn+2IOEun81Nf
uhgm76LOOk7nmg0KlK9xlM4SWsbac1t/rrAqvyZtC55FFETNnXZY+62oQnrS8Dbw524MTKXMXB/G
cZI86hZZ1eCroSuo/UkbB3/GxoJPtMzSrmdwz7t5Q9JInVQdIe1pxgNNrpXFxX2GyvXkjKJSH/NE
h/qm623jeqhsAZsQCJt0lmswuuewg4l76iKY3SlYyWoGB927/BQCJp/cRFUdx7fEzYR92tlRW1+a
zqydz7DvbpzYYt08b1P46jwfhkZ2JDXDMYr5+sevVW/BPoFeRYqvbCeDX1GXDjyqMM7jwRNxA0un
SIDv+JRVHJZ8VYNXEMB7YFMJUGjXJbb7KpO0CIEWC9uqqy9TKyy0VKguu0WHOKLzvinJ2mjAYvLg
F4EB6QRe+8kmS++BLRJnbqOUK93QiWFe9AFbthkFNboq6m+p6ZA+D8DNjYA/yOLozoXd4lhnCF+V
Iii/AkXLShnaoSJnuRuI+twP86CZ9RUvISjnPT0uCDxWD/Gyf4iT2Lnpao3ykxL1Tfxny1IgJVPf
SoEQEGsbosoECE0Gmd65In2oFwVLxZ8WAtoxbYuglNwGM9dXbXircqPPRRpHzswhFQnA7Dk2bEch
EfdVZDXBPCEZLJPB8qk4tbMcl6sUDHJ/BneCwdpo1xZ7HjkWPNGuGZo5bDJteY6rmjDPF4lpYKel
DQLXu4z+rkQjPls9uOlngzAVfjQ66zXQZpg3p6olMFSX4nDw7DZgwWkBsLSeFQOnNwCPbC67nid3
UaNL6XJ9Yqdd45wMLQNwYoT1cFwkcZ5fZqyzLyyD7HwellnanAd9WwC94ug0/AyeiH5EIgMzAqZT
NzIOdQu0Y9u4JewCfXmXBCVWf+F8oG4jB/DA+i+FoZaAwbRfzUNuxcGZ5RfttzBAVuMlXLP4VAmE
P3Xa8ofjqi61mquhhkmqiInoTRcng3OVsiJJZFk0iF3aOLQ7rwfvRs/bsADUWjdTgawGnoLt0DqZ
44521axJiFsdD24Jsz+2u4DPer9HGvgLzco/W6fHn6OwgrkGO524h7me6ptMZBgMLClEtHDTkLWy
q78St25dLOO44V8ckpXtrHUCY1/afuI2t6WvRQWbO8zoeaEooAmBQ99dKGri/IJXRUhvSIcSdup3
OVBCquus4DKurKKdpdoHmwHeWG0uk8QH/SsRBwsdunE4azuETvvShnXfM8aVtP1wTxzJpXqocp1/
N2OS5DVH8q//x5mUnwWxr7JE4KP/rO/ayi09l8C9JmBeMlIg9ZNOgbMVkGeETBWHo6rAzf2bTln3
c4MuBhBXwS0kDpBZP+kUqAMUcHccsC8UMszrqpF/0ykUjtswKCZhMCyczCHkXXQKHfMBHLbBdVUK
ROIQ3uFxaFcy3KuWI/+yEjic0yGJhYdr4Z9bEGycZ1w3sbRQX/9tR+GZ8vuvboAHr+DRA20cPLNa
p+UnLEzSZl5SBKmYoizmXaSiwCMszO+DqmG9By3gIeTKwh4o3kgx2AYLWi3txFcrUyO/WpDMCWeO
bnLwq2A797toEdYqKucm0UR4QME2C8gjCHbWc0tIEfdS+7UQMlYFi2XkdBVsCdV3yw066cSQdnGU
30iwtY8+bO6S9UkoLRqJRdIEgQRnr5dhFZwlNb4uhvxcO+hyGNpPmA4XYQNpImpd2HlyioPwtFP+
4DmsStYmywHPsgGuRtvhRWGzY1RYNxEwp7eF756bIow8FrjATguNLzKdVx6x2njesyiSVWEBMV/W
153R11bcubINbCR7G0j0PG/nEGMy8GiZsQpP0b76HlNzpxJ0B1ebpI7XJCa7scp4uKR2vEjLYhEU
LPwLEn8eB+/AB4f3srGTQNI8/M51EHmQ/wnmJHdlLeqZ6Gl6ZzGnXRRuaSQvBzKrqvQ4K+HnFgkD
BwD4fR9InxnBsH03QeufqCKqJXX0wnRWfsuApBWs9TTqK8j11ZksCFBBCuLqgS4aBhFaXxf2Fy3w
jIeQCan6BMjfJFAyKVKvq4dKDgUvvjp+nUUQgQuFZEYC7em+iv4DJ7QZ87twQyoUWcLRRHdNGAJf
OSK6IhS2KBY6uiIoLBYUnMVl2MNzavs4C58Jhpec980zFfKcs33N+G4Yt//5TPKW/VsXIf/K/v2R
AC/+uBwbwGexHwYQyijsdfclwAEy6ZQDTj/5ZDg6yIEaRhQMJORa4K0fyXW40xzOfsPdaza04AIq
Gt76wSeDQYUcOLRcgxNpcBHuOw3gNoUL6T4oqwefCkIu6PQ2otbcLihF7Yb1daRMceYmwr6ssu7c
zZLSc+rqnqXprIxMfJLlPBlWYa5L61Pd9xDjQt4MwqvkkwiLDFI9/ScT2Ge5TvNFmWgl8QCJDB5j
61gljS3tIlwEcROeQvCNvKDwIfvR6iD0RFNmi5QXSX3XB8VXEfa5tKCYVHKIgCKvAFtz1nTWcOYU
WRf6Xu/26qxO4llPfOvEWNX3QGQDULLIP+5xDuQQjsVpUgfNfQElTOdEsfjSpRlwH+quqGlYzN20
R4sCu2rWVBaa8UZks5wOdJYkikjCBLhLWJzHvDLzMsCeY4hZOF1x5TphIxuai0WTDJ20fAMhVZi1
J1Wrr7DWArLn5deqDS56DBYNEn1Ek0tkB+ftYEJpoqKWsIuUUA8AS7HW9TwDhCG7aZk5fFnw3W9z
9nc/RI2/KJ0ylMAJQbgeanwiqvo2jOmdG6GsPgXTZ5lPCmflCbA6XlaG7KR0ep3dMYNEJcPa542k
3LePKW4byOn6zvfYr9tT1ef1cZ3F8WxIs5s+0lfMLs6yJLwqETl3jbXIdXtmpWyWD+BqlZlEEdh/
VTy2GblVRnx9WjP/vxsPB84f/dp4FCpbjW3Hs9QP2wHnTuEoItTeoPWxF7ARr2wH1OxwSFCB4/SU
cXrlPLlQaw0vuNfRgQI9xsGu/bAdLnTrhG6NUKMLLQnAsrwvF7XF2MIhKijKAQWhDNCGzAN802vG
Nqh4G0XUTa4tXH4NlIGQsk6+4d45TXCayYgNnq7qOXdSiRq+GGhwIfryqnXBP/HbtDxNVZnKGtLH
Fa/JInDQAuX0rlUNmbs8r70m6C+Q8WfMyoGbweZeuaTwEpxchE6ZeI1VnSSxXqasC2SN7UefKO0V
VgqFJU533rnNY1zj0nNjWIhgheesbxyJ+2yYQ5VGMqtSp5tB9GI8/r/ZO7PtSm3t67/K9wKcQSME
XH40u7e3u7JdvmHY1UgIkEAC0Tz9f5KcSirJOWeM3OcuHil7t2itNedvLtAiZGRxaTYoueykWu78
JQxznzXncQ6DFPPLawAtOsdY+VW59ASbosv7WXYps6YGmhEAm4B0L6Pkbk28F1uuDFc5CAbOnQl+
8IAfqQAWwDo/bVtWplF5DNiwWyJVwrTHielP8/PK2c0QyXNXdmeO1wSwotJp6/sPU1XnaN7aopb+
Ten5T+XSDDiHxjbFLdVhRBkLrbt24hQ816ENlior4+4lDrWTUXdhI8tC21fscfBF9wY15XlZyXQe
YnPtgsHsG2+CZNrrt5lhZJb1vu0mmpIxVCmZcCaPQemnvIxvOPOfg94E6VhNV4cSWtT1uOZ+uLJi
TaBWMJ04e0eND4HDv4ZNqfZQbtBW1/VZ0fdhfodotSMdfTdLoPajdve4yS0rdDe16hl9uHxs3Kar
v1Vs/TrN/GENXByPY6eitNY8jt+1J25LfL+P7iDdwzz46urrMrmStjSnJSkzkuBknSJ6GPQiUpe7
VcZJstwGYsWgWKl22kPzfpnklEdVy2+CWX3DHOwfXMWSPtXgOdZ/mqR/j3v/85z7EVP/60m3ea8/
nXQwMH10Q+hqCN3uXvdbl+T+K0gwCG7DHtzGPzdJEHDCGGNgjD20vx90CByAXsFMh9VoJPIp/TtT
IlqxPxloeAS0WhgUgb3jlhHen5tp7dR+tPr82rorKW+4P4Rvs+fy+BhqKdmdwhx4WseevlEOW+WQ
OLKv02l2ps+QXcxzwol6TJIqXGFQjpPaBTIaXkwweiXUvyYqKBe4yirnefYDkc5sJVnj+3Xmz/Qu
juV+ZN51tPSJNcv7xNZ3eDQESskDNTFkd+ru/aatrv4SdWC8KPyAMh8Bk3AqdEqNg/NQW5Mxd3mv
e22zftJTOmLySI0HE3BZ4waSfLxrpEVTI6M4DUdockyDi8QY1LX0gdjwoa2ol9cwAJdyvl1jzfLE
eu+97B+7wH/jsQhSVeppJyXGJuavQIyqBK6XVVUGvvRB0OhiY/Pqt/WuprK5tFqdR16PaV/6cU5M
5IESZDjupi7OurV+sH33qSdrdxPAfAecRrxUx3IGTQBxbyIgizRazWwIZiAHkjUXBCKKNepeA9rb
zHhul4+u/rYavUBsn5siNuOhMQKUZ3vw6iHvokjsFifJCMH4h3q3G9XAMi7wHvSlN2XMxuGhkvgv
Ymcc74l6lrz+GiX1fUx4HnfNFzjfT1Rt7d0gyKUMy2PVOfdV18NWCSOelaAoUzbSC8M4AA+QPHBK
n4BDCqCN0Veq5Hldgoduid20duMmlzKK0s4qkSo2n2XlZYM72ZQouW8qZ059mI3Q0MFf9vJZUNPk
FLzXzpurgnbDo4Q2nzlT2aXcjXekj+ztGDOVRouJh1ST41DT9jneip+ux/vVWpqGAb+V61inveMG
uVjGTzg4P0o7hVA39JiC9t1FOn7BJPEalRA3tPfetJhsYR+iSbUPzhLv+nK9NnUFmdjfJeUdvqzq
ltjx0iT13brQt4omMK7q1dvpuQIQmtQDBJPlPFB87bxQXJSv8rjVeOJO/AIz1Emh+VaZJ+Yyc3S1
q6f6Nuzaa5DoM7j1O2viPh0s/FAWkZ0T9G/EcXIe+p9auD8pVdGps/QKiSdIJR3PTlLumO1Vjjrx
FIvogzrzjabjN79sn0BYHTElXYStvaPLI/QC8PCzUOFzKEX7FfURl9gK3jOemzHvJL3ixdN0mPgr
CFoM9G579Uvvrg/Jrk/qD8cps1glUKh53aRt0N4No4ovMuDnqB3kC6do1Jul8aEwyebsNCOsMo7h
oHQpzaK2fZ/Ksi6Gpbn3TPnaOGrJMEqiuU/IIYnXSyOHm9Grs2Ykn6HVvw8B1O8QDzr596Kr8qZM
jrwbrqZx92AbDgFU7F1VNjdjSEkqSSx3UAMAkMK/Ih5IvpCf4G0G58rT8t7MNarpbL0ZB4S06EGC
NU/gNB1A0b6MrWxSpqCpp30lDEY+d9gDWe1TJpXKu5n4m29zctzKu+W4sGDfV+FVRu0KplPjwxmi
+WXtJXvQntecBRHhfsBbUEyN0xy8yFlA7nlRkDJTMje1dOAY9gLgqT7HQy+d6+0cUdb/lOlfy/RW
1P67lrvd1eKvJXr7nd9KdIhN/lDgIEmA+XHJH5Vc4DkullRC5kXVhcj6u5BBKESKCLwa9g4jSvB7
jQ63OzD9VrxDTA8/yMA/KE6IR/z7559TAt4vgtbPkA6aBqAPeA64rzUq9Z9ppIA3ncdsNNy2NeU7
pZoqn1VL4vV+8WEfYX5IOAD8gnDrclnUtp6K0Bt8r1CBv0ic70sVNOc+rvrlKib0I2EKYyPUmBhm
2o9pG8Jv2nsgeBqUKdJU5p47pbB+DuddybcVBwm5i8Yx0RLoV2fJeQ7DycyZ5/TCvEfroMGIDLSM
jJvNs7aJST3L9V6YLrkBD8CPbNY07aeJfOpVl9VxBVdnVNvlWcP19PrJnjG/Lzs/ruRt1NTjgwem
4MMF3tMdreDswxI97xrjthfIHqpoiCpvhYMTyTqCH6Cqt3UaT8Fyj1uPlkczqummltF06wk75Lrs
vqspNhxqqK/f4wrjVDMQuGC8DP0jD8Xw5E99m+EdDL/Ea5PsLW+mC8NwU6q12jcOCR7i1W2KOYAb
2IzuTODKIi8QDoNzDDCH3GpXi1094swgndd1KRABb0oDL/jAxzQc+tJdcZZ2EFEBqvtvwdqtd3xd
hUxrf/Q/QDOGZ/hg7LjUwrxCnQ1yD0mUO9klLF/jdryOY/0Fb6k89hBHHz1TuU0mXBdZi6lK0jBS
/HZpa5azJaxuw8qYfZI0uhBrEt+ufRUe2l6KLFlanfGALV8InZtLOJXmeWzVuDOJkJlxKv8mCLxm
TSk39Q5TB3qvuaf3Xq2cXdWH5i6ogi6HwK/OuD23PRtTn8qlXYsldlAsw2X+PhHeHOKuZadZVQTP
TUTOTYWG7tRWplGZWuDrDQN6h35BG9ix0duTCd+iOdToV1Y/KU+NdujzmDgvyuX+xXfi7oqnX+6c
uiU3RvlkN2jtXpeVz6cmnsSRVdIWyhnEDTHd8sB1POXWbL5tNc4Fs2sJ2ccYlv8j9MDXgmQDzfS/
n6z/v33/qvRfz9btt36crVsCC1tr/J8mmd/GHyw18TESbcvJ/qgRI2WFdCZSmtuGQYCYcN1+13lw
vxW0ZMByccOkzXX7G0crhKY/jz8gLhMXsGfkgWOGVfdHnUd14VqHS2mubhM81co8+rgEW2Lu67kT
KdJZ/IQKPbUeOYgFuZK2rstdadGFDvNYpm7f9Wg+kZgAyvLgknXNEKvy0L8jdGFW735wewCrCf6W
xLVZNKLzjgnTftrx5lFH8EpWCRvHU/ON07sqbaXosmm1TubMYZlHQySKxvpOqoepv3Vl+4R6FN5E
dpUX4ftDqqiPvqSExuA30Z4Y6LuxVVNGOWfpquUTlzHEX6dFEkabY9+FuzIeWGFq8C4Rab+BinwG
UeakjR8eVOA8OmvtpWVv4JrBPl9D9gFiXKR9OC6Zhpkl9VF4F48FXy1/10E2JOygVMnyyY4gRNdR
4B2p0eo3c537q+mKbhHv0wqdax7013GYTt7QTYhR4QVpi5Nax3eLg/lukYWzXsbBO80kfgsFPSpX
kDRZQjdPovCC+emuamcktCyCPWr2rvXm3TF3LLzYxUcSRCYdGDPHSMN+g2324LOJ3CcO/zL7aPtk
DEykCZqs8ri383vlpyay3i6g0PK6Ug1FU2+RphrZD+3GF7/ix2WsSBpqnotYPsy1geayjh4sUYCt
sYFbgM5/Ligwk4L1g31kgxtkpZe8MGebcqpu37viZOroiSTru+cwuW+XOh2g+wjLk1z5vE7hmfK0
I91hcq2f0aE/4eY1iCzpfp8Ercjq0pPuXUcG+RiXPR5YG+hh6roS/aVSkzr61rnDF/w9UZVKtWDy
xGvvVff2RoOUy52YAP2egm/zNH6zyHLtzDAjHGPi8gB47aPFJZoqPJWsRm3dVdP4GGKGPrexe7JC
fO7W5Lz2sIdDxfdqcnBmw/A1buzuBlZ6qapLzKvG3A5ixeVjnzgrP3oexQcZABcUTvtYrsFWe8eX
PoiOdT+wQxyqE0p+Ax2QtrvYyCNl4SfNXX6yg6RpLdZH/M3p0tvQgh5SqhgY1dkvpJjVQP48DOm7
YA6WzKUlzb2SvBgldGbXcUTxlfJk/HHOZgdDJ18wlzWmQSZpNuqVuSU7SM71naBhkk5Bn89y8Xbx
iPnRR5lmAwecI7zU+ApJm6CTRdmIERNgXeFqHxDmqRRPlaAcOcLx6K6xe+xjfoy8stlTPJe0p8GS
QuAZ0hiAiRHDmqpeHsjQH4RDc6HWASDnACOocTxcaWTIAJJhJiE8yhNm8oF4QAHxHw4J7wRLUjjU
n7xZnEM9nlSw3CZEP9rIjulq2j1atjqVbbkigOndYqT/VKlQYgzjdy0Z72s2Pcc1Ao/t+mpK8Eo1
ggxpq8QzYN8Tmd3DYszTAL8VjZl0Uxf5qzRp5ktt+iJytdq1S2xSX883pQ7ua7mgFZq8IvK7kz/C
Ml7M+J2E5VsFRQdE9S0A8LteRBCprfkoy3BOx3p9bTjkVdLHcQHa7c20ESiYpYTC4HdPiqOxdDqF
PBO+NSD+l/o5GAVUCkJlsMdGab/gCqxqWKl/Svivw1HwP0GXbVHIZazM/7t+VKb7D3PS9us/ajlM
GyiOobfdnCP+deL5qZZjYztK9la3f/VzfsxJGIYS/E6M/4GgULiNUD+KOfkXkjD4NReTVYx0R/x3
ijn+zh+iACECSLg9eQKv10VG2/+T3av9rV+mEbsy6CPGP1fk3zAAzP7/PIkhrPyHx4BUirhMjD+E
OBRCUb80Jj/bQq2n3KRrlhmBoOgo+ZjsME0IvYva+WYOZgrNHWzeHvawKKjTaXT7Qxw++ghNQv5B
zvYm0hHSE5KV/c2oHUDp7QhB74ZSxwW3bsaF5S60gbUwk1uobnK7Q81BLmuHuPt5BqOtFfOLCTcJ
3WtO+sKoSewD2oG3sPQOKQy270Ac56Niel85rPELppVw9rJFDX6UeuXfwX/bXeCBfhGoYa5TJM1C
fMwFDX4qvA55wwJQvxs8Ihdb43zq5/5+mPEsAInvVscDFDzz16ADrzxzjUyf06d1Uh8D2+8thKZp
pB5Mbud25PY5rIOnPjGPul4vTNpnGsJBi2mvgPiQS68J8Pb+wrkAk8PqIzDIKmczPU9ek8ZuG6eW
qb1bzTiSELNd1XLSofu5E2LJmiaiOKj6q66oOCSSX8bZ/eC0XhBjRNialGRN48b7xhvV5EuSFIui
Ih0SeOGMBC3olzncy6Bcz/3SnW3p7Oe2hhhTsX3bhDoH1ZextSv6qbpppzAoyoCg3+Ldfl31sdTV
w2bX7YUMZc6c+qjXTRBFxFuaWReat49KD2ceINvuwIP7AvbUZItmUwZ+dTcDPYTMWBWQaJH/jmWO
FO9x7vqbiUhgBoLjbQXZAjcUPjcT4WNIYFcFMxkPqG5hivCnD8UPhcNdhpueom9kiT7ael72qnG/
ETp+BWEU7zWY9XOQtODheR1W952MMXTPpAozr25TtMfOKamFtzex+6V2+HGlzu3gRZ8G7uwbXiIY
sWhEUONsDBD8aON7K+UuEX4udFkYz8laOtWHqfH38TT4eR/gjQ9ldDCuffFWFJouZFs++22l9ka5
Q5BWej6FjXu34o9aT4Jh5+lKvP3YOUhUeN8cZz4qsl4CoBBJ9DyXbypeTxDZ4l0oYKlF4ad+9VJu
5w8LdXcc4uFM2voCJP+OlcLLAr+maVknnxvmf96W/uR68i4JkSybyLXnh6UlPIOzCX8T7CY02ad4
Np9IbYuZ1XMecnZHbOenboU2r7XVeVD1MYwQv1it99w5/CmO20+oV2jip13Euu+AcU994pyQCllT
I+ipF8m+oc24sbd5oDxEX0YyPJBJnPD6zqFw3wLE7hFVb6o0UZrv/KATty2Z68PstP5naBbRq4lV
pcFILyXU37J+mKGzpPPceAVWLOjUqQae9w64B9FsCv+wwHbwQX9MuCwutoMUMJIVqmODdttkY0e3
KwwLr1TaJ4Mt4r6MP1aK+DIP6bNjfFpYQ2+RiinR83TwX0li8GUOENFfxuaMIR+2ix8+DK4LXKyf
+pzZDlOMJ85WLY9tV0+pmNDwW4TodogCvFL6KPDJ5/2IiHA0G3mKg4belB3Hm712VVpT9UEYWDqK
fD0uOeSKSPjksq7G+7jUe7awi0AMGqnF8r4e1Mc4J5koRR4LDECl4z6WFJ9y0L2ZsQZ1Jw5WDN8j
PV2bcBU7VqLLDqbmsy/GHafR2xY9GGOD4cyDUY9sQweXWcapiJaLKcN8gccsYF+J3v/a0mHed32Y
C2k/26Dco1Pr0rUa38yADQwaH3M97fwyevGkeUZY4SX0VIutDOJxbpaLTKbD0Hu4wCfxwvhyrCZc
ovN8Y8t2z9oSGEpDH4ZhvYaGfp55eKuQtIiJfZlWnXkTuuRotTvEYXBYuDrDp4FYfv0GPQcMtqB7
6MthOjd9hSx+dWRm5gUPJBKDIX0Ev4d3sPFqiNfRU2+r0xDQIYNwBP+On/tSgQKt5F1VrcNBCfYS
Ln2UIoh1CNugwHGTO+N8E0i8+pZHl3iMDsi5YoILPyedzUtE6Lq4vgLYOECUQdNdYqODX787sZPD
4Dggvzihnyzf3aE+4b3Oq3WWKTKsJ0Sa7k3n4mkSc0I65qBD+la6EPuWBvkn+4geNY/jcN0Z9P5p
W/E7l8zfSxesIlT7N5fAlPPX6iYJm32P5ForhzWvpTpYGCGHOGmXi+fB8fH9y6irN1qqs6vhQfq+
GnaydTG2EDLduT6Efjh+QVHH+lW6HKkuN766yaSwQqPvz8aLWDbwud1hz8yXCrN03iPQ/jp1FN8X
RFCKxe3KNCBV83Ueqij3A/Dj+bT4NwjzlN9/klj+gxwMV/inNmdrQRJYteDaIAQnMTKxf1QsvDr0
2laWzq0Qn2j9XCcfJPy7gOWfHmLrtH5Kvy74FtN6xEO4Pcbb6Dp211nc/e+XsQkrv2vaP14G7tKJ
3jCgyJH/8TF8rI5pp6RiVxdoRhxd1+Eyz0+wuP73w8Bd/8vDIHsBASqgCIi6kPZ/filILS9BVFt2
HSFO9oKjMcR12H8ayd1kPRjIGtbQr3nPf7Av93/6LKiww3+ivn4yWkCM4i6N213d3G1BF9iF31kI
7BnYNDhsLY+CX0aBH0YL7lMBHRDlGbvtN8Vvo+l/DBAJdmKHG+aJ3SW/2jN/Rw3EwoKfvy2/rGPa
blqDOQa6JCHb8/v522K72SBFyIOrmYkLncAep4X0uScCrDah/Q52CjYfDctL5IOoNIx80UF8GTCm
5uEWFIKZS/aD5udhwh4R6cobR6BCxms35rOxt7BATE4SDfVbjR9LIj/zihVIrz3UROzlMpz8wH/o
O8iFokcRTzrfANf0L7KFUcKc6JOpE5U1STsgwlN+Qpl7CZFPhHSzzhmd22vIgqs30SLp1SnCEps6
XIPjakudjbWPPovPe+wyKPy4+w5q9WGcWHjCMLLHko2PuFrSxKxYf9OiNfdbP0UHVaeUtDIPujJz
Z3BrUcefJ298q2dLMl7zAxbmgBY32DPV8kDDsh5kVnXBbd32p6YmQToB3u8t91KA5hBfmvhawQfP
JtZfRWi709wOyN1UEBCjFsWoBryfJS4rbw1Vbg71aoVvRNbvsW/rW0uiL2uFN7crW37vI9WTcqO/
cZChNwJUf5g40BP8btlzaeKrqTC0RNGET23kJNVwc7K6RTMOhYynUHfovrIg7KhGKIrMEbt3GdbS
rJ1gac9gUbUyAHY/oRRUbcAKd2nEIQhAWzhV5e8F39L5K7LmdEYWDIoJImWlh8Z6AfhFTLUjqAw7
MgVNodvB3w/YVFXIQFxAt57XQVxr6R2Hha151cbfMY5RNCAtKRxTBfkyLqLwymjZ1yOWerkCy6t6
4i3AaftkPwgK7G7W4z7xkchqmUbcHlnGB8BhMZroEJkPzxUH1y3L3NomSE0QOPcN1oyn7YpX2s+U
phV16S5m2NQjlgkbkxTrCgcJSUSe6uoUQn3bM58/Lb65G0dXFqAXllQN3YdqDPJ+nKIWY4nPqUug
6jAkTlCat7eo8uXbZELxSSIOmhqeyMMyYoWGP4PWaErpXcMYAjXv1hKwD5ZfBdoZD/EEhI1PBHp6
NFZf67aKgOhGZWFZ6xzcQezGsCnKUkKwQzAsbROJ/hNzXAp9c0QAZYpz3bVNRq2g96s334t5RLih
rQvjC68CedTcIlA+HJA5/D7I9QOoCd8NHRaaNfDJbirkxzLM8Xmje3qky1ReqBPZfVxK8uA743OV
qMHJ3WGcyz33Z5AF1dh9mfCsotWpkcDE3i0T837vVMuT50zebuaMZq5NTrJFXz1N2JiW2BEQtwEF
gBUEQDFYUUnpnDDhH6og+GShFGbAx5/aXpwiIe+myGSOE92Y8K2M/POoqH2Fwv5toiiawEJSCWow
j6dxuowIDx+SZBAYrwBostq9+Hg03vGzteR7j6xt5q3NjTuh/bEYq9YYlFQl1hjtb/vVIF2SIl59
RN28R7boMoYVKCdug1y2sdrXFZiY2fIwnxc1p7aCsKrxz6UBvBqZINwtCz5CtNTX0WGPDYY2V42f
O4LjIYZvnEe1PleT9z7XlMKDCBDNN4rtPJh/XhVgvwTRhRVoy6PVayHX2hsTTy8jhQMQOeQOi87i
VLWRPCJ3hX85uAKiYmOzbgBuJdwDYnkys6TciU0VqJJhSQWi15ArknyY9TdTIlMU2ipHMp5+BjXe
hoWS8430hy+KQNMZw1ek8cJj1WKznV4/wMEgKa/mA150s+M+0v2YQvKGRrdc4JRJlANJFJunEkel
VnkHp6eHBROR8CvsW6imeywIvDS+gSlQNR9DnBwiGdx6rNs7pN8zJOTxmWJRn4efw3cOYxrN+fjd
VNEdVm4MBQaq44BBtRijJnNIfY9Us4NaMGZNAJVjaO7bxMm9ij81WNPCqTxEI7b7jW311FRDhkip
hkxgIqx8Wg9ITF2qJotd2NYm8TEiu9+Q2FlS1DFnwfDvmxgWS91kjMoHt9K6+KUf+6c32gj2/+6U
Yj3Tu8XdNM1/MEvxiz8E1s0s3XaWIgATAIQCxP57f4Q14kmIXhl394EvStFV/RBY43+F282bXKxA
wQaXP1Dx0b8A18MqBWO/rXXC/su/0x9t2u9P3TT6oxg7NHGLAooIj4/bcf9JYpUsRiGxsbq6iH4d
OvQNnAHK1sF0HiO7IPbhm8s8Ymtf4K7Q6+fxTgqCEinbD41lfrlxzAF+RFgkgV4yNtEAWyB5n6E4
Y2OaM/k5H2IHETa6IoA4t3c9S154iDHY6iDIoKqckcO/6JAcgJ+h5Dp8D+HupQQEmK19fLPqBTy1
qi0Gz+HEWgEBjQBgjStsaCTRDYaETyxEVGWo4vtkiupc6gourX73Q6yei0P2bNuwSyesxUFgMbJZ
bdcbKqOXuYRy5wXBa9KoFzrbc1J7lylqnpywvRniqcNyNf5J6hKHjYcVH+W0bX17ADC685jz2a/m
jPVsB0M4QnSgu2BP4qsf09uAA5bk4by3M8wafCneB6iwqZy3WGM0FBVdOeiLpskDjZV9S9kvBbjZ
sbDWLhu9d9XTjP0ELDgojmWZcPhupwaWEFsnbx/Ww07QHsalFVlYezJz/PUuKOkXaNJP9bjsphgH
bcDk3UzobuHtscK6gBQC0x0do0+8L1nRkeWVVqD4qynscnTx4PJkBdS3Wkwu/Qgt73qvZxntPN6c
Zq/5xtcWcfPB/wTC0kM83i8zqpKrsJF/25TRYY7ZY39L+JHCLcZqmTNdBFKNsBOrCDQs6REFH1ZR
DMFgEQ2PXzlFtwMm1E8bVe0RwQAy06ovdURVLgaA8H7v7ZoYQW8XDfWwHCpI8MgiiA+tg29Y3/8N
HTk7sJ7cbiH52fYMi41sW4ilIc9BiHV2WLKEslNWmZL9qQ3psQk9bJ7gOx0zWI1YSlIs8+xnPqPL
Pv4F2ZfhOBST3YjY6Wuy1pPOQhfBLhe+7doTAwm8PxGn97Me3m5CN7/QL8ECxBGYYBIf/M0OVnp+
h0b2VLkKsEpbuFuIDF9dfI+SFxXYIOObsYzWry+qhM1FHY0IqSESjlIOK3poMC8EYfOQWKz98kss
L4RvLRN6Ka3x0naztBsmcF1EzVjEQBB2wWZ9U1zpO6wMbTIXufvzAoe8hFMebJb5AO883kz0bcXT
sTN4LXyYwN6ucEARn922qF6VwpUiNkMeybO7Eg49b1037zbTnsK9byR9G+DmG3VfEdKlGkY/FFMo
3FTdzmUzYePndEp89ZWYBm40MIGWtF0R1abOndmp826jCaZwYyh66Md8dfYwe8X65m/4gb4IcYT/
UVRYypn1Jb4Gti3fl41b8Jf+ptxIBgmkYe7IQXpgbhfADg6rv9UjLhlfKny3AUSYBHmdjZBIsMUJ
ywOaJyxT+p5sGAV8CPSmG1mhJCsIdkilTgfb1rJeXhx/Dm88MBnYqtnfzhaSItYHiSJK1jKfN4hj
LEsFQB1gB5/sjdV1DOAA0EeTVI9c49scEuYddSN4QUp84lhZgsVfy3qvyo4iZhigd24tUtmgS4Je
j+jwcWHxtS+xUBMQCrJu5c4ug8hVP5ADx+e1ISs1Nvwg1NLftyQ4N6Ba3NJ9KjfT1PPtqdxs1GBd
5ypFjFmLazd7+rVOQjMV1EgqMjOK8zhahOMGG7Q+eIBSIipZmc9xwji5/NMTuC7oqRC00X/vCZ6+
8ff2/a8NwfZbvzUE3r+wChGlZ1sL8CsI9ZvjGuAu2YjPbesXkS7Z8NN/NwQQTEjoIyCH2w2Bag23
4Ovvggn0Fehgv6w2xGT0txzX8K8RW2gkobc9FvIoEGfQlfwsmGDhdOA2eBpXm/Da5NBJUF3dg9jG
mRFzjTeg+ofOVqgwhcz/x96ZLTdupFn4VeYFMIE1AdwS4C6R1L7cICSVhH1PrE8/H8rtdlW13RO+
94UjHC6rJJFg5r+c852l+SmXNkijH5IWsKEKneEmTKZ7RynrbZdAPC00+u5ScDTTWYXfe6z5e78l
RNkpvkEX1jrcrDzjw1Y0IriKzEnsk9H2Ra0bEAz65trCSLCyaF03o629y6D9UsGs7qqhODXfO0FR
tuk6pjuc6BLtpV2sl8YxTGkh1axgYOAIGpClwQw7F22SW7mrnJ/KGdNNEnYKUnEa02RpUR16Va3Q
x85vFxCwLJJ+J5B2r8KlvZUGaJ50aXkDHSvMuLTBcmmIbQ21bcW3n+OsWDU2Hdnk4oibmfsuBXnt
u8ZwDW71nJTRYSz0nWz49MtCp0Qw6qMI0WWWsgftGCS3pdV6LFGOvaIy6BCgwjkqpu0c4d1vumbt
dHXkNZEI1qqjPFRzewcObAfCB6dPPV+aIZ18isgno7Y/yqY81eyHmD1FB5buF0sG92HPwTUM0FVS
96upcKh17jVnBrRn6I8ebhsblkz5nAzZQRTxy5hIVp2u8jWGTuR10t1gln61CvezKmyIU6B7vKSQ
DvYFXhYGFBXXSBhdxVArVimmwVcO6IszJY+pakOVy2ERZgWwScVxh3VeFgB22vZJ9JxKYvRK6st1
GsYdhsY4QlJTP5aGC05BzViOOCL0wbbdl8sQINO5U+MeBVYxa70nsB94odldqhags4rzc93M3YdZ
yecePwxoanMTGNq3KkhhV4yRPBTYBQMFsiY7lX4jRiOg+ESCl/K4bjsVoq4amHmDr5O1SWUaewWg
xTZ0UHIZTskHoXS+pkT4Ztq+G9UAmQ3y21pLuPY60X4NRSX4aafc47NfeeCPsg1EXtS4gQsTyHW9
OuYzAlQGG04ZzSC/wKVDlgO912/Dnk1n5Ixnow92ulVcorE4i9TZK0oM32aP6z0Yrl3+ztaUdxU9
picm+5Lm4sl2cyZSmHsGI5n8IBm3qaZBp4o/20I+21mk+uUo4a0nFcxs22280pUu3u9iU6bVNUP9
bavkD23YofAKr2QOYFvTWw+g0kXP+h2873RlDy5P+zie80yfDyCuXqIWrbLAaS/Uwd4ntX2lu/kJ
0z6iawPxFEQsr0xT5MhCsriMNAdSthbvuyS+0rv4Ssurl0wbqTiHtlshvXowbeupa9ozdixzC9fK
9UdmfVhQIGk3BUMBiBzsvTq5DZlugr5gfAo2+XYQwdMc8PPVVYf8jonELPm6EL4YgrDMr5J0H8zN
Zw01a63PS9Hi4qwMS3SfE5MFl5fV62X0RBV2I4dldhh30zLRMP20b8QurdUvht1HM46vYkiPrO1y
g8e69tU8fpmFcR+go/aaoIQUL1FlspO/RfTyolHpr0KjuNEVxpfa7HwJt9vKZatbwyaD0d7fNFG3
DQr9vo/aa7VXwpVdOQeorOxH7fwmqwt/tGPlEA3ZQ2zJgjHWeBCTw3Qtm1Zy1C0vqTOGZwVck8yE
1jKr0TWrbQWLfTn6SpN9hXNwX1c4gidNZ6EaI4QYo+RbU1nnsESspjrD7LOP0b1CmOpxCJV5J51q
Yw/M+OYax4JhDGtg4FgA3PBuNOJ1p7PfxxLsunm/MavmADyHDAGNBqyu82lrDIJZhygRrubTc94s
kkP1rW7HeDvqUYclqD+JLn/Qrf5qRmQLdwRBRW9ukEEyPXGOcdXsEmDTu5mHCHGtiCm71O1kax+z
Vl1bIWf26GKhpgqrteZTJjFAtfptHsO1HfPpbCcc1Ib2UiLQQAKR0mOxGE/VnS05TfE5m4u9lo0/
J3e1suPM8a20yFjY2/dVF1/PpvWZSg7K2BCLtm1RRUzo29hdasYA3qZ1z407h1vdHB4znlskK4Du
7aGJYFbSDrvNTWNBDhf2jBJmCt+4O5t1GUfMPGFKrJFkibOD9H6r0Opsm7Z5jlPtziq6zCtn90Gz
5UuSRqDcOBdWreTRyOwKle+obWbdeTcCZ9w2boMQtnxvEpQ5hVN+a4M5Y7+s9X4RGfMJCJvlB1V9
4c5Dn8KfAQg7Spf5IT41z6iUcu3m3TcmbGiN7fqbERXnJMFnFiBMpJIMrjWUBysznKKNW7o9Ih9p
0sF26CkkJxh16SlCXQH3My4YnZWbsgt3E6yItc05qSASHJTibirnCGFT8kpCxQeMIo8OOt9iJ9tS
R/AeBP2dZlWaV/e1fZgVe19JJs0c4nStlEZof+fJE4rWnt3ZxCiRf6VqWnpOPpxHm9AHPKVXKux1
z5XVl6NQ9sMzeRlKRVsrdc4aphBvacTGvWIHrLLavsG3ec1pDpvv2uyjbRSbFsEQHR5alt5ufSqz
rIzEqolVAEVJXPeY9DW3jv6po/8lYWTj99d19CJhvH6Tn38mXuQL/11Ks2B0NOpVsSgOvzO5/l1K
AzLXNSg1tmuY6HeYyP0+WyPUUSWexRGWUBl//YjrwojNxlJXf5/J/a3Z2n+IF8GnU0ZDDLOp5vXF
QfFjId12Q1fn7BvOanlpQnM9ka7xw4ty+W21/qON7JdNOF4OxI/MyS1+wyXXZpnt/bDUF8y6jA4L
17k1EwQlj4p6dq2b1txpAavwU6v9Nun9S7Gk/guAzPmP77j8RD98R310mhh1BPwd0kfQj4WUChOu
HUIzwrK9GZrSQehtVSeREiPRio1IpnpdB2NgrWUu0d7wUXsddVffCwM4zVRXpq+1qJINJ7qyyuyx
cDCSV41KMEj65Y7KczETxqPpJhRdDtAkZMiITNlikRk56wblBnuyONyZqdi2gFs3FqzmTYg4cxtM
I3tLqDwUWAjCipm9LcyNO2XArt3Ft0w+j7RaWI3j/kqpA94lUMs5GIoVFZRvTlyJYrgJlqlGoDCL
K7VLT44EbdO+UDsETkl4LMly6QzloVFQA/XFaz8bl9GOAI3OLb1Su42luTW5tKMYtXQkymGDiLTd
Ava8Ljt7vrO/E3Ca7zSccgHjCAg5CcvEXf2dmjNXJv+hy5uxPGeheSWRsZ6KfGa52SKOQWtav+PD
vhJiuFbMnCFkvB/TAURccFLU9DTN4knLXBauysJig3ja6PEHkQLfqJGt9WCZ18xSDuA76QKqKxkM
666b9pMRX1Qie4oAfc84XQ1AEDsHurGcc2ZZ1nBse/Wp7nSEjmXIUnV+sDLWrlzo6SnuikuRym3n
DKd0Tg9qmVIWVcjQU4mXvx6dYgWrjlwOBOdtYj/UcmoYFqvhRs+rbt91g9xmgd7eLP7GK5zZTHQc
/Zjl31xlOJuRc9t2jbZiNikhljQbrcoPQRZfukK5G3pSTBTelnJx0GOhw778zY66eaWJ5Ab3yNrt
crhLI5Y9nYKdtRhOZ0qCir5hMLdD029UM/AlUqBcozwuyzu8/Jc8qGtvYOe/Ao/c345TdCsCJj1s
NiEdP5tp4Y221dxXqmJ4Sdx8FWBO8sCl2ilIP+IaIpYAaWb/qQ7hseiEz/iPCa7t7kHLCs+gcBLA
V7QgvERxf21ayQ6I63ZUrXVmQ9sdA0x5JZqqHh+SBMCnnNgh+Pqg7DkobiYnZMgbqy3rU3hMrvFo
Ni0JUEru1WkxrAorm3Ype02GU8WmikNgcZNySNv5vl0aFvgsp7gp4YqqfpKgpOmCxPU6R39zu+QN
xMB1WWfMsxIIrEPb0P+3Q+5ZQe/svh9r/yyUVK6Iv770YCl07Z8Mj5av+veNpy3Ke1VjggTHf5n1
/LFNIsWSAxrmCJ6376S1f994aPw1PtDQKV0LZf6Si/b78Aj8EjIqSA5gWRdf3t8KP+NW4/z/QwLG
TWQz0nAWdCY/Asr9X4ZHFNEhrOLAPKegA0noEmWOUTYyZHCGg2vkOeoZRd85wbL47KK7yQxNdKJm
xc6hU3n0KeSJJUjXnStNv7VydacOKYvw0UDu0pdv2jSHHhvsN5rz0c8NciuaVnAwhGCIg+SS1MBf
w0Cuq7w1V+A74rUzzSzhXWQ64JUCGsO0p+gEgRk1tH+RkMcOM+5Ks+OnXhM3sVFsRYaZlvao6Odt
XEOK6tWcsyspb2YcN6Uo90zPyYPKStjalN6eCxKX9fz85ibNjRCES3XMxLDa6BddlSAMzLncQJ0u
fD3ISoDv9ZcRhG9dAs0pV2yoCZ9sfJCoWvW6V4zQz/LietTNp6oIMWWxiuK0B/PPWo4uq0LdaJRs
6WaHfl3rx6Mxx8lab+bPzglggvRHzR22mg3urSq3rYHSl5ObIVmPNIFQqqY3PiW74nTAWQTyAenT
VcEueab2hnAVAG0gLKhn3+wsi+csq3Y4kNdjmdxnbKalLG64oo8RG2swt8CSrfym5y3tlqW2OsZN
sZVkWW0cUR00K38v2giDnh1cIZq4Al1eeNBEC4FgWG9utBFBzWvSIOlet0YZFjfKLKdqm2sssUM1
VZ8hzKEWFX36oVsG6guukFjvPtw22lAXIf12+OO4Gz45UFsvQVuKtHvcySk6mUXgrFk7TptaRl+D
wuY8caYX7Pn3ch5vtF57NZqKC2p+IWDN9QSGk7Udmt9ifTwMaji9ZhFwHAYXOA9IYnMWfIel4vay
mhu4zju7cZSrzq7vp5hfCywgVoLQOQcjoBewTLinLL+LJAqFVLhrKSZ1N9tfWlKaUMrlYy9BVOeV
qZMEpp/S0DW2lhKTgECWRKUx2SDMxVPK6CMkp4oGZJo3mKIpECZaS6V9iYdyV/Kx8YoFNAMyHgFK
O2OqA/WF2Z75rAlho1EuU6A8N1I9iMrQEDIkD1YQhQDndRtTJZY2Eix0B0CZndqekOWhYAy4isDh
d7VjUbekX20kz1VuvvUtCpoMO106JSdHV4/VUsmxCzwWsPtXumH06H8ZNEZxtEpkP2zrES6zjNh8
6G72VqTOC039GjPGHtDsi5Ea1d2sEJGlLK0sntUHW4nuRrpkBLvPdWTG+ypy9/NYH4PQqY5B2T4L
xDrwl+4UIfaR4ZwVF76BKj4rcz7lebPD1d55s5gIr9KKzif64rbvEbtACw+7eNskkbtOR6ZCfHrE
a9u3+wgZ+W3g9BFpFdkGQdlRSObJ/1xt3/ciqvXfr7ZCNm8E2Lfyzy44vvaHC84ygCWjiUDIDejz
pwsOvihgrT80o7+3dLCZF/Wpa0H4Y0Xz4wVHt8c0m5hvlhp//4Jb5LG/XHAuJjGXv5NVKpDUX5o6
N7dnt8C7es76GKyV19SleshGzTwUKDcTLxH5w5QQd2mPypVTUFQnVs59wywhKhRuOJncj6E8ps54
16vj1RTgw64iUMJQyZl0xDOpHfJxyKeTnRt7KxasKgNMHQv3bmS2V3XCG4ERxjNdSY5gjyvXZRjo
Mu0xjC+DIpDqbOFgxunkgTDX102KlWt2zE2XJA4nL3onjs6XSTB9aTNzWiOpyn21qe7xFjHM6RQd
XUHI+GdWvYkgRjMET9UUwVMG5kLqIKKbtvWteHgXuHSSoM599kwfGENjrxfxs6jHlsGW2Bsj5qKa
dQo5GM8iNLeOXc1eMBjEDDbKymjznS56y2ekt2tHptiT2TNi78f3qQzecznSOzPqRPHwEqtu7OVm
uk3TcY/OsAAgxeKi6dFoOWH1LVSZA49a8VyVwI04kQyf7dCnCPT51KbTW1xZwZHCgSAei3YVBd9a
KRztVkfm6oMdiQhT5NAquTy2w5AeNavuWY2iUUEq1pDQl/TebNqMIQO73GSToXoZqS5rJ2JDG7oz
xEG9aK8n1Rn9lEN7g7+n8oNMmTyJAnrVtGmEwpSomUmNyWBU2/iIOiDbsvmQdww650cYAZFfqsQz
pDCQrnFQQ6Ec0vSlbHDzossTz2gJ8tu20epLJPR472jNeFW7Aa3blJUHXbBPXimmmVwFLByW9BCa
toaQ1xVNW/A+OrHi+KT41PtCV2+YoeMJjIbqQZ144beBo4tXJXHDL9NBVZAvrNcB4xEmCsebcp1U
Ntr+Vb+wYdsmPmrAYiUn7Ag8tgYi2wKTJULF9ZS6OzULZzZYiLO2Ci+rWyi09sKjNQHTmguhtqaP
TL4zaxmeEzvDRm3h2RYL2VYsjNvZTDW/1ODe2gsBt/wOw6V/t3+j48LJLRdiLkra/tElvGYvqLCB
cUHWxXcHzRPY7rhQd8k28ceFw/vPYf7bYY5I/q/7FP8z+58Tj/wnp/b3AOk/CPyI0f44yY3/5UOP
hG3xCQto0j+c5CYaf9KWaWD+BXb9vVVZoglB21iqWIK/1O8DqH+1KiZ7cwesBye5+Pssfa6Yn85x
EwgsSxkT1y8DQvPX4ZwMIPpkcwGHBx2omsZXdph6Rj+tf3hlLv85odO/dzx/dET8Jjq3BVcWKj8s
Ptav+jryqFJk0elwsSzKMdYcjrm25g5iDvkQpR6yshpsxJ6yPLtTd1Wn1YOtN6S1QHPwBly967TR
0mPfWC5mQ5doton8WsWqGLUMzfPQVpWHzZKKfdHzR212V/ENoclnl1Jl5g4BihyNWq99hxQTz0CK
jlbcOdb56Lk4GbxCawGlWQINfFpsAtFvdNOSfgcW1m/TkXrSfFIc+9o1O8ZHmvEcmaB+ULbdoay5
VfLxpCjWScYqOaADszYY73vyTUhwzUPOEO2Bmi0jMLjvfX2pCLte3ljKvBnM7sl1mk89tF/DfMK6
xiI87WzajSm+WE1wFESAbGwbpp8bNNs2aniHmuahFOEudohjzqLoCN7rvRiidNPn0BNFj8UvK8cK
h9siSkfhs9Hk/Iq9ajm9k7PpcDAv00OlMvwaw11naw9NG16XIyOhUiOou+62VBM7JGXw/Dhv+UGN
mE0hMVWRbt0pU5V5uawdol1fXYm0yxh99vAcjp0JrApVs0O/zfuXbBF1fTkTIjtVWNdK31HvFhgv
arpGzZ5O+kCAzkSbOrDQ36RadiGvJtmwTdvOuXkdhsgNpGZu3Z7XNhpSCmRh9X5Vu6+UIDssKrds
zFnxz+1jLCB5hGSXrAyZ3bVDt9estPcbQ/1QCTlfhcP0mMWxtR2N+ayPoDjaKOmJWWm+aZn+Tcfl
66Wjtiszd29DcaY1HLY4VG5yguhGuxRXtjETRJ0VH3NSPUd2G2EPLu9pysiyrW18wp2xxZbh6Uaw
QYBOigqPGHgQc4jW2hjVb0WCfX0zO4qcPEsQAaGpYxozA9YbcnvMgV0mi/qN5gyL2hwncZZZsCkm
ttXLmM00vg2qu48tbdPP6OtwjVb9Y2oZiyZ+0FjVWfHSa+G99tNE3xsIxDTsJXJRDzr1G6OFWy1V
PqENwI2kXSh5GnFB9NRjrfRGd/DLAZaiklv4OYb+ymno1BUqLCtmtNe3fYzCPxxeRGK3uImr6zBW
A6+tRsYZS2xRe8Uq2e9luxsG+UwqH7Myl3T3RCXdqbxOBR9Zo0gvNDjHTFH2c4Z9BXVERCrzhNGo
j7+Jgay9ZMAEOXbabSTFdizlZ8rQgTwGPAGieh6aNcCgfWQ2BEopu0nYbyOO49maUs/O4IxO2Wtm
3vVDizujO1TMZjOFprcg3GKDkg8aIyNT0gMHEIu9zjRYi2ie56rfGnYiN6qGPyjszdeFXirHcvAD
pWlW5lBtO604TyWQ2DLBJzKZj1JCKSMnw6zvl/IodLAu71gGYJ/8f47Rn5lOyynKdWHSlaOSZvzF
mOqnvUPbtsw0JzFdhsmzV+Y2OIx35fU+kSvlrXiq1mAKvGAVHGmMOx92wv6/f//FJPbzIc63d23u
HcxaFhuXn799E3RWr4huvvT2WxXsXVXiBH5VMAT//e/Douj7Dopd+q/WRldyZ8XER120+Iro1lWW
fbrhHvL+//N9fr79fns5eT25AzW2BcjNfv59aqSrVqdF6kVYx0acK3Ygkfn0338X88/esx9/mV++
SRepaquD2r70m/YRCtG636nfHGblq/IarF+4uoWmsMo3+u7h5PjZ6tRfx5vHdh2sb5LDsNpR3F9J
n//RLzf8s3787z+fvvhEf31TAYvgTURO55Ke/POLkBGByYRJ1S7sf0/BjbpWr7Wn8EBqJCJPf1od
XrTt6J3qzbCzLC8/MnO7wZ+0AY/uff9R/hl4Wzx4f11IvpTZnyx4l6/5cRqArpGBMhwY17TY4v6w
4EVFSbMP5VO1+dc/FrzLTJtlqA2hBjscXduP427IjKqA+OKynLV48P+GeYK93k+P0DLudlR8HWjo
DFt3KE1/foTYZSVFpifjuZIYeCpH+nbQ3BO3GnmJPkmfB6y8j3stO+tEeN61XUDyuqp1u24ONE/r
UCC5ZSCxABongyoS3Tdl2WQnnwZkBU8CYjxGdf/udgMkpals12mdjRc3DCn68sL23C4o700sVY3a
2cgIXb+Po/LMNLxeDWQC3mqhDY+bYw1SIi7GVtMeiLHMdllmdNuEaSMHwd6YnPuw7prNSMoiRVQV
nzNclh4b91dFFcPOHZzHYtbjh9ocSoDiU7GRMxkESlrAC+UlOMcag+dRle6uRkJ+Dgem35JMzN1Q
2S5SdYPYogKRdRjazyXrJgJWsNUtPqoORSNOq5fBwnknsaO6NPDIuhjKdia6+FBd62F/IGINEIXz
yKt5DZoOOYosF1QeeQJFGr1avfk2CghTkNOewjp9aqwiW1dRyOo2jO8kanQGKQrTlEJjwBmGu3SG
KKCI/NMIo2xFRXQQLEZR8CAUda0k2UjFCjdRMOD6teYX3mhgOqK6K5XgZGbTuzPHOwOUBr+J8S2Y
2ovSFv0VrXKDnXhW6Yidk0EOIeqV+WSVvKWyGv16GpDlGe+60TzR23+Qn4f2LkLfnY1nQUA6Ai9N
rrSQNR7emT3iAoux79j6Q+hisHSkp+cmUlRxRcnqrEvbCFaWFr1U4XyD//mI1I46cSSjkwBVpkqo
vDzhYBI8G5OaGO8waqxpby+jTTsKjwo0HdYKGnR02Dg4AmzrUwEQGneOSebTtBEzxU3gJhbyswxw
HGJW26K04Za/Ij8I3XuPKyNQtcgPLSfeTlYKfERz0NzM+m1jgXnrnYaBf5h+1HoFvj2Kp3WcM1Yo
Cfgi952WIZ15keM22CsT0ZIhphZQIY7tqTypRljdZkUx8mQTjelAoV1YSPdFFLSrwKTGw+u3Amg9
oKkSOfuVgUpfJcpyCj6nSd8x8rDwTFv3jQyQnxbEZ6SGR595YoWT7UGSCAjuLJ9sQv1IOzbPtpzQ
9DqN9CothujTUE6Rp+gF0rpSYxYwbjG5nqpYhybr4oM2lcfazLR9Xca8S9LFxffckpmrDOFmmFnC
AHLdyhrzpufmNDIUrisEU75TZ+9RZjEpqvio8zGpKhtcep6/VlF7GO2h2qcKrpIs1rQzY5ploqVE
t6iNwgM4bPg4TnDqawZgRK2t9Yk4QpD4POc9+segGm8mjRk+Eov0UAPNZ0ClBzu1liZc+dLcTmHg
+qpSt/uqLo5hpNrkHnbGoRXhDOSGJCSzrAFW1dWNUBCSzel0YEP/XCm5cdETzE+cfulegQSLa7w6
KMbirSBdVSTVS20n4RcbK9+N+Bjf2EnyOSezZLzjGqhN/7k/fxvEcHX99f25zv7HLxt4rX8yiOEL
f79EQbwtngGVfTGd588jdY1QQy5RTDACHtQCZf19pO5iRUBV5QrdXMYwy6b5j50x9bjJVB0CJ+a1
v+dABBv76yXq8PdQ2avoLW0m/L/UYXUYjJai9fBazfJxWICNPeRGhdHRyk7a5kLAOVhHms1nC/22
BxoGwbytoNHPkfi2Sl8c5hCyQjrT4yDSfsJqZPsNaz4+vzpqSBMYQb5EETNUWFA7XYkiySVXogVE
mUCkJMKZi2F0Isbr9oMLtZKurODog0RqQ7SkoA53DYxLGY9PwcCmqk+qu6aMQKkosbvT1PCjgJA5
GuoRp/0JtDETzwWiCTxa20yWRsY5hM2Mc2BakJsIOI+41F4CqR+kqFoiors7Fc3uJkT043UDShnw
A++C0f1OLljPhjhqFJbjpyjFJ8KzxMeAjzkBGqg7Gs+FXhaHqssAiUEM1fvoJloQovyYH26BANzC
q230tqcgQCofR7aHa0p3pOCk3VhE2+Cn3oQlvuMAR9Vs5Z8CENW4xOCUWbU1CcYBu4SUOg13zOHR
xfQW0njQzn4SK2LdKePZjgYAYKH+GBO6A1EJf5eulQAEHKSnFdk8HBbbrB/AastXGNqwwg3kUQCb
zvOS7OOo06OTYfe/jC3D5EqOM2YNWkr3KlKqr7mLLKiSQPjapCMxHNnzCsHquM1jfKBA/V2OsSm6
MVL9Aec0eE9izXf6AiALU+NlVsmogN/kdvedyMITK+zqMKt5Q5ytku4qq1wPiXqrUbxQIjj4+TBC
km8RPy4GSSAAnbMygFD7Rsj9WgmucquUtJ9KeQmTIAA7w0JWqPe2wkJnSIDidgwWMwETqeAlZsGC
9v4Jbtc328ivAiWB66ktVVoj85WtdG8mcQTsTY0XRc9eGU8Bcg/t7eSacNaiZKer2CvtsvUJZtwo
uoGeHWraVKTI4G3AvOkVpPZrrVOY9k3wuubiS81KhOCdI1Zc+fjp0xBbiZJ8aEJ5JugUZ+h4m0Xy
auqVe1y3r5J2kyGbu6o75ViPzUk1goexSI7TgIeH0JPHMGcFHjXBfTDaR5nwClV6aG6MirlP6rin
QjdfAnt4wO7MXRRSMY3cHOjr1PfWdG+HJjmFFfmhwYI0tvvzoJm3xsTvkgfxTQNij2xCD+/RIaRC
7MRwrBTrPZzk4zLuCwsLVoh1juJ5ZzT5qlKhv6bt9Gx1jrNNQpSAaYyogWOO+7VWKOMWoEFA3LzX
x81z0+YHw+2vUwM2vDo/dgXwjZ48Z682hn3VWLHHAwuGRMluYXW8V0bu7uw0w70jnK1OfvEa972z
DiR1OLu/fEMA8G42KRqTKk8IBa+8sQU3q6PmX05cTikN/4rZX0oyR1Y6SYKbrp9uQhXQroaGQOUl
4Ey6MSZxnXTuhyUQdlS2eNCFSW5ojbWkm2A6TBV7oeWIazCG9KF6p7vFJrMjqrCqzVctYBhXs7Jd
jgdGyyQ+4VwKT/C8dXN4p6nmu50j4wh155pIw2AbhoqyYf59S2BFAxSFcmvS7XedrPg11TyRXKJa
Twap7nmM8JKTdJPCL6CsDe6SGsBk3Gj3RdwXqw7VzEcVKSdBLvWaKD5yv+KnIeoRv0c7KIVfMyOk
tcQ6DRhEBdRSI+OOWwspInPn/CmHgBNezzoJr1L05ZoF8NFymnt34cc2C0l2nstXYP0uluXeILhx
fg566ny7b9+FVGpv7poLmK5TBKLWAFU7gqzVFnatUTSHbNZx8JjZupPWDajaa8jzrCYX8m0CAtcB
hasqrPiahY4LM19lEtbdG4Bz44C9LiDdpAd0mBJTx08zP7sLbLeeHnNruKmG5MLzwIsAljcHzztb
rAJliI2nV2m6Fobv6Mq7AqivJtqDCuTXVMeHQmdfa1oXAQS4Al3I+pJP9cIHpgJlrAmJjkaDTVic
wBEuVF2uOGP9Ia52BajhZmEO28CHw0SQoLbwiK2FTIxHBkZxlezn2VH3SkoafLJwjBeiMRgifU/9
GfvuwjsuF/JxqjZorRYacjgyZl/4yP9UZb9VZVQof12VbSCOFH9WkvFV/y7JiDaEk+awz0J6xwjj
h7kGUAiEK1Rd/1an/16S2f+LtA+l3m9R0t+rtd9LMosEVmgQNjpwFk7Lsu1vzDXs/5TxuXSBLhR/
WwPmBpTu57lGSmaIO8rAPiFjOoSy7otrOeiT8JK8ryoin+OOtKyhbb08ysPxsaTKn/zSLRb3SBK9
jEZ7l0f15EdtgVhUdlv2wz5zbCb7aqGz1CXCuHSTdxy3MR9UK15PSkvuPOnwYMNwr2UKmMz8FkjW
09CVWnojoVTdATBiFjEC3ieJLOOTHKqxcsKI6SAq7muATEr4MmEOuQRBFItLlOGCswoiQjwTqZux
EiAkSt8KcrW4F7ZibALOqWHdjlogz7XSRvFjx0XcA40fnlLdjUCCpeUujiDTcgU310NiHobOurVC
MIqBXTyqc3bfmbjKyqj6IOiEeMOoQ7pA3GwjE84z4z0qknkF7BdLk/4kxvGxQwvuGRSESq/4Ss4R
EC4oBrOqNN+ZBgzihW2ucVMunjOHPUuKOd66S50B802FSlCJv+mufZ935ifIRCKscl4Uy5E3trH0
lqAQdgN//0qHtfk6LdkmKdxGdWbHUS+rqjxz7utM0zdlkRZs3KWCrFffRRBri75v/HyI90YEV9HK
IxsUkQ35VE2LtY6ZjINjOhiVfhPoXe7NRkRPZ+q7MmVRozvpQBLJqO+nfgEKd+o3FaOe07W5pxA1
xjin3eaF+xZG5ZHwnmNLNpYXO/COGJXcYdXpPTdqN2OgfLPceZOp455oyVPYQIaCeOZXzSx2QCER
IBD+Iks2GyLGgNgp+ccQuQwJpuKZR1qiNOttAmQo/Xm8bkytlpA0y5O0EoW6MbhkLmvIEAw83sPb
oFKY+XKjrtSxwTJnET/H8wY7tXzuEp0JTSgPkndQtt0G8xI2NQu6iVDrco00fJ/303msrSetlSdX
xvcJVFkPJfZjHka3Ea5Yv1K7rRYKZc+hbaz66P/YO4/myI10i/4iKODNtnwVvTcbRJNNwruESSR+
/TvZet3TrZE0ob02o1FQxSJZQOIz954rblUQ34Nsulm6kVvEQixCCG+yirJMbSwRX4/xclBlTAzN
bLyLzkg3ptsWzFd4SC1WVEJmQTCTeD2iGhMThauWU9MGV7lO3GlCT+JxqJ11RRI580V5zlDlK4HB
JyY7ZIn22QVtOlobMzgjYtfamxHZLQoVrcUNsEGY/kWYrSQoZriKhPs8Gam55lafVrmq/HU6Op+M
cJZV0Ta348L8Aojowl9mFQTzsnJr3JNDMT3YcqkPhsvVGeuSri+zj1LZCw/H4NmTULTZAR6npmBr
K+wjbaKzccKQUHcDlgVE+bVZue5OdvlVlvgb3yhuq3K6TFKubZkGhHLkOL6r6NpO6m7nl/QTspVs
dsWsPZT+vbRQLpnC/Ixt99V0ync8/sdOOjznk4F+wrA/3N54xIIQMVCtHitAx1s7Gu+UGqx95lcv
jXLPPLLMEN2jriTcOXBn/8bJwzZAxmuqtUq7NxT+hD54RHHqzIvRA/5tzMN2KeiupuVNOPZLF0bO
ITKZVbVRcL2MUw08PAUZIkC2MWPGsZqqd7D5/dEMhru0HmA6tWZ5UGajVmMAshsY32vru3cYaYhj
TkMIJmMsN2JkBZu3bU2Kgnk5QTHZshX9mBYVbQjXu8hze9pMuE8PRVFH68lwsQCOHRpZk44NMts7
q+lqbfXksJqx9C6z2ctWU9/NSAbsdOPY3a2sKWBUCLvGWqZtkTGOc8IM16ajNpmHsVjlaXtRBfKo
qvi1qme02ZhRtqjYAdw6XK2A09/9oKYLi/Nl69VE27mOOvi16I5N6+4KQDcbYuzKXRjS+HEeLvs6
715F6O1qYUDVivcNJTspVhmu3wZfh4KnvmIFD7HdqNEHE/py49c2ztSOYVzinKNHg85T5eGePpkw
E6b563hS6pSO41dsu1i/28E52S3Oeg8uCYrQpD6kNV6WRVZ8NlIZO0+HEZIyybmKTWPlDdPRqVBI
W1aIINebzpIyOsXRcmZkS0V6FP1NXCw3ooqxNQd3oQE7fenp9HCgaPWDum7H9L62WdyTLVjuWoc6
bEwNQdjm8O53qAUr5DT7OUQAoizkfGRXEDhYptdDhl4lXsxN0WTTvm2XM4T156SfbBAHX09IzLZO
3pl6BgoGMBCXzLHfQ0BNZR8zkAgi2lTf8IiO8YiaCBVZnAlr2wV3uGnKR2ssvjSFcV2K7K4g6gSe
uelvc2Hhc3TbjxLdclKZBDQ5Lqr7zOVbwgTcyNJ8aTO6r2nMLuNoBCJkmdNGdiJeN3FxBpYcfMSc
J49dWpJYEr/4NFMrm1s3KKtPIIovnoMfOR0u229qgqF6J78r2loRq/2oKh/JIUQrk6EVsA3jZjFb
c2OUGG2R9IHJLM5K5IhrzT0HS8EBZlkfc9gfgjE+D3Few5lXJ+Tm0aYrjFXu1U+VEpewFzCnq6oi
WsVd84Geut4683AYGW34SRgqrnMmKHVnHOI+/0A8syN+bNj3QbvtW76Ke/TRzM3zJTmrgNCKEVdq
X2ivzFvac/gCbYA2FxzBYOqrJkzWvS9OSy/p3ICYZxWdes7oZ164nrPYpi223Q+HSOkVi6u7LE/4
jznAJwbtmdAhbqT9Qqtixk7l9koFdsxmwuupdNB8+EQpNhUc8OzK70IG9vLJcvjm7QzxOM7PCqZW
e6ca3l3oW0kQI1WHbwOEAcZP/Wg5PPAiYga81EKEGTqXKDMehMQV1PakERttd91m0TkZ9qiQ/O6W
uFbm7blnMWuv9rD06Ett8hEsiRPQgRuOTjEhvJFbp14QyIAGu6umTnvnSPNKqTvxQ2coMB1dPYhj
4KQnqfLP1PKyXSLDK2Xl+2bZ9xF5Q6DuVb2x5vPQKO7TckIy5bqkuoXeHp8SHI+AQsZZ3pxQ7nyZ
vIV+du7aI7r52Ez5sLovxODAOLQlbufWnMQZt899ohir0b89Wi3eNB8VaQ9Rg3VDebChjk5DsYlD
p72pfVERRlNnPlAi17OMp3RqGiLxkHuKE5oZids/k1M47ZpyMtSN4tOpTS8zNm6M+iJZApltwqg4
NSQBreYCXj89536JMGAJwteMIMf+Uhhyl7nNBtz9uImn5hmu37Ktw6mj/0+sLWvGB0fUd5J4tx1q
iM8uF09uFnirisLLiLNhF3nRMQ3cL209X89ZhGo/wOuRZkO1pu4CJVK4aGklzi6DwQiPE0VdaGo3
GY80Pj/92VGbjxG2iyglxYE87xJ/5jwEl9OQXUVjcK510au6z79YkcId7Z7jvKa6ado3ni2wZmEN
FHX40GeZexpG8wPrdr1fchPKGT4x4lWv4cClFHn4G2glVtQ1cuPH9Vchq4OD4XENcnXZdey33K68
tQH31wPINq9q5IFz9zySyIyUx8MOkulhnLijc5s39DDWF26pM4KRPfWLv4L4um9tqt3IKl6LLlu7
6VUBez731ErOaKsFfNMonC5Z3HWMKIerysu/Qs1FcmABvlPZZZOYlx7p36xVLl37ymdUZyzdRggj
OU1m81TI5Dik2csQDA8tqH/Q4eY2FPvZD+5QFa2pey9VZ79mrXWIeoOTsUqOiwqWIw75V37Ah1S3
9gG14DYlUOSMU+HVrZrpqVqmZNV0+dkM6gIGTd6gwF0u5AQ3o/Ot53Yy0f0UNyx5vxRtCEyvH7gS
CEbwmvPMSZ8qyQz034b+W0PvIF3564b+mkz6P6M86ld9b+g15ZFAT8cNLJ81o16k/BAqWL+5eAZQ
whLvrVPxfuxYNNSJL+GXC7TnQQff/dixRL95Ebk8OBp0N88i9Z809E7wqxYHoYLmc9hMqcjkcUkZ
11//ybftopcnEUVZV14ph+KQTROxbmyFL/K4XLtLf4NV6SnGw8aQstyzan4ysrQH/8xyuUn2kd5z
Z8X8IIYWBnGDxw0zTQQNZCRd2a9mmpR+s4wHuquXJklOMZvzMLmyEJNfNFkf4quiGg0sCpmi9yUP
3uVr6UaEZIxesXLj8CVwY9y6jNjZlg4vS4NywMYH53jTdSYHZ9vVBlY+FizLRG2PyejCNZlsQ1B9
rA3YeUBEPrIW0M5ifw0N4oSbsQCOZM93VTgznZ4JHVbGk1hcfwXyjeg3H3b2wszaV+oMCOutbymO
Z5zVINvyTUAwAP+n//Ri1g3T0r+LCQq0zQkJBjZbxTGerSoVOCsa590snj11nfa+bpRxEkhx8PNI
c2AHsaEVVy6OCnNGq5A6DjnejpJHjp8h+mJlbjxBrRIVhefEyTjXxYGKpSNYkCpjQC6/NYkpp0KL
ZpDHYblDrY/ezZ6EtfYz7GgqkcMNhzk47qUUN1Pj5MCieXC0CAJXtqZW9QLuX9qBwK7qwl5Vnf/c
LAJ5/0iurCtcCLwanjXoJcsckUoeR7G39wOpbrg2GQED4t3kclqnmB9PUUmFHhdudhF7Zr6R0dif
UtJs97Ngjlu7+Fw3HUF7GLpI1rCK8dOOmnDP5GHEisw2jw3E20QsGeVAhOFRk6wtUkCp+o3mwGTs
A/KuBxtSEk3YcqmKyD1iW+nXSEPK69BJmFNDtVsVhsq2EZiqvVuC8i6m3tuHafdRzVa09xS4zU4Y
5TWIFXRdIeGnOb6IL2FDo2+rzDzEpsvfxqRSqyGRrxxrKMTGCuAIVcKo31pVcwiTD77qPVJmh9AQ
ZzJo5FkiR7GPUr1lMkM0NINfbvnwIJ/03mfmBi7G9vTTIl52T4toMFZYKge5TUudCOPtDTBQsWKD
AP1Ew8aSSmDPZ769jVGy8kTDG0kwyVi+cc8lJ5Hb5kEuRT1s05y4WtJqw3kXTZ7IP8uqUYcQEMZN
wzaJWinozwZaBHHmtEygwGORQ4e2QxOzyO0rqFG6RxLkk7W5IDxqSMTY9um8ZuLxYiTdU6kZXHEI
jStlu7qdNKErNwNWVEC7UDNhsIXihdQAo58meyl2LwyuGEQv402m0V+eX2reJjiwaPQJaZpeRzPe
SQ0MmyGHyRyEmAdLjGzsU+mWzyRsBXtH48Yw3epDJLrgT3EcIZI13KfGyHUxVOE95d51B7sMV6Qe
STWXTD3ebehmU2nMTEzm62ER4TGEgNZAQuth5EBTAOYzoMZC3ASxCZR5Fmfghxh2wymbXVbINUCj
fi3C9DYxhUcyH9KiUaPYPHPhCQtsVkJpY4h+KqC2hQ6QhZn1tNJAt1mj3WoutpXSuDe3jrI3IiXr
V78Y8kPiTNkqcCFPzBqnToYCwcgw6lYujtiopwqpzLHe+k533Ujjzmcbvc81oj2pgbXPGtteaIB7
oFHuyhj8XTtzJsWNTG4qrA2rntvlZtQ3z6KB8EK/6aAh8XmcRXuzb7PbMgEhDwF6gsgOVr7XgHnD
w+LUauj8ovHz+TcQvUbSzxpOH2tMfaaB9ZFG1/vC++w1zL5wlyNQyisTyn0F7d4bwfA70rT3jkbh
OxqKT9hxtkNBBChfI/NpWBr8XWD0GVoClgesH2vEvq1h+yHLjUOqAfy2RvGXGsrvp3oGpUH9Zhdb
e1nzm3oa459qoP+o0f7sTTGVatx/p8H/pFuz+QgIA/i31Pl9d8Eo/69LnX35Udd/oibhRT8qHeu3
0MP3SKwHkIFvS4gflY79W+RQrCDX9DwbucmPSsdBgmKCVPohJ+FL31cXEbYem+/F/yBGRt/9Tyod
y+c7/aTq1ZXON1Em35ODFO2W/WulQ1RfALUxjODEgaigQ11ajJHaVe4YdWpvvbTq41fWs+IGYyWq
P0LA6vWCL50H9rmoI+gzVfFWsFNVzEUme0h2ynVZorVOiSZSOMux5gTYjlN0w0T+E7R8tsYFTudv
w+qycWEAtPO6PUFX+xAu/NwaByMr3zxBEEGQN+dJLm8KjZL3KQ4YbR/gBx1MJvskJsg1cQQGqz+1
x750aTPsyWwMmzIFVT+a6qA0vL42rDeSszhYJu8owuC5hXO/CPlO63cBE6D0dKKC/xKBCR40Hh99
w4dQ4abQ4PwcvyeNHzD9hT0w7oF6bU/WoYO3P2nwvtQI/sIxBBAFsPwm2MotYBVz0zfLE8uRi1CD
/GUO0l9ouL/N9iN1ic5wxmQndAAAckJQP2QChGQDIMchJMwlLsAiN6AiPwAfKgPO5gqYGlamKvZ2
lQ4bIFzlKHX8QJTBsrcwYmxM6U7gRYkpIFXM2TDmr9akyuC0UDeVVxx7+NsrnNtfVTWFkOoAl4km
RkeCeYEs9C9QJSTES+tzsI2TBa8UP+N5ziaUCQkzqOlbtIIc5Xmj4xaUyyJiJoFhIYmhMmr5zOd5
NnivS+VfuKTLwxGG4J+fiKa9kzrSAcRm3m/wK0D+Mux6pGPPCohg7e94MOoJWGFz4gXHsg9dmltY
YhkS0RloURdd2BjdT0HRTHsSgxvgh3lrbl2TgOGUZ/BdTJgBakJwpqg9GjYfk6fcfSs8t9ygCU32
SA/Rrga1sM+DshyfwsYPD4Q9m8//Hoe/d34cD399HN59eRdfKkyOf7LOdXjlT2cislnWLAFqXEgq
yMR/nIkcl0jo2Mv+/hVe9X2dSyK6g3qO7FH+8U2L/uNMDMkM4BTFmQCdX5+o/+RMtN3/OhMD+k/9
06GxQyn/R6eDk091vzQzMLySCbg7Zu3OmdJ822LaqYJ52PVGwSyEndb0IvPqrO2pEHxQMyuo7dk6
VggU2LFat4l2TYceyC2F+Nxn+XpmDssXT5usI9zW0u/6bZADx23L+M4ZDf8CQSpoIRR9VC9Td+lb
Dgyw9HFg6yoZqu2yKDxVyOBcYX0Scfko04oVS3HVlYJ+0T5E7F4hFlIqk9bTkoYIZmshWnEzm25P
MuaYUk/5H3ngPkjfeC0m40NOaYcQH+YmdGKWxU31Fegk9mKT/EtzGikWIYvIAizTFPlvKnULbYC0
YAlOYMBHgKSjah7Tqrmx/WTrN0yEAuXSu4wkKyZiPyZ4v46QNG6ZU13wGPlYoMyq+tq3Wsmss7iE
1L5b5vypYuQZ2/F7Wnv3E8QNom8+VQLuJivtm1AoBWiYgn5K+ofGQB2rRiiaY5mWu3mATwrEiWmT
z+yUbdVmCKR76EMTWVCZiq1ZI/lfiNNcV/AP1z20pi1VImlUBHEX+NFWleHsx9HIbz08fpvZRh6Y
KyBqVoaN0GsM50J0BTVqQ2NXsLkArShuccBDqjIac4/q/IgZK8NFOBB7pEObx2/5zfU30Y6t9Tt5
r6U85TdZTwnVfHbo7qc5o3FD/NMjApoRA6WD9m5W/RBcDPHQR6/CW7KvVdngfI2AkxEGbcU7ohKt
q4BU2DXF+7hOtM2g1YaDSlsPQjwIAgEmU8LotdD2BE8bFaS2LBgt5gUbF0NUoy+sPM7IeNyX2ujA
4f9gjFSjI9uu7Rwv9X7Sxgio9N0q6O36qtebAW2fcHi0zbA377kCMHC6ATmG2m5Ra+NFqC0YcBDe
em3KCAobWFiefoDimZmBKxOMv3VphNrNYeLrqAxm40E0jAehTR+28Mu7zu/Kq6kJ6vtCm0MQl8MC
dTF24BsZBh/h5bjgkMi8w+zX7LQRCbITGhtcEepKDlG8NsiLWFf49rdeZsuzAe/1TmWxfxoU48C4
XXepfAyV2xLPYRLqlGB8T1zmsvbsGsCCI/la5BIUGLT5TRYONZCZpngvHI8Mj1Eyy+jCUyHT+TAt
KN3EoHGaYiEJEbmIuJGOBZk7ccKLcFJkeYE1iDTgINCoA6QhGEg0/mDQIAQjBInQWzDeCo1J+Pd5
9O15ZP3tJPIwVoRwfR3+u0LXr/vxNHJ+0+IhTfX6RornkfPjaeRCAvMsD1nN94Hj/z+NcNe76H2A
hJH3DeHERqX9/xU6Y0rSt4HS/0eS9A/ERX9Ue7s870Iyty1SL23E6H+QFg0jQUpB48nr0TwlXN+K
A2f/00P6T0z3v7v3f7X2mTA/3cgHjevjcsQ39vO400LSl+dF3147Eo+77rh7XK2pY9fOdWqKjnq0
8efiZmkyP7xMgTY/U7HaxU1oemqdmtVsA9No1/3cHLt0Ps+YTfrg+ZbMYhe/OGulyuvYMzZlYxxV
H5EQ1dwNJgZflVrbpQtu56w/xKoDNFLNuzobrI3ndiejlVdGWLyVijRVWvaxbY9kWT0ja2aTlqVX
ycBJY5fHIO27lTWLTzFqAnsmNyUV9D7reAoZ+GtXgycP3cR6ZwzyhyA8dE6/5td7TnzzaEaMTByO
826uP0rOYDSwLnro6iMmm5WZB+OaxpxJnuvFDmLVecyTZRPWWgcpQUC3gfmm43wdl1hUy63vJ4uJ
rm0/iJlq086Gp6JSPXRs+d777km5ot51eXtRp7PcRF3ggIaJvXXciDuRAdsP3GbYJsq5ALuO/r53
bkrJAGqZxmcjd0CcBPOWfpLEN3v4zIMO4UNmQ+XsGugM7lkgiRNvqURWZdHlB99kFsDaPlnPOeOT
rLUR0064Ydx2ebKqBuESmqVmNG490MIE15b3soLhHIXFi0Ey+crGVxPB4bksB2mtUX+feiPDT2Z1
OJ7C5DwZ3p282TG9Arcv7bU7dyxHy/opXshHjDuI0U1inUQ4is3A0HMJvPc2YyIhlSAzyX0P+wpz
T559hhWbq8QNl003RDw8/E83IyUc9nrWoc+xeiYgtkhZbYbrJqmuJ7t/s/LcXAsXRRY4hmOZFYhx
pmGXhdoXQCW3hvrJyNYwI6Zo4zV61ocpYTJqlAMgLMoCZGN3UJi7TRMkI/hOVMsumV8THdmiu4Uo
zO9sEF0ogRl3R9NTYbIsy5T/Cdj51bMKHWyCL9yZCxJJyFi+YMgi1qBReap45kOiurva9dpTWjhX
SRkEm7RJoVbO8+uUl1w9siORRvL3CILlpfBjGAH0k1Nef7iW9HeTMB+KpGRFSFbKbEB3mZIB6Yjx
ORjhC1mEDHSY3AeOhSBwjtFYk8PnN/Z2cBh7t9/c5dIVXXzQ5WsEpqK79xLJ1NIvuMqjsngoTCc6
etRf174j77vOpidqPyp8HVnRlsQNtV+toUMRhj4EZTBClkJCARRZ/uS6A0FwLEV6/7GOtvNepSo/
rxrWH4ZxK8Y80p0vucybuAKpN5FzZARg1UXUNuu+BCGNmmKdODDUG1YUEAyZDRjMBfp1y72pU3Uu
+yZ4TkPvIzPnbsWx1iFIs3ZV2ZLlqc4Yr3wx5vFMDhmRReNLMlKxcebcitraEvRz21jOkSnxLbF8
G99IHu3Cf+lDD1GleRbJ5Bq797WqoLz3w25BW0bJ9pU9KSnxQb4p+qHYkja3LgjgCXoxoO72dqKd
LgOQbJSD2MdwdSBQlAyH2ZDnoYFMyrhSg3issqjYxnb/0Q+Emnfzk9F/eCNX4uQHO8cl5nIdw4DD
ZhFLhir5qAxja04qeAySad53nbDXeULekhe2Q3tZOM5z1bhk+SzdNpjqBKRSzrm1Khq3ZTrqLc4e
K55YhyVzgtCpHouu34lBPktZPvad8YJ/w7kxR2+55oHX7UTZfels65gK5+sch1fdoi6jMko2BB3i
/kFus4HUTdJADie4Wqro3q1CdZFU6V2WJG8I/Yy1LEhDF+xoGX4MQAWoo9bukL7UNp+iTO+zrMkJ
8SALZeqfR6tZUPg41S7WoIiWn48ARZ4966jgDBiNEoT42C5XBruDez9HLaUUs/VENGywhds/xVE/
UrAH1YG7Odx0Jdxhf5oOkzXIPaKQhrK5UYxCTWrFEkxlMiCWQ/3iHSQ0rgOzlWvwWLc9sffshff5
pAcmRvyesQXCuGDdM/p5FtZ8l3jCP0bu+Kxn/iC9lvjy7x+7bCt/mrxROtgmHm2Chnxmbwx5//Bk
98uxBY/TjddNSOiQdZWH9z4/tcf0Kv9fcIFfqwj9Xkwe6RUtGEIBumfd8f60zwSDOw+27OU1MQlx
8dgpiL//gw/wv95Cf/2nt4BCWpZyLOV1y42psJul06vb3v393+xP3yRi8BlQsVm05r++SZ9CM8tr
Ka8dcd8157NxaUzHv3+L//5Y+FP99Bbaw/7T7wHaOEwsd5bXbnhXdbulgo0qr+rgS67+xzux5P7D
BfDrO+mf5Kd3KtPJq/yBXwa36cqqUYnap7FCs8Aa6bSwV/37X+xX8/3v1wBLdY9cRXCBiOl/fbsh
yedFDJZkIvdsDThC/PskPVPVv7Ov3xH8FkqEv559Hav2Q2Rfyj/pNXjd917DoqHQRBbsRd8m/tyH
33sNywfKiKuUw4CO3HL/o3twaFAcNAoU/7zw1/Rv+zd6VnwHLpuE36lh/6DXwBjxyyXpYa9gH2Cj
uuBU0m3HH86JIO1EPRudupidlow82lFIVm0AKuvTXJbao9QaAAkweUcIvRwav9BToXjOOcF8NAGx
jTwpxL3EHGEK1IpE+vcExh0hOfEXuFx3RVxU16pgKdUtvr1zPMZTNFL9ReP7n2kb8sStwA1atd6M
jaND7AWhgwM7T3LtLO98QSJ0NOpyoNxHnqvWs49ZIQdzf9maFkpxVHdIxoszHEH1BnCC2gmPanbo
CtyRMK/WILYQwWPYuHQndSq87DxshvisyspiVxgRYiaWHSG1tU/0dYGLdI4CRL0Dj+GOGm9tkbmx
6WaeiF04gmByjZeS07v15/oENf3e8okIiiukaUjgWiZuyrgUuf8uax70XRNYe5byn0uev6Jzw43m
TlZ1lDGw3xa0+gPyzhg9dnqRwPY9jmn+MSSL/ULZi/QdM8Zu8kumdX2JjY5pNvTcqI5IvIqtrS9N
4+S2s3nusVneZ+C3VokY/XMRBDch8Yd3dEJHmap7oyVns3HRAZhhcxP46HRBhkHrJTSC8pQubimQ
HLqmZGeiCuPcSke90hap9zK1CR4D0ynYmyuL9KDKUJTJixC+uEr57CYS07MLZVGzr8goitHI53yn
aB1GBkRcFAwYLZjke8d2UPa9YY9ldkROsJzEVEdXGfa9btUsIVrAiD9CfBUhC0SWx4J7sqLi3MYh
YSXVcuei6Jg3327af9EyFj39X59eZx/iT/aY+jU/Tq6Ak8aH++MzG7fAxP3n5ELMxfocYjpeKt/x
g59m9h74dT26sICp6/Q+apzve0wX/DrOLTMA5GcBVPlnFiw9ofjPBIM1JiIykFNsRX1oUAwzfn24
BVabgNRYhsuA/O5VgX8Vx2xql5ugc6N9MIVfkPXIXafX/TDRc9c4VX04apFVZucvmY014CqNm7E7
srhqK4rxXJpb/LRjcN3SEMrrWraXrVNk92h5sSSSBxRgitRaMCh0r07pkexUg5luzdi2tglVI5zo
uimzje0uJKxjn082nYeu4OjGRoU91hqCsn+pUpynLSlYi40s2Bl9dAo7u54z61RVcmnukoVbkFlG
nNPUwYTbR07CmjNAfzxPg78Rjcz3RoEESmoZwFT41lbO3bI3C188AkkdrUMRKX/ZOv2oko2yI6Qq
5YgwmbM9NljCua2Bj6Jd/ItR9Wmzae3Gv8t8X2DsDlqEyuyJ91abFsNd4ZSYwEHQl1ez7af2vgv4
d1YezfMitUStxSCbk+iUNsER05Rjbv+9RX8fZnJP/c0tmtVJ/yfVBS/6cY8SXBC4Hvei5eME+sM9
6lhgQin/yfHRdfP3tZr/GwZxUjIJ+CHi52eCqMPdq+/awKZaCShN/pHUIND9zK+3KEUMFk6CsyGS
Qq/49Ra1YmeA5BIQcLUwl3/ALAi0n2yaytqkkPHhU7Ahzwi7LxygxP6MIkCWNybhIBFOpAoHxTxk
6yEwY8TRod8TWNuIZaOCCe//6PXcUH0fn1DXIMMHpbUUNw12yBZbJD7x11naoGwc51L5RM252kO5
BDN+ti59Q+CGtk47LanBWL+ZxnrGhMlcsFhXdqGQJPZ3qRU/t98sm42Z40Ypv1k5C7JlWSjh70Rf
hruLgN5g9tfNqIb6wjWUf1DQCDI3i7HxlxJ5FXzRuJ7aN5sM34TUTXjHVby22npHnptcNxUxJrlx
yAhSWM2ifjMdkZMCCLQY78BDlhjv9kVbk4bDGm52Av485cLUoozvrS68qRpzG6lpny831uA/yKl/
8kNie/ENRRf/3oi/34jcHn99I55/KT7+5D7kNd/vQ9smstZEa8NSWmdpUcp/r/JtImsjQB6sveGq
feOhf78RkTCzR/ixE/9po+CEv/mM5nmwIZd2EO79o9QRR7Nofr0T9RmA+joEnYgM9o84Q+pbTuWu
9q6KqQRplVRdfDfPpF4egGQXe+m6JDkFICQ6xmT488ujK5i/eqPhHYqYkXGlbPpUaVIt56zId1oJ
t0K1zRgd902oeVdSk6+KpD4ZmoUVaCrWXJo7vwKqwUxmFy3hh5dPzH8UVmfUwWC1fABbNUECsMN2
xrdkAZ0xMBA2YE+kDpQ6f6DXSQQSt0tJNMHC3FDayW2nMwtMnV7Q2ww5awINhsW6jProA+czESXh
FZu6I2OYO8yze4NABEMnI9QxKCqiEoTOTCAC5LlEIxcSplDZ3kOSka5Ak8TCXCcuWEQvsMo8OmG7
zc34BZPel1FnNKiJKOpiILcBOzRrd5fNqM50EAKjTEDMQ6fzHgpho+wpLzuMKTiBkouOaAhBRAQA
tc+BPzTOvGa9NGwbVdyeKp0rUTXDwSNowmQ+EOnkiWghiq/A2RK0pFI4gTotxFSEIr1ROrciHfLj
qJMsOp1pESmOQZ1y0eq8i5zgC1t2LwUVCmEPzdpzxLJLFCLDpE3fidgWa4VWdFNbag+l51TqbI2K
kI1ap21InbuRCfHYxqm7dcTnqJM5/IKMDgp8mibP31A3fho6x4NVFnqEkfWozviYgu4+1KkfBvEf
kHVuSvC1gOJBm09sjAeSQryE/e2s00NUTR4qcSKBzhXJdcIII8MXl8gRHOSvs7ncdEwGKfxfZIup
UBBSgvYSA68sIF70+WUVENqEHgMLns42IeQEBhqGRMujh2iTXU4QikrRh0O53AVEpCjKSvb8QnNW
Mr9/m5ihnM+eR09Tac3QwL6s3EitJOL3x02ttLyIJHGkRhOaOTCCYYCvuuI02BBsxxS8i3kxi2Mu
UORNaGjBckIG30UGQnWE4ATg4PxPD2oyrxZuBqKo8mBfGCGQDEbgZGvaJ8fJHSBw0crpeM2StcZV
niQOOQlms3W42mC4dU6xKix26a6TzUdWAt7KA6p2CsN5oeb1JPmY2cCODZ+0OU07iVMwNJMrzJ1M
NG3rwhkJPgii6AYVIOHAZX7Z+W22sq0nGXrqTlhG8VJb4HXtDoCGQ7dlxaLdhlDsV8J3CvxWhLi5
cH3muiWTziINJNQK78om9iaogQxbcpwuMSVDAG4AVBnqAinAtohYZoy0uWiHmfLbWf8mRmNv4ZNf
TY441j4yYNcLTyQMeycrIU60aXPyUNi6vdrU9CsoBQSvJZO/cvWDsk4DvJKVaEmLK7HZQxR87yz7
Oa+qeBcRCLSVQob7eoGjXBSlt28qOCW9kZvUy4R9Wrb+fGPyrhc3PuuidF9KeZlxR5GWOp5ytvmp
5Lc2DW9nJc2ZpZx9VpGb1ER4qPJFXDBzC9dziu/VCUc+oQUPL2BA8A5qV9XVTeplaANyjNOYzc/C
ZExWsjX3mVe8YLHbj0Z/txQEnJYlrJ4UbHFtFRf9KJBTjiiysafu47Y9+GP/mThxSpxZM25g73DD
soSwL8K5uq/6vDyP0uma/NeeBh8KTNXAskpAO3n58ETps5Nuiwsl/Jgb22K1U52GQs7bxJr3AV7p
fyuEbxWCQ/H61xWCjuNcfbCl/jMdHK/8USeYuJZ8vEykLvFto5/rBOs334UkhwwtiuA4U+V/rxP8
30hpYEb3w+n0o6VmgkjICgYTn3gXZAv/KI7TCX6dhOue2oZ3HLKhgDRn46/6tWCnV4RGWYTGZeCR
2l2CR8vAEtWlDwID/v6u4Kg1cMGv87S6YVDIeZiJdiWhiUoFNqTMB0S2GGRbmuk11VDDLlkx3epC
ucn6/k1WoFDy+bU1uws1Oscl8MNzIujF1m3gkLbOQxIJcq0qVDlDeTuD01hz6L37JJhPgU+qrmPe
RCb5zzKMPYzJ/8femTVFcqRZ+6+MzX3IPDz2MZuLLzNyT0iWAqq4CYMqiH3f49d/j6MpdZVaLZnu
ddOtbgQkEOn+Luc8p3kSk/M+KctnMlbc4tyUeo7CIF3qVa85C4D9+rPZV70f65WfKxNpElbM8/CV
FnXao6JtdqOynJoBaYRtnx+p5/Gjkv6Mjm7Er+UjDniuPpyrGHxwsZJmoyytZPmghKoTUaHF1c3Q
9zjLynL0tpVOGz20M/Z+ZFPrejY2g0XAYKolN30yw8YmKDkvXfLARPKtc5w3fDYwj2KKAqO7zoYH
yQoUmBszNLxDSIDn8t6Z9HSl5/I5yVpEuF4jN/NEXllLmJkdtO2xFsVrLaOkAXYW0RSANGPWauem
vK1TYhQ4MS1/nNNPIuI8drCEtVMqlEzwcwFYEJ9NeamgUZ1RHc5rzfE2heNdoIseiqwkKxUwSRNt
M885TlbwGTufWkQa86G0k21fmOKAPZ6DjJ+bw5DhaUDayEpkiEF4PU/E7sTHIXbCTcWvb+XqrFjJ
uckvgSs+ZW42bHOCOQmfc05mHhMH1o11/Ji2wN4IMSXhdqOPLhys+Va0S7oStINoHeG3NZW4D4GG
BUyyGUoalzr0ttok90gPb63EOQTZskuHfg/SrIU+H37q3PzCXn8nJ6lk3igGQAq0Y7WKEli/Zp48
WU75iVRtcm7cx1xbmEs27X7qw08ges/NGN83ef8ZzcoeYQKe1iyq1nbNsbvEBhOa0doCFZfbyZnP
dlEKSIZIqfs+eUuQmQwNr02bQ2tDjgHRDTLAlYbBZ7GeZYOvrBBEgfXZ1RIGd7lVV4fZ6sKzoZn3
BLi9Flq7ydtPTU9GvVd7t2GU+BXulaJimmrrj8JLRj8pkx1T9H08JwhZcALGbfqc92HMmh2TTEcJ
Y9SVT3UUr3XNXnhCxxcvgMUm8tFf7OUaI/YlEu6TRERXthqr8wnrlPVqVML2RZDcL2Gk4HRPdTOe
I0t/zGqhb4QkRY7I7HWcateB8HZJXlz3WMhXkVe8DgG8C2PEoRzOVGNDdsoy/jXdY5Pfd3D+8gOX
5HnoihP/5rKZJsM4ooTqVrgIMrnVY3IR7EUr8rsIn4Qk7CH8ksQSIWWCUdwS74vW7glM+NJ643b0
BlINeAmG+9yRVQ0KSFuXqAoNvV93nbFvwurz7Cijm5K+4ho/u7K/c/U6Q24yZlTzxue4bw5j20BS
GgApuCZYk/BA7uStxMm0npfhyhpGbFtWQQY93iqvqfZRigzJTZ8SmZ7ZhDw4RSVWuAruusj0SR25
ijAIpaJHI2Qi/+FvkVfDVzPnrSaaq3iQiJDz/hDOOmvheNhnsqY8kXc8JMeyZ6VAKuOlDcR2cOgy
+n74TPCQvxA6sh1acVNm40nz9JOG4YiUXu1gzuZeNEAp4Ijky7gfiZPylvQMeW3XZcttN6ToPPKa
eqYBh8Aj6yL8zNvsIRDFM1iki1lbh64x31oTTUtpH3Qjehza+N5y20+WKTMcbcF2sKIDU9fXVFQH
PQd8s9A2sp8/MxYh+gu8QKuPVxEwingpnqfMuPeAXuMyZPcDRZdcMLEzh3hbVNUFL/spdtz3f2qT
j9pE/ukY8ar8I9ia+pzvVYnu/ILxGvE79z69jrIlfZ9egMa1qSsE2Aab/TsFxm9VCep88ueYXpim
6zDdo1j4Pul3Pnae8ONtShw+7e+VJZ6aE/40R2TfSQ6RUljaOH0c9fEf1ubtQhPVW719HRocvzXV
U0Wti43V9LUpHBaetaDnAdOYTmdAg8gfI2Ysb/tNj01oFXWWyK7cPhY51KuQ7wFpBNOpuQk0pEPe
hugaUCcGlz2K8rHD7wdSLdcqfxEhCr9V6mheRaBpw4WHqdSebvsE7qITaWW4dSw0Mf1UPHHVx2sD
RFBXOOA9WpTytcqlaWLK+z7U2m3Qi09JIa+aAjcsUz8/mMVdMTM20XUuBpjtp6rMT0UdnPVxepzx
J65IlglWVQVCpDqQ4RrgZabKiO0kBlkBjSybHLI+XZpOcFi0ZhMGJMe7gS/Twxc1IIy1KM5o1laM
hSofaM8Rbf83OXWTH3N2dJOFtTjMWIcKy0dJc9OWxbwd7QE+Zo/IPBjqjlCkhdA2TLxMJoplM1sY
QV0hN8LqZz/pdWKf3eGbZk7ktpB22iuMcB7o3ybU02smtdsEmGdsIfxiIXlOXLxMarTQW1gQkno8
t33aU0sOEgWeca+ZYls7vQQTFBD+CoEmaILqYEbYJiazvE5keVfX4zpwqlPM7RWhECHJlgWxU29m
TMHmDEqriQa/M8RqyFImtxz+7DGPZpBTMOCrhhLE4dNNyarJypTIIwfOiIHMTkNpBtI0OTODAUgW
PvVFkaxRlMc7QKyxz6VzMzkQiUyvW+t1dxx68O61aJ7CknZxSa3TPOv3XTht7CmDBkZmUFokdyHs
+9gCROTEgHPsJd4E+K9XlakF+yYlXU9M3o2wSgc4vPFWZnq71ysmzVZRXls6290IEVVhpA80A485
rtuyqi9aRLiV46WghDOSdKADb5Msf4Tj5Ctvdy+ML6LqSx8QDaL+7H5KrUMR1lCZg4iLxI2s9dwm
Aw+6jE5V1TBi8sgCjsbxqXBUNKPsnqZgfNTNlhAFqruwAToVeRdcDYjEMDZb3esELAcg3zgitU2p
rFUmnUsTYHT9PSirdFUmOkjNOTyErRniooOOYyN8dMPn2mJ4NFGmYGCJa8Y/5CqZon8YYmGz7jeB
FNjREYTwUTjeS7FQbImwlmtZ6vcsLrdxY36Cv7PTjPJmhDy/mmLj3kRY4btolFeA4UChmVexU2lr
FnnbKc6eGNcVO2ZeL3m4THumYzBSEL0SreqtC/IafAPbxRb8MYkGsNFIp8J8OxEI5gn8gSw+d6FY
mnNsw8weqfICmcGL93jBZJNvs3a+0Ay8NYh9VmVTX1eO81AyHzo2OS5gW5/eYPDeJWbsrGxUFmCr
oDW0y/w+DizlcfoXfhBKE1Kg4zJPALKWOSNo/ay/twP6FXTtDjMgmPZlRZlek/y+xny5T8PpxY66
AulEUWwm27tSlDUc9m9pNxk+Ue84/1JUyVZHaKIm3pvRPIH3289L+aVwiBa2oxrMEHxCCvSTQAO+
dSeNTLLevjNJWj6EXU5HlKjcXJlc6Wl+nJdoR2l7IvfjNiGPLM+SQ9TV90FUv3eT1/rFyP1fBhdb
qz5VLj4lY0bMKaLQPnmci5yNJe/cDNFH2Stvd/lUlBR5zgjVCCTXyiLBbTOG8C7jYXz0Wsi9fanx
ni4qvnicwtHsDN6O0zbte7HKXaOEDyHzbTpHT3J8GxvKC6bU8aaAUhdBq5sUtk6HXwfmQ27ACD1+
TGiw1z9K03qLFPRuTh0IgnDwRFt+9eDiLfDxBp2HoYKYVyl03gi20rcUTk9XYL06d24GcF3MaWAH
haPGUGe4tqDx8aP6Yx9dyCszt5YJsC9U6L4lc84Ol7sfgaLtFd6PCc10MBXxrwo+R4637BpYgDkS
Pli44AF1BQpEzPhgKHSgrSCC49QMpD38UyV9VElUIX8ywTm/tO3bHyki+Kzf6iTvFzWasYntkwxL
f8ewMdT/zcwDGdWPigh8IyyFDFtQRFFIfcx8vtdJ3i94Dqmr1KqHnaz8Wy7Gj2Ls5zrJoiAzScCS
wsTH6P1O7zf03qSxRx0v82i0ziYagoS204FDFc5xBCArOHVLGhqbORmG9FHvdSzLzIPi7lAtsVhN
g01f0KK/XTbJJLsFgH1VlArwYNjWV8WhQFKFc0zFZ9O5wFFtcGLpoffuiVzv7ue2xTDRxaBqqG2W
hVybqhxtohc1JTqo7VAukPrTEbLbUqK5XDl9OOmbXHKvbEAH4dgOQIr5XZ/qu16QFbNrhtC0HjId
MP8WGPcB4QYFUGGb3b7Shnk/GXOfvI8K+BF+sD/CMEHBSTgC95iCg2iBCyZEAUO8D3bIXM3DRssa
G30Zh7AXIU0TucbZS1XzOiiOyaJgJN0Hl8SqCeW1YJXYo0YuZOG+s6sy4W2E+cap+BjpbsxnBnAn
lGrjKQoh1rlqLB7GuVwhW6NGU6gUgjtT5uyKn5IrlEqjoCq9UsPpCrRCrAqbJAVf0RWGxVZAlkqh
WUx1kTNx8nZuVbylzmLtDIVywe5t7tqyizfiA/QSOrB0rT67obVs1/A00C8ChskplDaugsWErvEW
KXwMW2seC0XFyEMTJHAZOoxTtNdKgWfsJevX7EfcXdQ0784YBLtKgWqcnNWdPyp8TdZJZ1eWeXv0
FNxGalFyxWumOFDomxSrZKxgOPh9GdorQI6nUDmjgua0Cp9TjjkYRoXUGXvIPsUCZoeT+3OmwDuh
QvA0CsYTjJAxSwXo6RSqp1fQHqjI9S3+CkRqCunjKLjPMus13iCF/GlLmW2XDwzQwDyxVWigSXd6
YHuwzAMFDtIzMGgIa/L9P8fmr8cmfd1/Hnyfy/a//l8RvmVvLefk78JudT71t7MTNRmrcRbJEoXC
R7f4W49JHBk9pGXi9uYE1X9Qk5m/YIZDLk/5xO5arcF/6zHlh9CMY9UC5EzSyt/qMVnd/3RyghgT
yhDHSNzjDBfq4z90mAlQIHcsvOS6zzeLxeQ12pn10w+/GMYqc1gW/0Ue102J1rL93/9Gyv8H3wWd
LWF6TEVYY/Hr+fG71AGLdWuxkuuuTOKMIlkUEZPF2WWsLdNNYjBpKtlOErXrFpAqI2bwS3AaWCDf
iSq6zWJSFqwoPo9CsP3WNYsohx67jh6LtQijwyjzQz9EDJEIE+v1s1jG23aWV/VSniYmo2jkjiJJ
cY4MIBjoybyto44X0hvnVSy9b8SQgh5LqfOSjmRbiAnvMfo1qnsbRgaWYSJnAj5/oiNeMX3GWDtq
S74LxsnxO62FJ+JJIk37hVsj7QrUw9J8DAzP2TmZZTzLHCQ5kylWaSKN7E3U1xWt8MwCoSRbFrAm
7Ox96IHAZcoE15DdoHttz+3MsgqKL+wJ4sRXnVEZ7uMia9vPapntGm2xrZ1ejvhkiLTh0q3pOvNu
DlaC6JyLW0vtiq9f+aqYT5V5qNSKncu+zLdxH3MJIBxsHJfAssxMj/1U2+4N3681nq05hBgl53Io
uUaNu9JprOkm0oGR1OHsUcfazhGDWfgFrbf5xFAOHWI2I1btit48uGVqESwqrXHZu9zI9lqMrfdQ
li6sdVR4GxDgaiw4RYSYUXvXYTgfBtLOwQX0zqbjd36mV21fWqQS0wzzcJ5cufLq+KDh9Nqg3ETR
RGrMHW7BYyLmbOOVuncXkqmzYhUJWHP2om1ZkSU+pSZB8joKyfjJza3hzJ9u8O06XjAyI4VqkVqi
2Zjio02YzIaUr2XXdZm+LrzAvG6jQYJSq9udbQz70SzwtU2yvcVCrXPD5FdxkV2B2C22eRPfmqVF
CH3PjMPO9rxjUj80xA2D2ftOd4YH3E7uOxZL1B2pb4+T/V7GvW/lrZ8Gtf5JaP2Wqp8YlzLdeBr1
vMvOdWL33NrVt7bt2MU1b3MyPyKcwn0/HL0p33KAIC1fduZENrw70Mt2e+bE5wUHYdgMr0wrEGFo
22zUuX9gUffzV4gk3FtfA9Hr/mhnjO8dWA6pNXyx7Pg1W2xzY7dpe2T/DhhqXM4yJzk3lFc2KyXg
cF8q/nxtB26hcB36CXtLiMi+F8sX0HibMCflpxb1yoDuTZ5HIQ6JBUdFJ9zMcpwbfsY7iygOf4qX
ELVFAKV3EPFVZNpwSQN522U4xce6O4Vy4mFW3WA94RgPuBvdfD55vIkEqyLpNQS4u2e3Ms7mVD5p
S7dOLee+l+FtUVdnh/89SO+c98Nt5KH1kNVGBvRFYUig2pzqq4T8NAY3pLiFjbhOtfS5TPXnii6P
5cGpzNwjc57bZdT9DKRxmWVXlpms66yeT4vjUItRJLgAuuvU2fceI+aG6VU0EdexjEe3XOZDvRTF
EcT8t3wOHPrtIvPnkHbXmox0V3vVLmgx7S2zVm///OT9A5eD7rI+/XBv4wngv38+eaNZJzsI7Np1
WadyM2TejJ1uTn1Sr7Nzlxuj7wzwtssop2pa3vSqbm/rOhWf3MXNVuU03fVqIjQFfuo5rBw7UH32
O5uOkEg6vKMEHJFHNYttufBMZwF8t8BqiX9zQb3Xg/Qdt9sDxX0lKKBfx0n7KHFebPCwkUcjMJRm
xXqs1+100KsUfUlQ7PSk2UmScTJZ7trc+TZn+T1W5mMPMHpps2Pdg7SpyrPbSm/XjTMM1Dney4mR
Tkuejx0AU43MZBeiMvNb0d6Zc6+vq8g+iojmEnuwwNasY29spgf2DCarNwQ8cpYXkwk9Xjkbr0Wc
Xg3Vch21ySEdrZ2F5xIyR30IPqITXcZguRtuiX3aWGF1zkIWaU5B2CVLCKChe+413M0VDWs5t9sy
aS5pkt1hWGNSCffEt2FWrtkpMeBrbmKjHfx8QfLVNMkDawusDlP84gnnFAOyQCRTrV0kTGlaKzb5
Tq9yeHH6lySf/dxgXOmZ+5FzyGjLb6XnnEXN9DX0tG+BDnWykvUKKQV4zSzXD1qlzrLuHDv2Zykg
RgrQltCTv8y51NcJCYQbkKAXlnK6DxRLRU8k7h68ef/IPm08odVsrjIq2b9wiDFq/30hYmM/Jd4E
2r0L+/TnBzUBUUVTn4MJ72PfSI6N/D9w29fpf8K38g/KkJ9FuXxJ1AI6SkDGY0oGrBT/PxYhho2p
xyUf9TqzEzZol7iP93F114wJT0K2ju166yWbv3gDSqXG/9cI/9+/q/q5fyiw+irtKtPQtCvmx/f4
kZAb8g/cip/p7hjRI7xdd671ZAfGYeiJRBkmVqZZweRLyLhcF83yudScc9yZYo17nDX0qL+6ken4
uUgeWFmNfpjOJyczvzAmm456Ztg9T1NRbvrFKTZupdW+XuFtdYp5PvSTY7yWBXHeyBCNTRzHXzOe
1U0tSATiBJ594JtiTUt935tqf6ylD2iP5CEPASTM3TdkPXsupU9t02ztdmxX0kr2hog0pIJUKNlY
FLt56cW6hlXvN6NFCxVPdzIqmFvFROsZob2CnHzioX+v2xGCZhUfGpPA8tH8NC0YrUV6tLqSIZni
ZcWBkSGdi0Gy96R1LskJbZ9fzIH0jUxgmw5STlnxNAiWmXGSX7nRtCuacTMEC0+w2KRdmK8jeusy
yV1glInrN1lwVamJlOUQEsog3Q2ne7wJFHCVBuOFpBRYrGK9ON0OYCyLur58scOaLN38tsYy0XRT
x1rvOFhQpgfL2DvIw/xK1x+KGa5NQMjB0PTXlc0dCeHwQF/35taCpQIJebVl7sLKPDvsWv/icfur
Z1wV4j88bQznnEGCbrtKzsVNeK1t2aA+jrvlwLr97HL1rL/KcYXM7Kp4Hk9//s0Z2vzRo46uHEm+
xACjXtwP3xzPhFukrqldVT5E0bNcV1twNyxkn5wtEdoPF219fho2JMQPL/xHdj2fxeoYb4Nrg/Ds
v3g1Pzc2v77vDLLhwWTZtFHW71wysxhRKepJdB2JG/B8q1g8NcOvre9/PFF+PrP+/XsgavrxB17Q
QmhRlEVcrm9hs/fm2z//jf7hz4AqCsMCczRGXD9//Xxi50+SHZe3dlN7vB8sas5fT6h/XGAmj99/
bt8J7uzemn/v3NVnfe/cJeAbzKkSeaxSmCmV+vfOnQ/hZ0eCxjPE38XlL/9dswa0UkdHS54qnq+P
FfBvnbvCupk2OnTsYb/OSv+Gg1W6P18tiNYcFW5OHW9KhgH/1rsPspBdrXnzBQV8uxVaVmxa/KUI
ZQ03qEnNTCaLTaxFgJEVFBUq9v5eQMCy3BRNQrP0gFeFdZ4KWBNDwiK4J8PGxNSyzmYDX5beeYT3
Ie2FzlbdSpTJpNF02gnViAUvtvzsLXqy1izxtagZW+FJu83jEn7iWGa+Vqm44dC5UEciUy8HsQor
h+ijEh4HLBWDhJAQT0wub+FJEqpA0LIP73EjcF7uAWeQWmWQeAMiunCp0AprHVfpHcrjtzGt78sh
Rj43Nn7DAO+QTNp0DFXCwNJ51UX09jPM8zuv5qsEaEtNV4w+uQ9+O1F7B6N3xd5/VRsoOFij34p0
ecz76sFL6hNs82eMODtyG3mxC5AXIj/PXNVEmozW1VK53xZAImB+0pr4leE0Oyr/OaOI1XpCACIE
eR5YtzQy2pXlltsAQpij1Vekz3xOYkUWY/m1jqOc/Y41vy6xvNZZCW9Gt7qLozBbE8Vduzet4Wrz
DsTxTMYn3y8QjBdruCKu3rDILXeS3Y/wxp0U8El0b6s3y9viuvHGcgasBfTeDn0963i08UXfVmi9
Ei4ud6z2HtHyq1GaT8TCXvUaLPWafnyYpEUp/RY4JEZL4nRlEL5QrLz3TsgiNbUKvzOXcquLDlFB
Jm+CZrax1iO4rZLqNmqWF7dmdaV3iL6jrLTXjVJ4FzZqStk9Jkl524ucbsFmR60Wtku9JVSl4W4m
ElG3b6cxfCJ71WPG3J7Cpsv8QcuHjWvzuLotgS7wMzvfmdnTOlkRIyRo0Q6EKJPj2kOtn9wwv6nJ
7rVPweg2Ph07xDErfmGhHa67oXxxJqOh19Biv9XI0CKu00Tun6Yb5tkU9JJNGvGkFZGLoYl1IyR2
zOGZKg1JBZwDqCMbgxqNUZBKUY9VnrpBsHqmjbf4rlgmkrheqOx1eHXn3JZ7bibaz9C7TEXbEq4j
rbUT6QeBPGplV/QgBEsCLc6mSzlph6Yk/3om+r1P+qckJ2d0Hm8Ss0eLHhJGb+nXjQxJpSE+Hqmd
2CQua+FAZct7c3vDaOgb29WKeipimjO/jol3TRTJPeMJEqIIqs/qTiAEJ7veVSn2VdhAkQ9AxJT1
rVRR95Cx3pKFiDjSXHZLPzprmWk24+QWOFAY35dRiH4Nm8xGq9InatQnvYnYqQ/4O0TyjJSdUqkr
QX4j6VjBGbkCMfGYNNpJD4ej6+WUAZPFvrU6BljD132J+MHS6cE97UtXzzvFwC0bImVHh/VfFDqf
u4WQS1Y33n6oyEFvcw/8v86DVxMxcpFp6Wo4TUEGftwG/1yLKkP7P1+LVy/f3pqXf78W1Wd9vxZR
RlFXQU/4EEpjr/rhWkTlbVqMtBlkcsDafOj7tej84jBiBrxMB4Y3UgnAvy8D7V8cZfVy+QRDZzr8
tyxfps1X+qHj4lp0kWVBdzOATyB4UC/ix6pME/rcyk4PL4GXM+VFRNO1MAAykp2MLnuqUg1ZUOf5
C9lPCgW6K/KQjrbfC9KhTBUTNXoWh9IIysHJThM8h9XiJTDMBpaGpEypNgbwItwgN8/QnSJBgqru
bXjvfdV7uIqd2193fbge9OGLTY6VzoLcUsFWcRg92x6XIzO1RzpcsS8YaoT5GKydAPAmL7vc9mRl
lTHqq1CXX0geLPw6ZmHYGkRrjZptbonffB/G9g0fNlE2GLU2bplAeyCbq0yjW4LKXhYxPmoKUu2p
GK/SYtCZkuxlqYivnigdYFi8b1unfOUk+BqRB5ZbgiyvkR+xV2FhbaXfaKSHJRkpHaSJJSpWLEFq
yiBZ3nB63IjCmFZxnHUooIgjy2i6d7ZZDci/x6/kYrXrTEfAnUbEUiyRhYlUJJ8GMs4wkHJsCrAW
rYEYAALbfUsiWp7rt2hpGnQ8pAxqpKZFpKdF3YQ0LBIoIwgdMUlYC/UqYXDpUIyo+LWyt9AvxS0C
FWTOD0RyFnuvtFDAdU6C34sQN4z0yZZ43m9sTedjOEQ6mU0CE5CKfzNGV+P4N852TTKc6VZ4UILg
dlaxcRFstu0c0mR6WQ5fScXLFSporrS1XanYXbHDbKd+nvGT79rQUEviiJlt6BB8RHId+GVM9uTK
EWYXEIlXAyxzCLpjXPS18yKS9VQIXqbi8DIVjDeRkIfo5WDD5r+K04ocpRAwFNmh20QF6wkS9uJA
7zaDCt2Tsr5jHhr5Dp5Bn2KPB7LHdCwwKuwb9KXrsF++9o0wiOrqPVwBJkc8YUxILoj8ixPC/5bZ
vcJV5vnuZL81FTHLDbDSYuyKtdHxKDPqnPxwiAmjC1nXoJm+J6fkeVChgzGjxVXrOtm+Awy7bsPx
XlMhhQHDUEfFFo45/mWMkZjFVKhhTbohylrYtWZm7mF4f/ES+coQcOeoSEQ5gQZFfMjvGUWbSW7i
EtWvpJwrWYxTk2TeevYtd3lnHvWFVRNVgRK4TErqYoykR0ZPU8h7XqZuyU6By3ymRpqVUMYZ8y+j
ks4EbsymXclpamt+nJTAxlZSmynWVq4S35RKhpOix3GVMGdEocPmBBOcEu3oSr6DPKhe1UrSQ9TU
pwWNT2NX516JfvqyeI9RAUkjOhTSPQ0uIBNUQgtqIck8OdKiK6FkROXMrpcsFFbVjXknSnsAPIzs
qEZ/5CohEjPSA5A+pEkpL9wL9y2aJfbm7zYaplaJmUpiYMsgn4+lNr9INfuodRQ89dShipwH+xgv
HTKmcCION3G67gn121Bup6iCCkykYHlvjH37yIR3ZGAvCb+yRTs0ewMrxnOYltaxa6ssvCGqPXQP
9BnmcxAi2b9KLHyzuZd2fu8FTzoD+401SR6NIMxQ9pnJ3iyJ5hoTXGEjz93GqqjCeQq/9Ga/X2De
rNie7SN7CcCsUDyO9AErrwxu3WWhTuq7NUCoZY1X9yazQ6ZPsIQ2eRVzPKWZxAiXvIeNc9vYuGI1
HAczEIs92Mxs7VTOHasPxuzDY22RFca7eOcGgCEUC7oWy41nxqc+na11VYkXfeIcL4vxkuCb10c9
Qx0ftPsaJSfPWnCZUyHXM+UhwqYEWDQiivRQqLy41ihenHKINobsqbMJlYvT5FUSMofHB1mgxGEz
V6uFGLrAJI+ONRWcaCLqxHQuWKfl6d7FaVksO4aQO21wL6FKtxuIubOJuwPExZzZQGhLEJ7OHIOG
iWy8TKXkOfl4n6vcvEgl6DUqS68wSNUjlTRfET8ENgO0xkz0njEIfZ2PyAEksXxxYiFKaZxzUNU3
pUruq1WGn4fFtI7ktRmhW7RCMi2bBqQlwX+pzdA1r681ItjWpbCfEnf4moxkBY5TdhpVeiCjylMA
WtMiVpCIsstskTMoCRysVPJgn1QgvAXRhy75qmQTEmBIIpRW6qse63RhxMYap86qmPEdsLFBzYkg
l6BDe/Ca7aiyDw23OyUqDRGPMMrVedo2BCWaHYmJfRxhNyVEEd8M5zPm5HQgc1aL70ldeKl75yAR
S6Qw/QfSGFODP7UgrKBRQY0OiY25Hr4lnre3SHIsNT4akO3YDaS8kfWYy2j3Tz35q0riT8csVy9g
XP+gnPxxyqIIAqA8mP2jkmBy8kM5CUFAEtdhW0DqFOXjX+UkKelSwBWgc/eUfOGHchJNPxge9PwG
g34TzcHfIuR/rAX+NcBXUxaX2AjbRF/Gq+AL/lxOIkYl7ksTy8XIo8faoN7JaIqxHZGppC/51q3t
nc5DZM0IrSfvESU5FuQe8Gfu2Z8S17wyyu6QJ8kGvmTQ+o5DyvUmZun4kJWevimluA21ojl0HITE
8pLt9SoxqyL10kHxn5xgyAlhUuYoO3OSfdtx5+V0iLcCIzJZZvb9mKoRNkHTnkUY6FQYfhWhPq6n
8tM8a48AJR8MSqKVkJzJoqG+0OZLFLtHYgZ8kou/NkjCrRSfXohbp0rkDcfCoxzawo863llBp5Zh
cNr7oHifmyVZRVLfBiZGaoxbBrXtdOka/aXOKBasweh9cF3f6jFf/E6w2fUmdxOKDn1tGaExx4dA
d6iZ82GcSm2NZfuk987FSHlX69FpwTgI4MjBch4pxe1waobqKRLeFw3uOpMD4zZlptJZ+WMaY4Fo
kuWha8bt0OvVtR6M3BXluxQ6E/j4ziPtDClFfq7CHHfOjK+uP2nl8C4aSlL8lLS4htHjX8OPrGkY
gowsxUCnQbSN7DX2Q+kHksG9xXT7IpHQIbiq2dJ0I9TUclx3KkilTNAi5MjmNm6aLutiqshfE87X
aA6PhQFloAsSOu8JQYErObGMfd83lyCDQ2awcrmK6qaumJTQP+86C7LvisHIwegYVrTWVTehPzdK
KddRMWxNEbymADzTbCKunNkAaVUvoc3cja+5LjOPHbUiDkf4xSNDexENLO1mIFpcT9m5womASQem
nV/sxhWElss+ss/ZaDDFKZr7qEXxIDt8SLoMEV04XuIvDR5CDBaQb1F8Z4Pju1TrO1aY3Tbj+cfp
5nKomgetbh8ZVe5FLx/HodPXYdQKv2ulzohfJmc0lZR3HtCmyAL6GAyJxryEkF140sFu1nVxXU2G
vIXxTH2aDuQIVqyFwmOeMliaavnCtN+CMDDHF8eQBMpb5nZ2823ftSPagjhbW2PxOrflVg7x5zJk
SONBtQ0j/p5JNmcXk4w/AgJ+Pd3/4yLgd4N6iwAjThu8yCDBFAXsdy1nZUyk4+A9u2T5Q2p+s3Cb
/tV+9A++hefRJ6Nv5SRkp//zMTRX4dQmsW1e0va1T2/m6lPhnf+5oz7uKMnt8Cczj7fiW/k1/kOv
GJ/4fewB6QbsGhHz2L5sltR86LdtgKkmIqwDyF3iz6N21/839vgA5DOdJwD0Azil+DTfxx5sA1hO
CfErUv9vbAIsm6/yw8iD5ZawsLEx9gBr5QG9/d1q24Hl4iIl1i66hrO6i2lwzeUtGFFkpVZGFKYh
tqhvts0c5tmOEKHmzmty7VY6A9NfyC2FQ4CLx3rUg/bg963ePNEpOfNXS3M7wteCfCUVNiKpFUpC
ussubEf+iXt4R3Q6CDSGkjugVeQCVpq3bXT5uahS8TWsQVTUcqq2ZQS2YmQtsxoUyqIr+XcNhbfo
U9k8Vx/ICwW/WGDFHsfCOSZJQwY9wmdyuVgSw8zoZf8Kfx8XhMJpcNIhM1anGKQNNIoeVaK1iTxz
uHYVjiNvknDjKUQHYSqQrhS2o0nZ20K9XRkzvGoXVfZK/n/2zmQ5ciPLov/Se8gwD4veBGJkRDCC
UybJDYyZZGJwzDPw9X2cKkkklcU09VqbMitLkU4ADrj7e/eeKzEfM0IYPFHNOSFXm41mmz70LlgQ
TcM108QUTcVlXIXRkq3CVTK3mOZ0DatdwnqET3Sg8tPEREy7rP1mm7YLVyJJHAknafHUX+SvwBKJ
LuHspq4aS/JMapnd6UrISV+ibOOxKDhOUZdbsFCStjD8lqjkShbRRV+MV7NEp+SNKa5GaCqFxKp4
ErASvLJWxDzHa0VZAvoh4gPaeiKpLLXks8yvqJZxNN0lx3UALkmE1R8vfhncWAy76V/TpZjY+S6v
+36TNaBVAltxj7E5oBwhYOQo4FXjJtaqLrjSuughjSxipHP7KaxRowxQOldsyx6E1oaroC1/qF6W
+bQCDql0XLnJdEo56hMNkP2IZmuJDKA9TRmH+8wxHd+sXUHMOD43pbd3dV85F7rFKkoy402UYC+j
/r4xI/7HqzlrjlaHBWuScMK4Kwf+gFbvgnhR97Q1jr1VKheT4QDUQTF+tiwZ8VBzRqbqjuvP1xtB
sz5J2wOkMApeTDTCVwDQ15VV7W2zKJZKUVDhQZyAkKnbGFH6KJe9VmUJnwD/XAwjHIS0DzWsLYF7
CSpqrWTes640hMVlV0XX3QWE6DSlg45FV8rLSYmnnS4pg2ExbxWL7UPGUn+rJkGwct2XVhn3cYrg
x3QOU0SMi5NEm2qcyBia11zzyZ3yg5Vlj3Ov7C0tPmQRp6C4s4Jj7lLYyMgcWndReBNNY0gyRbqr
k34rKh6SGzkX5UConJI4xPgK9ynsBt5AOz6NfSGDbektK22fgS2tfM1Od15rrdyaAKwaqTpqODgu
P2wHq06brWtYkNDMfbVnlQ119ossvVGZ7JzeBDI/+oNGhhzW0wibTnrnpupJN7s7SP8uzAGvsKnL
evZF4M4/ykq7tuZu54A3N7JsZePX8tVo3OMf8nFqPEW2sbHrftWEiAgTi66YyK/dQn/28NAtstR4
ab3p2lTIKCdm6DhV81oRpl/yjBEsQWeiw4Iyi4xeLOGcC78jlr+l40KXQiS7uovOZF+dMhIiwFTt
grHYOlnh8yEVfmqpV1k+ktE9+ToavjzolgrtFoh+dEbE1kEkk5VkTjTjmhYo2jc9/m67HY75cqsA
TBKRs5rK4oQJ3l3larHRWnBYWGzPOp2tuA+3I269rFAOFEXXUxpzaCXlSYw427If9Hz9AFcixxw/
aFNcdS9F0F2Tt86MVLcTxdp4yO8tymLNbCw1kzHYLpoBUeTQvBsiQU3s7lY4YmHzbtNk1pf0R3EP
D+omM2vfCzxmYKBgVFDXdGZ+TOgM+MKtqRr7TeQubReyVNhEO/avW3Da96rWXsyWe0P/7t6NmmuJ
nuiy53wqXyoVmjtWDXqbxHbZ5boJpqUIzVUEIj80oisDym/RG9d6QDVcwYxc02kDdFyq6lbx+q3b
KGs1Sm8SIspbS7ur+UsdAPgL2yoxK/f7Ru3WvIqXjeeuNaO5ILGaAatVWHLDaK4tcRoSs2rq34eu
uOdXUSYHIzg1BB7xJoERjgZ/yoenJm/YhCt7+MK7WXGQYNPE62sBJZ5FIiqDigT6ic207Wz0lrT1
Ln9soZ5NpQP/APR/BH2MPt02d7HJjVmxmC0PzWJ/P9Tq16JOrgtFo+ozruOg495hss7brdNazE5n
g17oCk7qvkRn2Ct48WJn647BKZDRkWZ20QcapAA0QnlHDEE6ncEPU0AZFuXgYjT0DoY2PpS4kaea
M4nuuXdBbV81dXPKG+sahpe6cLXmpmMH2peULWWTP7fSQ2qFF+zU1cVAPb+WH6q5uJ9Eu9drErFK
8kM4nSXG4DeD3PTAoSjzu7qcLki13iu6GZ2UgHMHbqr0psFd4tOVu6gpjM+YX3sYd4qSPFMdvUva
jMoLYsmF57QPmOsXOuzGpIDlFmvPdsZ+v63uRR3tgP6c+N7i4qkFB+hmTxOP9zJFIzCr2kNkNeXa
M8RtRiOYo6zYCEM7J8JNIGpxVioGY42hYRsI2x90JVvFc0HSPdW4cCBlctJloCWRnvmZIu8mCcaL
Efd3qaA7b5KnFhu3BFzyBtDaTHpn1XXhqo6U3KcUTdmo87OURWL08m2vuM99b62bGANs76zJ5lhx
juH701AVDMd5PRIVPLXhvm6tW3otrDUtkZVNtWhj4SvRoFzkOvkjKnUuk/OqVuxSpT3OyvDQ1OX3
zpUy2sZDRDAee5NDXKay/L3Z0p7/7sH4+/HBQpel29TdpTLroxyqHeq67uJcOakZhX+cyeJaoYD2
+SBSo/lXqeT3bSjiL45pBsAyQ/9wDKJnpdq0DZXT6H6rKZ53D2MBwWuZYQr7fKSfbXjfjiT/kjdS
syIoJm0OGEkno8lEIuFAPpoB8nxJuscY6cHnw/307vE24V5B8ENB6v1wOr0AN0iL8Nwrj223r8Lv
efr98yF+dkXsltksMwwqoQ9DBPhaVW8qozNBQsmw6aZplRIinoWbmHqL3v4ikeMnV2RqMmWLEysH
SvvDiUH2j/RJbeMzKN5FbOAyg+YsfnFNH/Rx8ljybpAP2tcmUFoAKQyS1PWirQ8y9v7zu/ary5D/
/mYe9O3c9jXmrDP9MhuVtChuA3pvnw9CmfHjtH53GR8eTSkmUfZZE59HhTRby/fiM+BsPnAPFnLz
5qSTaf/5iD+7LPq2ED+Qbll4w95flojdLM4TLT471VWlhn6Z7pzgxz8fA3OubYIqQUX20RkQWIZi
u32dnPMmWmU2CMPCH9K7zwf52a0jzoEyjKEZoN8+PJ9iiBwnjklbqsuH3D5EnBQTPgZecJN0e5NG
2hBcfT6inFMfvkF84v4a8cPDQk+N/0Kb6E9THoMITCbrLz4G2vunY1FztjQHSzPR1MBZkGe+fzpN
AY8jGrXsnByo2u5YPI8wRlfWVXRt+cSOrYkRWn9+Ve+HfP2yvruqD0OiPMhGzKDJubcRXIdwK6GP
68X281F+fu9Mbgkrp2VbH56WPWu206IqPweV5+u0IhEvfT6CvPsfnw66EWabRzWLEt37W1dCvUad
AQzO4eg7uTq7zcfYDKk7J7+4lp/dsbcjffjAUVUtas2xk7MG28C9soKbav7F5+3nQyAM1TwMnPjZ
319MrIneNedQnPP8ZKF0HmN9ATPiF0vdz14hJtufo3x49KLuo3YKGSUW31MFY4mygmllgY0R7VkR
m9T6xTP622VhoofFaKo0XOikmB+U07oHXSZzivTc9puqfhzsVTVffz4N/jbRPgxBLe3tZzsncc4A
upGeQTvAIYTTn1i/uG0/H0JqjWBJe9TZ3g+RjGOmpJy0zk36XZl39hD/YoC/TWWuwTVBR7GlwbXy
MTmZT6czaPmcndnnZR2CoWQXY43MvZfXe/WvEk3X30ya5VP79B8b9SW52v/7P8eX+vvL899bh/Kn
/izJEj9qSe0zxjZJ7+ef/izJar/ppmubHvVQvlpvSrIGfmx2wkjQkGcTNPo2qAMlGoV8B164QUKo
RJH+g7Is8jXm2F9fu1clmmOzY4SNwZ7R/LjpNhSdWkglxElTzba+8Nq4VOG5ZKaCukQ4dKrsOpt8
SJrVleaIZYeLGVPBdtztIA1ucilBkiWo1v1CVadclHF/qxlmvVfHtIjuA6lKsFt40hMbVz97lSwI
NDtgILalbuFpQthQiOk0KvCYPEd/CpjIPhiEfYkYIrdHvDnII0ZkEqXUS3Tu+AXp2LNdOtelUfAL
jLnchqNFc80ttmbjXZGt9aMvQHCiJqaGJLUZJRLauwC5hmIasw89AgfmqJ0IPL4aMgBVtlR5hFLv
MdbutrehWGRi2Aa2/mBKbchQTN2ql3qRoqj6FZuJZFvCIlp5CJh9qwiQf1TRfSeqdplbpdiERCst
5lLV1gZeSnRNBhCLwW6jLd0rjsAVTmgYVxCYMfUq6TaK1HIlTFBQjaale3jw4bXTOuNXuyc7pXBo
RZFHYJ1iJIp+qMXa5TRReB1N/RzlFAPzBnaPXWEGIgeyWUdFplEzyBhaT1xy+qp2m+sGqouoxlvX
axRMSchsLhKtzq+CrjX2bllz8suQ6Yb8DXkVX5iOYms7T1BZXuuDgA3vCO2bVhnmklzuhVMlyTHq
of4EBEW1Ei8KnVpm861VK7sC3lYP/jgVYNtr8YJ68WvViEOhImvLnGGTolrxiaM51p5yhCTKRMog
u5aQZaP8otTrB10Rh2TAFF7p2a0RkrneRu53E3EIoLjLPBvR4UStI9D6TZAmDaM3II5bUTIfgb3k
C1UMK1ES6WCYfUBVO9p1WYBNPaDqMNq6u8rm8Ps88tkN1KLgsE2FtABajfUrjyj3Wt+pPNcLC7OX
D3GlWRrRuOo09N3ZdBdKSBv4RIs6WZ+gtad0Dzf/knCsbOmqFsKfMIsRdIQIt/gvE35vRKnF4QDl
C1WqPS1P+O5s9qR0xv1SHVXQvqTciBqV3FTia1bRzdvx2PtUYfVVLNGyKoxZW8JmA6izg0zM8CSI
NsgbZ1EBS/HQRi3oAHkoJ52XLAifwbCmPm+X30q4bSIptxJ3O8Fz0yQAt5Mo3EJCcSlYeGuXqa9K
YG6u1i1RAPBNQahQEEazlTiFuMglWfff9eP3rh5buk+6elhd2c99JHPo/NAfywdCZpmihFWHTzPN
O/7pzfKBIgVgBzzo18bdXx09nD8eGXS8PGxisZT+2dB75R0hZUGVQleJYLl/JDyRIXjvFw9TLhzE
42kAsLEYsbi93SNVRYXOKUqic9VR+d5Wr+wgyzlpQGmY7uErWIgUlgHKEDmiKtr4V/zQhDWxXruv
WKLhFVE0uM0WEI8RPGFqT9TVQD6bstfREwcXGs0VEpywDIZnU+Rxhk7OjMre1zp9ZE87W3Ma+yRF
B7jcka6SrdxPNqpJvmoeBf166pwZ/2xcRVsHQWEF8NUioBhQoLWtwho2X066Ll/PIa1PIZpHSg3G
NDir0EX3uBAuVN257ZQXi0795t+p//vUZ9Z9NvVzvG0v009mPz/3x+wnyox2NicXTmISfcoG+s3s
hyzDzhm49H/AXX/I+CGy43qj0A3P883c/z0/yePcbTrItaRX7h/snBz56r2f/Aj2ZDSky0YMboFE
rL6d/FmZmlT4XPsyM+Z+TcyYuSxU58Hhg1843Vc0hndivgomUNaVttIJA+ra8A7eNcYsmRNUUnSu
CA6yDwkhQsYg7jKZKqTJfKGJoCG7pQ+NsGRXEkGkhjnSpK6gRV6TLCJzipAPPSoyuUiTGUaGTDPC
WhMgZE/QqxKNEYT1RT5QoEuM6GtG1yKfvIeZzkZaurU/xNXTlIgrLzKeYFPfj/2k+3S3jggMC3+K
BLFjVbLvOtrFIH/7r5PqPsZIKPc5CSbwvokYUcvkjsDhR3VyZtDctKdAWNFhnrdzpT/2TXbpEZk+
2c4N4Hgxq6vKK1hPk+Gui+IHN1a2g1p8bWolvHD0cuk1pp/l/aWWwGpIp8txii/NTgKwa2lfiJ6L
siVjPkfbbA+XXjyAeY/1nVms6fkvoom2mH4jHdB0/1rxAG69WvAnbpqGiPBW65epSc+mtYBMiUSn
L2HCjbaahv2el0veOTV45WBnxbAtWrLPg7hbDUVC99A+oOSd1ya2BHKM021VpM81VfNlqzcs67W6
qe2ZsOC+O4O13qoJvS816PNNlNP/i2mRpznjYf5rrJD0GKf+ps4TFi+VghMB6wX1/tEOPCmOP9CZ
OJGVfJmV5tJO4HQhxT4MYQStwlk6Fiyv1qSbmKqoy/OIbV9Ih9C3h54ACQGXIXVI+CRpJCOlomSy
xR6t5wxhces80XXe4RFo111D806y+tFMXA0O9H4HjL9dGd8nyfU3q+Q6l6T/iCenlMadhUa3klkA
1BjcQ6Vou9QtjmVCbDqxARHxAaXMEdBkosAsswUKmTIwybwBQfBALxMIekhCXczCMHMakfbCqwAb
gC/6cQugrljXIIQhhtmw+IudoccJqnCauui8CrjTJnx7YasbS0tpa9IfhRdAMxJWdQKzGszSvoVh
XcxonxE/XCCgP6hQrnWJu07hXrvwr5Mm3HlRiAkEW6XtNrcDpOyyU+6ox+/UvLjoMMGTfboT5LIo
ELZzSNu2qLip83AwYXAbXXHsJJSbpt5VmvWbMYgPZmcjlB62pVfsNFn5gOpNn/IiNOnp1pOxL0Fu
DPC/VQkC7+Yaimh7P0hEeGPOgFIJ4pTw8AmKeA1N3IrLPaj0rSmmjisEOJ5AHjchkIelQ7e2R8kB
mhxtyE1TNF+BXO4JfT12MMyjcLrO1RQKDS+9SKM1VYWvIdRzKyy2mR27EOvzjS3B6LHTHg2JSocg
zW493KEpusokTD1UKz+Crk74zr0qceuumqZLDwL7EFmHDurfAqwMns05u2eR3Tod9E3o7SQmgltG
gWGk9uMM331Q2LPDe0/hvuco9BrJgW9CXL3s1+cmuI9VapgL55Ubr0uEfPpKk3clWH6SiHl8JwCQ
7HTvQZ83PbEbJY5egUsfRdHJhFMfSGA93bvjAJh+FXuw7CXUXqnTSwXKfVV4l7XE3rvDuM4kCD+G
iB9r3WGECGXAwtckMV8+QgOGfglLv2hCVPMDhkDl6whr39C0S1UgZ7dlyDw0fl1i+WMJ6Dch9VcS
2V9r1jqXEP/KzR5LqP6TB9C6hfMv4P2LvByWja19oSV/UZEIEJEMYDXKVR/bmq+bt07YwbmYvyWp
czOz5T7kFuECKikDZZYfFamsDap0ZZJDoJX2xiGXwJQBBUkLA2mQoQUCSLWuhy9CxhlQKFdx/U4H
TUPor2kloQekHziVRd6ODETQZTSCHarbhqyEZohvKuDdExkKAVkKuQxVGElXyId4wzXfkkv1ta2i
fjeaZyHolRLLoCc28L9s3FhmcRoIbohlgoNr91sFJEc7u7u6scnI1WD5e9wa7aTIDIiIjnzf6TcE
9bkrlWPm0q3l0VIbrkrDPjavYRIcdAiW6GTGhPUaN0Hraa/niGcynNrrqLJBJ6IOit2etxPqODKw
hV1zSRzDtiBgN06Ye2cwWi4Klj5fzUoMPaevoHH1/bjou+xbjxXEtPNkzQqDSMglwavU5UEp5Djf
boMIh8WYIkkteq+/wP5KXLAy/cjrBrEXJiUxAUIxklpbcELDTZumX/si1JfqZNd08t18rUWNoyyy
xMbSnIUH6izlKa+09j7RnDZaWHOtUM0YrKtmIGYrdWdOkENq4tmj/KJRspjT5awpB/RlFyB2zror
1uaYrBwdK3gVXIdVve8qHW2ckWOCJeYo16r7gFQU2WBe1VoDxUKMm84MQDq27bc+gR4p3AfCVI79
gNipjJcwp9YtaS3wfW5ROkxL14me+LJ+UY16izrvpFrjS5AYe/wuHCwjeuExHN9GIRVytvZOnB0h
5xkwbzOMeDTZSxQCHUs0u24EGnVwSkCXp6K4bhsRYw2Zd2VoH6wx3uIGX4Si3GUeuI9CFcvYQV5t
J8aVN2Q3Ler0vpigB+X5bQ6yBdi42IOR3qmqciR002crREpItWsDj7zVaBc61R4z3VfbNPZprl3U
Biut4YInK7+Dul4lIrwaA3YKE4KNOYhWNXxrq2pfssg7KHnuN0y6Efxc56XfcYPCM/PyXaHG17VO
5qoe+x6R0Asjwxk0qjeNUOie55ALYO1h4wpX8IHWQU/UjFRSd/AO2kTbZp1+Tw3eTxNtXFskvRnU
fNhaVAs8zxVfd3GfGh0lHYucC2pWnuBI04UpFKTkC3DOjeHOZ7UH3Cda7XYaKCgl5dcCrAN6JNhH
Sh8/B3XR+2MydBRIjEts15dBaBDP1tor6r0rM3A2iRfvvFj11mEItFDML+VkXbalxhUPiMxsnckS
FoOFUxJmfUT23CqYbPdUaMVFbkIITzkFRa16lZrKIW0RWiuhsW4alHqBFWmLuqFrH032gzUgh/P4
0iBuGA/j6KJJwoQ9ksdbKvaDrifBuoyrexWdyUK1u7Vo+hQlAlftBtrWk5+eCuVUX3jRNqyxhVNO
O5aUZkSozCdFr/elFlZLHVXTsqoz2M8jSNWpypcm/28iHlTrq5swHssN3NMdFHBscG0HaE6u2pZ5
P2q8aAmFmWU9IjCqJvNSE/GlGIRvJiZBGdHcHIizkyps46uOuexiqIMrr0kfECKaW/m6Q9mj1pKz
mtP8MB7cqL0hmO+KZID44Bk5BIRyF5bqrY5vbC4sFSVUB5q8WKqZOFShuukckyAwK/tB0ZJ4I0MH
T+3eira4iHHjCQD/fUoQGC7h+0mrrr2RaLi8dC4TLSRUL1mnjjmBUEi+VKn3YI7GNcKAYm8ZSY77
zEZb3poPc+btPLBtPtJ/qOo9v1iptHVBVsuyzM1+m6QpqlVEsLhQzUw1bkYt0TlG1DX5C3ASTR24
vmErK12Lgznx35z4zr8Xmd8yNznYvTlAgaZBQ+fZUHhY49Eeqx8OUHqsqqOu5/EpKelJ5MdmHhee
efP5IO/r238MAtwR4TtKJkee4t5030UAWlNpmvikTgTVH1UlwtVx2w6/V7D+q7qek+jfr8WhSGOi
J5CO7vfDBKrqcQpQ2bjrP4biTjF+oY35ye+nzoOoHm09t+vjvWrIiy4KO0tP+cBE27rB0+e36We/
n04Rd4gbJSXf7//+0JGRC1aVnVzOHdbZ+o9u/7/enw/Skd+f9Zv78+FZQ0zUCOTg/mD6UzJfaOva
WcKzGF/SZPn5pfxkKIixUKtc06JF7H14FKlLAgA53eKkJluESuAkSnzqps8yjHH387Hkn/1X9+R1
dr17LHKKv5ldqhZnvWOn6akk97dhR+fzavFNnfr15wP97KLePv8PF5U7iYe+5/eByLkATTtGa9YR
uRSXv5hrP3kv0ecjkJKUOxgJstv75qIMK9cLFt781BjrIH3qx5UVfP/8cn423d4M8XG6zY3FXokS
/Sl3n5LgwVT+H9NZGuEogtLJp/n2/hKSKrVaU9HzU8IXkEiGdPp/fLywH6m2bMPpBjCx9yPkSs7+
3taK0+w8Dc5lh05PbX/x7frZQ2cSU8Y1JcpC2jnePgjM9wRLu3N2QvqJCF1mqFhXfU22xBIz3OdP
5CdjuSqXoWsOwbDUn96PFRH0ZniJlZ8ieaZeQfWLppVTkZKx0a9fh/q3Wyybq/+95Hn5VDKL/1bs
52f+LHfqv0kMMQsIMiQTxdObcqcOoZuWFLAu9T8O1D/Kne5vNAewoFIlpQz52mH+y76jWSQNgLuT
LWiVZOl/UPE0VPmR+etrJ22mUg5jypa0B23Y+PC1q6smMy3YfaeybJDBssVY1B49p9Ka7rSk2gSy
Ozdo1TIou29qFzzG9ojPdDT3kJFSsmeUO6+vlqo1Ha0ZcaqFVJ8U9pbYmPhkw2+YAvespqHmczzX
VxUycDF6x8GwDkVWbNzQ23aJzoEiNxcuaQh+HRJtTcPtxraKbo0N9EWxcwD/Hiq73gyPjg0lEQxQ
sHArazXpEj6goC034p1qQQ4qdfeLUxpnNv4ni9b3oqvzHgFzn2ItnzbBiNt7sryrNAlvQraHuYUc
frJw1IRpodL9M1+GIkyO89yVT3nLOJPVb2alDn0Dtgrd0y2HFnVNjAIln3SIKIbEKtSqsLzo1FCs
9HIAaaYDDRJR5ceptfaq9FsIXrRF0EeFq9l0VY1CtwAWS8bcuHZUeNGD2NYyRyZsPVBS0bI2U20H
BXtvqGl8oUFRCaj1wmNVSz8QVBQF/C9vsG8qLbYxI9atT+WYq/Bq8+Sm9i4fOnVRzB7Uy8ZKd5Tn
Lm2cmEaet37TBo9N6N4mCmryWDG25hS8sEvJyVgesWPY2bKhpIvUC2yGYprbIgoaepGZekstFI38
aO04w41LMyyv6W1v8fg4fmRh2QjnpvKLuAnQvgBfA7abLMrEW8ccB1ZzFE9kN5PnYIXie61xQOsr
IjVbZdbBpmkujR+BSRPXPjydaKnQ6F/3g0xBT2UgugAKsLM7QtJp4wz+oLhiV5KgPjpEqfew8Bfs
TZNNW1hpta2bsAhuXEArF5odPYdKQa5yILyLuYyIYUzrXV2Ft5RryThq9a2pwB7j+79qos5a9S4b
/j4v9rlbH5sm+1GMeb0w5wERRH9fNpSHiJT60ukVeB2S6P0+KO/7xlVXBIMfunw8ZJlqwj1LQHG4
sHAKcq4H60ikEq+E8qUdNNU3YZQnOicXOzRPDj36zsXYE6NdwG1VLOjSbxJHP6Q27jfVax/nMjj1
qrjzRqrgmRXsQr0iZwoEg59oVbyqk6JZx1EOwlcco1DxxzSMVsTfHvPU27Ys0P7gKM9xEN+B76j8
UAmhgOnqsxGXX3rhLpWQ9IcaP+JTX1srRVMeepOyxtC6R2MkjgcAlriyhfmIKHDfaM6zMzd7jt6X
s0a2UTybi6awTmNR6Me8zgiQp75VOvbeGGsfxrBKYlx03YdqtxDxRMr0rVBW5uTuy5jo7h44ZxDF
tZ8DQ417B5y6SK+wAyrET9UPpdJeJ8DjyYyazxFpsb5tEC45gPCJk5Wi2NtZegOxPGMSqtG1E760
SCPvSPo2JiFxosnodyZPXUf13zsEj4tsfvTsvl234OBsmp0WHfNUSSS1rTp0w7zzyvgbhjB4yZqG
+3jwEMMkN21qffNq3B3dSHhJXjlfQgVyjZYFvMRFhDgiatGO8C0kTz4dN00OFed3JfW/K67OhvyT
Ffelf3r+2ZrLT/255qLPog2OUA5eGCpm9kVvWowALQFh8i1wTaKA/mywG95vFuQwWt/0vSXZgZX6
jzUX8phqvcqpiAzS/lmT0TDeHzBel1yOk5bHMYZOJ3/F+20ZoOnSsIJ4OsX52ZgcCTyk2j223t04
Q8lVJ8DZnp4f3Dm9difz21Smiu8Qk4e5ngwZuDPqwmm9i0bIBFNOC6NifyNV55h23pd5ru6MAXhi
F64rxYaGh148LbMSlKGt+4RabVQ9O2BjwUAT9N5CzFSX1AofFccvmnDii41mam1wMgWYU9F+CwCy
69a9SJnm0/yNeB8aa8LbDlV3J+L2XHvmZUydZ4Ou8yYTI1kLY3gZ9O1FMfTlYlKaveZSphyhCGRj
wTXPy8Q1FpXb7To3WlNRCHDZ5es8Ur52JSU51nRU0Jcc+9azSaJC7jgBOb0NZgtonQTXrSsXyy6h
xwtAqs9EBZ4aodkkAFXTzaxkyHcCmANl48/VyPqXGDELt4l6IVcS4g2sh2wGS28PgYOQR00JvY29
ZTVozVIZA5krlCzdQfYWJVd/YmcyePPC0LobG2sdNUHri8QxCT8kD4/CWMeiveisAgvOaNOZvNOG
gdIKVt6K2AHoh2RBJW1f0/0ME5YbcJvmMijo+lXwRKmvr0QzbdR03M5Db686fIeLJAw3JEX3vjMH
FfU47c500EfgWn0pE+uYqo23wIfwOJvs1nBVUOALurs2zx9jbHuBhYE3LdA5Nbup6wgjgUpmJ/kW
7IeyikRpLUA2Hz0Vco6gmYVU7etk2hdZSXcxs6anSrOqOzPDbpeZrPD9YiiHHdqMzZgkAcmSAUmX
cbBFxE9+QWXsJwKkFp6CW21SYJbOmftF6bFx2pWyHjwd83cPFBTdlxsMu9mzCJQuShthWb70egVY
ZVVu4jhyFqqDQlAP1kaH9UlB2lzX3ZeZSnxq6T8Kg3vGB/5edWl9B+IOF91DmNXnMSLRbWxdkh/n
+6bOM359tKWB5vhg3Vb52F5kncNsTub7Hp8oVfWndopX8Pz2JCEutbh8sOOhXQYGrTGhUuxO6/SW
5eIu4mC7KDuz4U8Te4zcq3Iml7R1HioUeIu6s481ukXygDeqAZkKn+5GnfAXd92j5YbXQFXWjpaf
8C6dxlL1eMdmnUhORHaVnR9m0V/qRrgW+bNAbtdR0Vs1Q7Ap4kHy30yyHa3pHIOfcFUyDzwiMBi7
uZ9B65P4rT9lAaAkSxWtD4ANDHuoL3B23tozm4axSEmerp3bPA/3+PAeZjc6pt54ZejKhq0ZAKzK
ew4ydZt5LtPIqYDBZ0zAQFo3x1WQ6C9WYpa8UNot0/jeadHjaEFx2cb4/zzj2ZunepUow7kIaPlk
jWb6pCmSVBLk1iK1I9rfLf0US4zpeRLetRB8VyhFk2jQA0nPJm1Y57b3bQzaJ5FW50CroZU7VrBs
BpUw0qny2NZY+9JtzPNsuBvQKBHqxr5Kbspc+x5M8KpCMd/NRXEw5vCbRpegS7tpmwWesmqFfhmh
HV0AJ21wu9LCASH2UpQE1XdOJJa1KKUjumJhh4y3sD0HPZ2V1n5g1odZc/atrl3EnbaLova6ptOE
f9TY2bN5OXbKvsi4ylhUy7KNVLo/iknCRrhMoqyjA2v+XgX7d8mXGKX/vuRfx/0LbZvnl7+ftOUP
/rHqa+ZvsqSC/FrFHiNFQn8s+sQt2yzrrLQe+wJPnoH/OGhD0ECkDRSbAzCIUBigfy76xm+o7NF3
c3wH6sl24Z8ctF8dR2/P2QiXbF0C4T3bhuzz0fgW6Tm9kc4gi7ioqtI5KCm+XziZptpk6pImlDh5
nW4IGtIBOeS0Fua1Rq6tQ58DiTB29vTUFZUC3BBir2XlMG6FMi0Hvcn3TPXsZjJAynWjWR7yuC2+
t2E7XOjZIG5Mbaj3ZpGgh2lH5yXQY85zphusSTyRKQmwNR4jlWo3fSdIhPVQErWbboSuEU2f5kT0
9bb2QzHi+Vpv7LjDqIxCPJ+0FCWshyDarpajnugLwunQp0SId7OsC251fHfXXamk0Y2aWCJsNqmj
VfOO4xcrWg3yBJyc5uShzoCdSgeZlrEJ2Xc5DW4xPeEQ76/qWnP5EKL8ZsWccfNf4gNPVpkVV8md
ksyWXEOF4yDmtauabpsBldHq8feIrjP+j70zWY4bWbP0q7TVHmlwzDDr6gWAGBkD52kDIyUK8zzj
6fuDlJmieJVSXbNa3qVSSQUjAnC4n/+c7+y0nmrCGYnMo5DHWZLFVlsC0Mr10JP72tYv+lKtXyjm
MXCHsy5xzpIbaBBVTxvLFOWqCh+IMpYJo4DtFbN2PYumN7dKT1FJYcaf2jgN9yU1GvNRx7K0syor
6q9pexDrqdbzWXVDLszhmNnplEub/8hu3KKY/1CX/3lFuHnJ/4/zVucv9eef8nOWn363LAgVDgGa
GXkNAk0/rAuWjP6mIb8R15HRR/9aF/Q/CNiRyEAeM9Df3oc11D/oq6MwhqQaBkFMh//OuoBy/UGA
Y4bFG6aQlHMFfkh5+ft3yrxNXVoJWSc8SYmlePpyvVrzxCNmuYb7r5dzW7UEWY1J4jLnUccl7w9V
E99h9WM3+/WmyJf7g96pgK4qwIQ9UPPlFuq+3U/BWM3cXWMKbp8WtW93HsU03IbJ11uSm7/m/my/
3qxWC8uz1jlIO7mEWdOZgzm+zYq0v9N4lCpuSmfcTSgIixJEiMN1SaXcXLRps8X0DvBC78z7XPQS
Pid2vfclewuOxHo5T66Wz/AupabKGUKW1qWa9OWTmlXxk6SX+hbpn4p10af+2ZRFYDmpFUdHFCUA
F5k/Z4FrRYbv2oVCq7acuZkad8z/zOxkGnl/ndFHD2oxUTSMUHm/7SRfd7u0sp4VkgUzBwu7mJ2e
LdvomFakm8gmqXktCeqyQPhn0RZS5fwpUyR6ggNtanJ3khEFlDUFWzHd0ZraYWOzerXd6DVfSONF
NDY/YQkSYpVwnlppMZCafMXSx2rFytPPyxFoUOlmhX9v8b9NZR1sTLmdr5q6j59VO2+ubLMxARAb
wnbSRgtvs6E82WpTsq2S+DQvcyno5VXQLNv1wC+6ahcqovPPVqTET0naKLejzaYnoKsGuW3I5Sjd
yl/r/CRrqfariAKM+8wEq/NmDFbwZuPQ3WDz8rFxhVQHRkuLYLP0CWYSU7zEiprHUBVlfa4kyXbZ
TH6bTfxnL7PMpf555brtCmq48p9sZZaf+3vNsv/A7UzY12DQtVj6v69Z2KcN2JJYoRUqPRjmfV+z
LPY/UM5lcAuEChaZ4u+9zL9mz/6NocG3QO73zcwSC9bQUFRDMNJgY/RxiCV6HYpXkWXnWQ/3OOkc
rafvdqTKfc7jYt0DyHRiPz1qJe4hqAOA+cQmwugbdtIO0qRnD8pVjomhU8V+aMqXpNOeIGK4Sd4e
x1kcAlvbziEn5UQqJjc0g6dmSq96H9OTkWXIm4bhaotNlpb20p3FkNIOgu8hTaB1W1mbPxRqiM+5
sOC9ZpdWmLDVKmy4IYiJzDdeAZKvqQ6/DMfiXNY6ErUdPw4CQFiRG2fO7Z2ndBTDJQLMVmcUnxnV
x44+hlCCQ9MgTZcI0JvWoW3NneoTZZrGt0mbj6DJXlMfE+oEbxeK+aYwugtDZ7ZX9MZZL8x92qYB
piv9jnYuj2XzeaBoGQRyj98Q99FgW5eaXV+kWQEgODnFA40JkvDdTh8izLOp5IhaerCXTFNBZ4Ss
xwc6MDhyl3RbcbjZAV5BHU5msQ4NsNRSbD+PZnbJ9hNTq1WcyupKLtR1lkSryRRnxu3rTh2vJw75
HO6xnYPUVAVe0lR67DUf75W8Nrquc+wed6KaZq/R1N2VEmXqGUgiR4zxaWKPyHwAOCglVF7DIe++
0nbG1IBxA5tbOGpl9qdAttb+AIQz0w2wOF0PNQpYCnZW6D1N6rVVft/xa/gVIOYkkkZHG4qNHsl8
NhY0KHm6ACYNzSiW4BHJFpWukwVum5bQyCouhsH/jHkTQd4wbrXCuJYUPPlSaxzsrPARaMzQDUvo
9FEdXkvI53rcagecgUzeq/jW8vNPloza5GdXWZh8Bkt5H9ho1cQOBjfgTW1LXwB/RAFzqOQIXFNR
1qqGChWZvpsi/+CC6ryZqgh9TjaIN9tEUdNV3sHTUpruzdL10tMMhHTZLB9pdF7ZokwPoc6nXaU4
175GsvJRNI7a1ExeGOs6M3E7hydDeeSofVfNyTWjOMvV5JipcSQJHE0WQKcu75Asigu5GNODyBJs
iM1jZJgHmhOuGQxFrhnZ2CXEPG+yPIbP42Ntsye4c/SMPJd5dWP1fPH6QCxan0/M+j77vSQ8tdev
7dK67gZ/O6gMQYTv78xEsijKQemxDGs9UrbjMs3BrRokDdAgUvZxVfeuNE8vgTo3Lr7YALscP91K
9b7tJU9OjJWYTEiraRadkUoBjijZagIQE0M89zWnD+YXKZle2t64Dcb+NkkFgrt1mShK4g7BrLmD
ApBUjaT7yZJyp02pYIc+Hn7FkEcV9KIFTd7pWJtzaOV8r9Meqt0K57lGAkhRPUXS3hb+e4r9EGsd
EAVwZytY7y/FHG2nstVddNCJr4t9DekhTmN1AVitGm6IOxYM6igI9ZUAbIFq8Pv0tGsOVDE4/Pcv
SjpODA9T30m0CGd3Kl1XnfzWZFwSmpFF+8I078q6OjUppnFFIOyV8tmUhjWAH4NRCdDTHKvb2gCh
SMlAffCFvBlzcHpsZqyLCsOCk+RcTV2bP2kZOlMhsQYHkWW7fV9rzMyCra8Z45Yq3pfKiIqNzdKo
JdG6UjsIuKF2nNvw3KQ0CHDaYg4aqTdDnAHk1YrLqpGpXtBu8YQiB4sbHHqKW8w4cilAfQGNxrEn
3Cu8OW+I2CbqcneHiVq4nKYqBM8+ZhfJRQ1D9Ymi+6e6ra7DRgu2ATwBuIsdWV40I63tbkqLTEGd
8P2qElVDKiHTwQSshbT3upQkTqzyRWifWeg2QUVOQNGa28kf7hOlfagrS8WN2j1oNhU9gvCzJ8sK
QN8m7r3IgpzCSTujsadiHiRUPMzxTQ7hbS67wvMT8TQk7JptmoH0lNyYZSeKo6JN2rVy3xtXQ7Of
/cchutBC9SqPK+j/4H6k7C5SM76avN0YeXFSyqKBlyIagiLGm2ChX4nRvsQLzq0NZRb03pTSWjRH
q9SMOOBrRIvs4QDs/rq3la3J5hySw7SaJ3GT68ZFWEAfjILuwWyn2JGrdl+1Jw6lZF2otwhMcnMT
riFYzhFhpBpLZR0hPs6bNK1p4WNcsGZofbQnU1r3qLNr1PLYmXHUoYVZfFt+thrKYK/DXHYbWp6p
xyoCG/cqKsWWSts3i4HZcchbqjiBTunmQ1xkw6ZuIzNy2mqeTiIE5x42fM+UIxmMZGlEiqCUsX7t
/Xa2z+SeirM8S1QeNa22o6r5RBu8Zb102jRt5nEELVxCR+fhQVNGFawzXRyVUt+xGu0NSl2p9UMA
ZjrsSbWm3pN9YYXoK2CXjbQNK+2kaU2wpW3xTZ3kN38KXnnkYA0NR1B1kpdZpqcwq1fJPwHPF4WH
DPmJjtWc+TPdCDKiRetDIs0D4zEcSX5MAvl1qMJVJZoC7/28NnoaU5kaMd700vK1lfdC85f+i60k
DcoJFPxZLUeatYDLu0kq3/Hx8xQX6Vs5xvueVPO6rMaruoEGZlHGpKsmk46R+DEsNYRVDNuOqIbH
vGVGOqY3ujZ5RqrfZXZ1OVUxFNQ52Q0akMgovey5Txixjmt857dmoX1icb0kjJG7acglEBnVtZBq
yqdLsRm0mke2aE5f61TNWWxzo6XIOs7OJh3oVBqH5BPsZFrVY8v1MAQp4hMdKbXRrLKRlvLSQPSO
CuVlbmhpS4dhY0YxizP5ODa5j3VdHkYzNd0ik1YiGl19sJ54tDCwV67rqr/gzt2amE6cagjvypku
MFrYj4PgUZuIQ+RD8U+LB70Uj4Of8IzIzYdGGY/FSE5riGyJYDNCu60H99kkM16lrm2O9rVWH8cg
WJeDArogsq5CveQZLRl3XdkfZ9gCch69phoTkASJqlGnA93X3Xaqp5ZBgHHMaDXAOchCKIUbWY8M
r9I1Ih0KNe/zRVerKgWdMwPhmfKBIcsuVV+evaC1JEfCze31IZn6vsOQMuDhIUiXT27Z0IthzfW2
0ZSCcrj41RzYw1hjd2mWjQo9tC82gd00h6yqJ7ei0TaNTWupEdskqS9t7GyI2XP6LTeXTm5AuzVa
aW9EZrYxwmJns9viZF2qMcfx3jb+pIr85zi2GJr++Ti2CEle9BYUP5GW+cG/z2PGH7IlZOtPx9Uy
Gn6nLTPJXVyVLJTfZs1/aUjqH8x6YWmZxFO/UT3+Po8pf3DqUYnAgryB6vRvakiLvPWDiQtxWVXw
daqMtW0BQ+dHDYmbMmxCci1Hbk1MDjrEioCotKEn+yxCS2Du288mJwyyawqZp3yab7rC94IwDw5q
F5svSbgU7+AIkatnzhhCXDIMZdmPe0Y1TtPn9jkr2nkfqF0a7UhHKbeQoSV9Jxq5lhzbltpz5qv+
PpkMmU6dJInFTWQyv7pAPUqbTzZL7HCsVQ5bVyUw6N7I0zemOJFX5FEHPVqzungjL7Kp/VVBpZat
3WmpAh+BHptkXvny1DHtNDlxmFUoXyj0wFzUVRXbbk4kdhWOUGTrqm5XnTxFF3o7aQff5yHvxEBH
X7omZxilVT4TcA7enC/ysLsMFX3pGnwmpfIpNpgU4j7N3NLQ38o2ezPsQsCNzirtMwFOEnNkcqpg
2OWzrK/bROqeB4blTq/IUeQOSSfYPFDr3JJVexBSRPo1GXyeNwSoqG5RdqHkhwcpUbJtImrzZFbd
iBpeVhttsebUPSpLluQspFbJkaQm5Gj3NN+ETekZreXSeux7VptdWJ0N+cuvzeOk6/Mu0VisI4Xc
g2aHrNEVXX2BkjjqZMVu0XQ52bHEKy37zdJCaWP18zYVeAcQvTdsoojeNVniBD47RhibjxqoUS8Z
ZprFDX1TCJvsCk1bbVgPp0QdmTOG4ejaqT56NUZXpn+lcsb5ltxIg65eUyeQv8WyVu+zKsof4h7q
K+3dAFv7+FvZ7n9WrcUz8utVa1+8VIAzf7Ju8aN/rVuIRSwHAjWE4Zf4SiP6a92iSVaH2o7sjdK3
KEnvdSTo8Ny9aNGyoquLuvOXEcb8Q6Nl4Ns/9nXG9m/ISN/8x99lJBZHtCpbW7L+GsZUEEg/Llsw
KTPg4FN9niQmTCUQM1Fhp6L4FI9fmJ8jzTgyTgpPhl5vkFP1q4oRMnK0fK362nVSd2+FzPI0jiFh
2v4iNMW6V7sDB0RX6onf5eJg5cKDQ47BQBtx0qgHmToGR+2yE4PEtR+YhyaU1sUkXVHDfWdO+YPO
FU6PLfeKhSKDBD3lu4STQgirAiS9utOt8J7EqCtp8hX1T6eO0Dep2hPblpbiu/FAWB55WLCHCe50
8okS72iV1sOrHbVH307Wba0+qwGLYNvuc9/A5Wpf9Fp18sPwZLO7sznbBmF56og5qQXh91F5MDV9
GxJatafJkRK0IRHTzyxWbES8qpm9UO6f7Ki5DMPuGAyT2xfWRiM9RmyX+k44RPaXhhzycubqCAJ3
+9m2XnxYyJQ7PMRxv5Ma2+v15joM5o0Ux15Wzo5R1jdTM+HLG6NzQGs59ChPxMad3mTbeWquM6t9
zZXxJFn5ianeoTcW7aPbZ/W07SqMokH5xYzLE9MP4nn2Tg20azPk1G+Bq27NHHZyOhyTjlClmCgN
95MXtdDQGww3jHzOa5157qT2ECiZNwf9rgZgTALzOrbHnZD9e22h9tjqysjpV6tIMlJFr+GEkSvX
zKpjZKXQ8Qf23yn1el4RGS8mLU8bduQbq9SJ6I3lg6Kw2mbD+Mqxyw7wm/AQXDWTPfDMaaw63jI5
DXcUw9fxWZtn8DwxIVN1AwEU1yICodePBEiJwmyKqktRbcrrpGjLfQ5D3G0qIpKCc+eRuFzv9RM4
pXTECMMTkY4XdY6vFaEwbQUST0h4G+e4kLA7A9aOBJ0uCttIkXfoXaVZrVrald3OHLQtJAJqc43p
JtKmysO7QOWwaiTruQMCXJSV4gxBc4ctGPiQ0U2UvdJvYk3EDOIvg05Pli0ptxKNwQWnZ2xm51nR
11qdnAA6DSz/vaul/huWzqMVtw8So+D4WHcttQeT1rlVyWNYNYJVlBVXSpHdD9Q/eGXftFiViD/j
hiFSXGqvAWwHR66XOuEGURV5lCPT0u8yxp9tiYBgr3UZagVmykSx3oLSfs4n5Q783Ru/f0hfg9wA
YlJTTy2hVoSZSst7HnM4SYgO96XYlmntUfN17sNsj0PzXhunL50p72Pb2mtFGK1HiXNOEN6jL63s
LK1OPPOqddbz0FQ6yTgWqU/+KoQGieF2pYQ9TRQawhKYvUfq5PiUq+yzVFh4cEean80wyNdxMu58
Kd3E1HC69tw/zQWWXDKU50g2XymteR21nub0MeO6NY2takBFN8OUQzLbJaVSYDKlUDBUZeMXymNL
2nmpS0BQwo8ddA0c8OhxCvCt2ZL2KfKrjAqI2LG79lXqaq9RmE6PvgxsxH9QadhzJ1zZs9LhKSZv
i7ijuFrL+W+uy9twUDNPjiH7gqNgX+H7j2qKrOmXvsn1pa4x8eM4RJNfzVEyYVXmtqyh9/DrqV8y
GdNX71MN0RE0j5KIjp+s2hFsN/jd+j3GnPOYgdSaYH5bmbobQhnLTX+fy/K+HSxADZJNXYKEitHR
Q5eE8s0QtBd6Ht6i/1GqEQNaoDTAsbRB9YxROkTYoPEXJHd1qGGvyUrTS80y7W7CMMnX9dAEoSsV
i0KItc6VILvutDZah2mvOblsSRs4HADRck7WeZNRPtgpmCUn9p0QgUwxplcRPd7u10fwf/YiKhPz
X+9F1vVL/ilqPv3sFMUP/70bUf7APWtaGqEThlsfGtfIwBBBMJZ+emG9m2qZf9gKOxRsF3//1Pfd
iAH0atlFsEn5Wnn/b2xHPp6h6Fvj9MQ4n0WefrfFJPR+Dq+nsmzFfj2f5/ahspgW/DXy/Me85PIv
fN/u/Dk1s2CpUNXDoH8hH71/Bcz7RjmWqjg3o0QtCGojBS/6577fvvsCLr/9i+8zuD++k399HQ6y
71+HTUFJvkQXZ33hadWHwfz86xdYJom/fCcfHMyBqHLau3gnymiygN+Z9hfyBCwHeJj6FQ16btM/
ld22iy5bBi8iesMlENBAUVy1Oakb3JMVQ7GAOAYar3bVxTdDFkK9z37zUSwn81/+plxY7z8LZgM+
DPrls1BX+AdAND503PqF0M4Dzw8GirSWfjElxWHrwSzjz1XhH79z4lj/+guAbtcNDFTUDigf9ri5
FYi2l83pzOmHfiRh1+khQTZq3alkVuXaJJ9AwVjWvh7ZAHTDtUgHgxE+nZW9LM1ujYfYUUr8URT5
yvvBbrt6k2aPSqbuB19uAE5Ksbgb1SzeqIkdM5pi5pbT+1cb9a7kyQ8jA71w8vC9bsL53Bv0+NEz
v5jJOmPeEJi/zJRLsuBrH24Ibu+guSUcdFQpQKip3+lJpio0DdJEhhk5xdRRegmNAyVNhAbi6Yzv
KpoEJXrdwZQXVXk7VY9NDPsGcHk15Bei1a7gSsYUoPUEUe8yPXVKdVZXhX3baoYHIhOlgVyZHgUa
EeKK5l4ro2g2SZ9aAr5ZNtfogLQYUu7xrX3sH78hdfkGvt+Wix3/hxtf+3C7IDQ2cTs281neqFt/
Nx/aB3UD6eTcOOLQbtEUVpQ8u9NadfecadeFNz5JOzbxG3nD+WQdH399dy03z/ff519vX4b/7y9Z
LWXPmy2XbJHsaNfLB68merWmROPXr/OzK1N+txx9WPBQ9+c0ZPR4ZoqU3o6fq6XWx9UUD4PNr19J
/PgRf3tL72+Cjx4n3n+t2pFyDlU3voS6043k/JyhwSfjBmf8fb9+wZ+tgAJFbIk7Y/v6iH/PjGw0
zVRVzgORonx+7aXLX7/AzxbA9y/w4bNDYMZeFCjKuem9Tk+cgRHK+Ltai9+9yIdV1h5tg5psXsTu
L+Zq3xq3ivH86/fxs0fS+/fxYXmceFbXdaYrZ3jTDB8InxjXdnxaDhNfX+h/e3d0jD7VRVN8af/v
8i9/KsqpZmfe/r8f/9h8+3PwViz45h/+QNsQRKmr7q2ert+aLuVHv60Ey//5P/3LPwO9tzQI/fd/
vXym88CLmraOPrU8Xj6GfRfV4pfbIwDTzkv9+lK//PyH/9oegQVFLNbQcqF8fnMj/i3WYPoxFRmw
hq6A59S4f/4SmfU/hMC2vJTFkglGTv4u1mBgxnJM0RyyMM5C9ht/fRiX39YbPsd/XCZ/vKVYJW3E
b3o74CxyUxGR/3FVUkMhDS29aaeQKrDmNI5P7z6WP1/vh03Lh0VieQUsTSqCE0Untq6bHxaJDm4c
0KKxO8FuWnEm/8ID8pT68bVet1/IEHg1uE8v01Tsu1K+I2C7rat41ZmQRpj+0JsG7C83663UyLdx
F661pvwswZBzFPvA2WUk9ZoMzhymZ9ELPSES3FbqOaB0jvQVTcwBH6Krh1XGUs/wtXEGWd+NoJ05
L8tHlR5eg3hwBONCi9LPlbIM9nEzrjSKCdnPBdJjnJI9shPtU8cwcd0KM+A4FlYXwiaYGAjrbJam
tEqt+hG7pbrCLMo5VtOGy3gchKMqRbsWNSdPUJEXtMg+I2QddLzLtp1N0AL7apvmxZYA7+zVfnXr
6+lGnaOjFQYqInn+LMkDuR5t/JIl0rkdbZoSQTyt0dY9IEo3Jo9kCWqeWtnPiSxt87Lbt6WMlNxN
V2Ni7eN5ZD8Gyk60yb4yzRdf9ANpk3gb2JLXJdFL21DJyKzLgdOxTYP4LFF/BHqYvIfyRL3d3u7M
LcnHg5ZDC6qV/pgCqDYo663LaguR23QKzb6PaYmnkz29rH0ecc0cXrSR/IRowbZIivfagnNJASIr
M32F6qzdRCo1IWEzhqvOinZTiqqmx7pOFsjYyFXUOIWRPHeavRpkkqYysdYob6GKBfmeDjEgT/2D
RrEhqLuT0RhPTTufk0i7DjM2oJ2fMRHoj+FQ74pp2AVj/ADSjJm3PWzTfjiESnoDFgJGY5w+KHlz
L3zzwfC7dVEbewt3hDTWz4bWwgVswVapzVPBmyfyOZJWmT8TnMNoFbqEsjw1GQ/lwCatqwJc7xNB
pdZqFCiQEPoM85m7YB1H8VPgL1Drpo3XUtdx2VRfpiLeWgynNbV87mr5SZLAVVFkzxw3RoCyXVlP
X+fEv0oyMTs0AB+SeGm4CkosFpJ5G87kyssuJLNGHEbOsldbYOCVyhBJZzb1ozU2+T6KDGbtJVxN
3biJbe2xK5tgDaBpGT4ud0883MgC5lBH9zs2mIp420iLn9CvRwuLTzd16QUB3yUIpzYrOy1xtkAw
XQ2NcQpaBXgV7gnZANRkVz51TTaKUkgNO63upUFGPqt7mpuzSUL8i6M+Oo11ZByqEjQWclHnqEkZ
uLW0AOtg0XtaaNaIhJK8ameG1XnrJ9eFZSgMUjr5gjkOLYQTQ36wai3iTKmVzQ47luYIFcyAUKpm
SwYkXgVRdwBaDLsxKfONmHVAAbO9mkeF1ngtLVdFWxUkBKL0bBLFoKdPaq7mnnfs++UnfZ7ua199
MZNqy/rGxEZkri3w902pdPDR9hYFkDpNQ2eOQsn2TaETYieC56cPHd2CQ4/jBdD/WaODjZXFrWPN
U03ReUWZX5iVyYIo+KXN4SrvYCGXKKisUfug8repWq3w2rjl3B4o8d6EengEFvmQID6q3XJi8NNN
PibPWgwTrolacGC+wZ6c8kBfi8zXckAtIjdK36hWDdltIjJarUELqsQiXXWuLCIMc4I4FNXH2UpO
qlJuE7u5EhWI0RTI2Ij7jEo23WPJ2ynC7wBfcfhIp/7OkMrbTMncjmhb6jV0H66moc1s1pxuP8hG
8ZxrrcT6K32BegB/oaspuGb+7dXYD84UaTIunxKz3/Zx2G8oq5s2LP3hg1/xCkqX3uagHzwOXva+
m+p4D9fhlFNu5KbEfnZ4wUNHK8xbvSoQDWGBgcNXmsqbNN+nzaS6Nfzp1sr1+XH2c4jTHQl6vQuE
Y4KWbPGVbUoZ5msxVYXLMJLcSq93j3gxcL1ZUzS7aTSEPJXCdquhyDrJUK5VK6u9KSuejL4Ew4AC
aU5k6rDCTOY+qaY7OYxXfUTpKGWqd12q3FpdZV+M09jvCimuvcJPsRR0ABhKWX5SESw8ddSqx84o
IRoW9AYkIRc6PiJQGL76qIx2e+Mr+ri2OtzaMQPQ1a8fzx/2ohpZCDJSbDUAkMNINj7wg2hBRbkJ
4vzULkUP47zDtHk11M361y/zUVn483UWPg6AE277j5uA1pyzhLH0KUvTI4HlO1YlmI/ZM8sl6Z4J
f1I9pdueYt/USraNEh7CXnEsJb9gpTpwRGTam1wRhb02Knmlhp3b2RyHA/+NxnpEQW4BbbZOhhyw
Xft7X/eTDcxPPyGCYiaIIh3yGVvF98c2PeuKqLWT/DRkKMnT7ZKFCovfHFbtD4c2mFsmOTVILQTc
yKaaH76HpkvKKUu6/lRSce6Qad7hzNPgElc8N2gLXEorH6UyLa7oo/ImW94N1rDQhoGG+Kp8NccZ
jZNzd4V8Y9/kPJW6ooepilFGKzA06gRkATcGp0iK9qOP4jso3DdGRm/sZOvzNaTel6RNwWfARZ0H
HNiNMFYh3fGrpFU/SWQldCbXLquS4Uy4FdyigsEcQnvmUbRYs4xdNStvkWa+jObizqTCHhfREU4u
A2dzkrayGOKjHEL4mscuZN/EZCG0Y5OQbnDvdyK7rQad54cIKKaFgtoYZbs1xLACL+hWApzGFJvJ
qpSVM/yc3BtnlAWhpgdfxni2xga8Y118siRMgeYgtlOsPaU0ha7yMp8xPdWOKsnerLH1GLnNPDiu
nPmlbFu3FP5mYtwjxrwkkRJ+mlJ9IxuI82YaHpUCcURtqjXcTdRyZbzODCM92Z1whDGPF5XZ/EYq
YOrzo1jw9XrghiSO9HWYuqAO3l91tDIVOX/XnkyhvKh2w7Sh7NOTITF7Yz19DhpOp4S0XWGMnhWl
WIbV9MinMoPaSIixBc0Re50zzMpRL6xHVcvDdZPp1brrZG3H0bAjVU8uuQe1vJILLdviMyi9QUQL
5ZU0PSDSa5jMuRvpEBozbGAwUmknBcrvELUDcFitjWzm3Ge82MsxsxeFCTxVuTOUib3zFJDjF55R
gI2pKeBl8mA8xpaxG3zlM+2ECXZilgE73Rr5eOvb8cHsa7cqVABBE1dI6XSTcqP3/TGJw5sq0q8z
094YU/toJYnmsG+UV0YFETWk46XpmGtZOnMlNcaCTBTSE4b0InFNuKWtPglVehQhPKOqRZ0Kqajt
Z1zo0lhQMl1vZDne2Xm/UgrGcWHvaQnzB8saLsw65iPpUYzSksBRe6suAR5r3DWEsNRB/lQRMsxN
Y6VP/J5d7iXwSACFHMzcWA8FiGecdW6Um3SrRldJKSU7IGGroqGHOQVwUrKhKYyAcwk3Yy/ZV0PV
fgGM4uO8ZOTTxeu27RLXgBuk4PwRArg5rrNIRaKzRJCtKHDBrcYONelwoMB6J9jwUBTUFEvRJexb
JwjhSybSRcZTPByCrSWoIi+bNV7L3N5hVhWCp2bqD5BlgdLWWel1UhXju5U28WBdzJR7mjYu6UEE
1LlCq2EcJdYxA3RsgZe+JbZB3l4EQ3WgwZZdb5tKwGoXrTA191owXJQLoxzfLN9NiVI6gPoLy+Eo
NZwSUsONVRpNOnNhul8a+spMsAhbp2xcG9O6YBxq9g+lLDGBko/YBerV6GuHOBzA5fq+f9Epvek2
uhC08vr5Zuhnr2TfsC0mKmAmw9zWPbsQs8DLb5Li6v1a/ObR9ps79asM+S7np4T2FNtl0gFhAoTa
HCl5dsd+ifKdk/ooOLH8+nn0QUb8uDIsSen3K4MS4vLKM1aGongD1NOP2IwPefDI6PjXL7RkpBHs
aLbPd5//+78IVvJMWiiZUD9JRWof6/uGBlgO9OgRCNAUrMoIdGvkK7c6+KVdWCDfJmN/UZYRKV6w
oUcCsrpjxAW+rpj6ADyUfDNC+qLJ1tWYq5aDheNeioozzQs3Kds3Tj1u2yg3YwAdNm9xCbfRcx5r
D1KYltdBl/T07YbtJtO7Cx3GEBuL1STAQ7HF2+Staj4wYbopIS+jpOw7td1FqoItbdrppX0eEgp0
eWybkIgTJedmwuYZWu5YioesrGno8XdDKZifjxbe6+xllifdTYfgqRrtGpSsj92tUYPffKo/6i3/
+qF+UBgTQ8uj2rfGkzU+h/PrZP0GCPm7f//Dg0OWUvbIQTJBbrkBz0Uo9O43l8Wvrwrjw/WHBpvI
iRJMJ125jDTh8DHJ4fQbZfmDfvnnpUcHG1tSknLGsil7d1ONZjOQKOBd2IqrtJ/aIWNPcheN5m++
ja98zO/X+Ff5SyXxK3jUkglmZ/rjC01xlJM4KZUT25hPPNS823Tte9KqdyL3wcmdhx1w38PrNX74
+3H1Ai30lTu62aq7X3+qyqKzff9Fvl0X7x/4HzaAdh/ZpR2wjLTr3pNdeTXedJvsCorOynbTei02
fM5r4RLScMKVjSVjpZ3yT7/+LfSf/Rbvb/kP0jQBt9RSaj73/8/eeSzHkS3Z9ouiLLSYhkwNRYAA
J2EgCITWOr6+V5C3WCxcPtLKXg96ULO2ug0kmJnhx4/73ms/znvZM+zet64N+6pDeuMGHzXnpLtF
YF1if96Vd9ruA1LTYN5R9+w1qIixchmduZYrnIZdGXRXBKCTaO0+VPZwEZ0l0PbWHjvXrr0v/Ltf
/+nvtLL//WC9ewMFuUNyLyR8L23iwfzutfbrD5LbOKkburGbeKVfHKrg+uXkDXtC62YnPSC8OKSX
yOHw8fTM/hI6D7/+q76uAd9/rD+8ofq2Qfnhi5wgSGgNnb8q3lt27Ky7Igg/lCQ+oMawdTu0iVyx
88C8NDv5E4M079evv319//vl/3qO3lUbSo2wdPUyX8S18oxpOq5CdhkHsfrNobRVlV+9zruqYyam
Mo4rMTD01PY4vYjzbtI/L4rXiKhQa//X/6qf17jv/6r3l0mhoPhrTTpcQFJw87uto5v/vxd4d+dT
ZjiLRJmMl0w7yilzQMtwf/0Kv/lgjO1B/OF7IRS1WRoLD1pVXxDp+rUM+Mf8zafyu/fpXXHrpByn
lJH2l3n7VMhDtOZ/jtbdeoS/Pop3X7ChWpEhd8VymcYZm8oFTJhDhumv36zffLuMd1VJDyNhYTjH
aTBjD7ZKL8v7KwUQv7F0hJvLl5HYu1+/5E8/H+2ryBbANilUf/98CLNSwjrph4tavLWpT0ALQ77g
16/x04/nh9d499Dk2EaEJlbnCyQm5vc3RfGbqcLvXuBdSVyzYlZSIjAvIkWbYXSm5L95m76ej796
8N99j+OEpU+Y8z3mbmBjMzhgjT1zRWCl7sRedDXYxTdt+P9zYbU54X9Za7Z/9Q+PDmAHRerlmDPq
kcEwKSXOOeK17elZOq370b5ece1wdGte4Ui2eSPYt723nerXT821cuDWDhvTI15xVzpx8Ls/76cH
+Q9PhP7+m5O0k0hKTX+RrraDXLDB46j7UnLsLFDdj6V9wNh8fBM/czlr75cjsrvfVC95K0+/+lDe
fe6j0OlxYy30Eu7oEiO62jKux2Pu3loX/aQEg/sk+6FdMrH10cwGv88X/92fYLw79wQgWmo51f0F
lpY94ye30y+aL7nGcXidd7VXnIxACIS36Elx5iC7gq31+uun653+48+G4K/S9O57ko1KoXYlX83W
n31w3HaydXX7zPlANs5+j8jUXi+QPD8SYOYWfh0Y14PduoMX72Hufcqd3/w9W2P8X5/KX4/7+/Re
U7DYDZWUlMZTAz3Qc3f2V389JUfJfiGOzSdgdF/vGOqdZse49xD88BH1QebfJe7WJPynOfjf3t0H
r9UWodz9fVf/f3p1z1v/fcT7X0nQeMNY3Tv5zxf3/Oifi3usFDL2sC25noMAWuVf7jAZySP5Dliz
NLb68iZ5/HNxv1kpVH2TL6p/JkX/qWvU/8BPpsis+0UYGxu/9N2i/peL+/9erJsiykrRhI5GeCjM
+b8XQkOKJDzBWnUlm+xW5B7XrTRtauCZ7aM8RxKjtszPlWVfFiV8INTuT4VlHIox8U3CMau8uhgg
Z1JNuFqF0BPZweDlN6pTnhgYEZL2YRHVR9OqRdfssCeYQu+NS/bhW1JQz0w1i5hCVqlxM2NYRWK/
prXIHpwAPtfUiMeVyMmFDT26OB/GIA5jUCCaSTqK2MOhIGF3TdlAStHiSkQxrmFFRO4WxztswbwC
Cb0z1g44EEA3datjgrUF+Y6jeD9uyb7p4k0yc57eUpmRfY3/JQeYfMDYqTeMRrOFBA8juEwE3ogC
y/TFShDgL1uo8AAKAg9IvF9LNdznW/QwthWvKoGOg9HIj5omTCeSDC07JJvZUdv0HgdWZgt5zzWM
FXkF3nJLM2bIqvq9PnwgtZT1VNbc60Z0VTfSxMiCJLoZrqnShJswuxzcUmCUOKli42DWxa3bDOe6
ToGgL1Xus3kMcNIdtFJ+KNIRzc4mZpyQ0a0MtA0FKPWSJV9GXAdRuV4AKwAJMMBjD2n7mPeCEw7V
xmCuT0NsAj8RZXRY2QCvAfNLtcVcd1WqgERMcdbL+j7t9ZssXBjNTd3kymvkNWph+pNQvTQygUWY
F4BYTp7aCEElFrCvkyspH46KwvKd8gq2g+9MOHTXTaL3tknskSPiSvfUTaNQRk6XDkHTKGdDi1HW
WZXgNERWYpNjVFoLQZsKyMaq7rxibbRxurfOYOq3si6fLZYdXrvQVqqFyvyUWDZWo2ti52qPviwT
SYqYQq9D1DjDzfbHtDxHavhpacbFzwUziDpFd7VefFAbvI9wSgj7SN2l6XUG5tFNNEknad7cJzPW
COtLq0+1W4wd72Gn76MG3wnOpFM/dFcJM2zhpqqMfH1d5jzbGaj/rax+yMKocSBBHbvNT1GyxDmk
vfVUZeItyZVfzHrBuFja9Rr5Uam7dTcR2i74rSgfqzy+JFV1mFOM3BUO8JLVN5P9IcjDYdrrofa2
6sIAE2VS1CAZmIPaajmud7K+nqOm7QKJDaUfJRqB54rO66oBjolggty9qRJ206pct9pTJ0gIHgbr
vrQksnSZickt0Wy9hp5fsaN6vR5WGdMJ8v9FG24odgzqSQcEjg0Ilr46bMJrpetPpqZUwDX6YzUk
t4ZkOLjy79YakYDeDgoX/SS15RZatloYZWBFkuKz0Ut8hb6ZnVK0axDR4LyPTa9ivWILA98c4kmB
kUmyahfcGsxZeDTU8q1qxS+FCQxErfKHFSurJmUKKBcyNjUFpIbYhoaN++gzW9HwRKrBGVQKZUIU
r4uq4GEwGulqUvJXBQq/R8LM69CxCyn0+VaZFnQy5fgJ2YffqOLjkhhnM298Viyse2eeF1Pt1GAe
oo8l7C0MM6VfmwtOCfKg6vbaSgh8h2qA6310tCa8pKBT3UTPdhUY/4MhaPcmjiRemS29pX6QRE1m
dV917soKy4MdMHuNIJ9nHoNro7JutaXbzbmaOGXO1NgAdiTD0MCerwBeNHoEQTjH+4y4VYsU2LiB
49uTyWyTZOPBN3uLrJcETG3XK7cZ7wnnACGFEVnyfW5eF73si6TjUcLYmeALabkHghuaxjSIG0Q7
SZpbkChhx/PrTBPiqaZFh1yLLnGK0xTlxnhUBan0+ECXncbuay6ZtxZ17EZVAtfDLHfkXZk8tm20
n8k2DQUoY4CHcVWzMTE+id2aEItLgNaM6SNSZ1+Imzs5CQNUkC12OH2A1Yy0xYq6F7b6EJ3ZcGBA
xYvfNLT27CpRjd0N2nxSxS51BKUJBoAzWlZfpqrO97U0kTQ734pL5bE1X3yofMeqsXYC2jb0Mcvg
T4P8mlm4kjrDgAFkpN6aQ3D82kb820+pXDB+20/hWv6JDpKf/KGd0uDgaThB6IC+wsW+6yDlPxTJ
0Imt2cCsSCJ/bKcAOX5t5r8FpHMb/KGdYoArw0rCGc+G4R8BG9lI/q0/5zeZoM8Q9Ov0dFhUN8DA
j/dKKxTYxJkmuY+4+GC0Eg3Zyrns5nP5MWkV05O3AMmO8ShnvJGTaNHvG016GzkYbaBp04FwPgXY
KEqKXhx2URV5LKbQhrUVLKaSZR5RgV5qpJ+nEAgUyXfcQcpis5cRe2lsAZhCvVjXKBXvtS0gs5mU
ha85YZ8Zbsiorxwx+Ui+4weO4fLKkEJhY7JM9pAQaCjOUnIocgQ0KmElmWXdcBrPNh6pV9Ahgx/J
PAwlT4XO05HW8+KLc+kJ3XxLo0K0Aw9SLjSXkScrUptA2x61kWeuMNo7UNl43pbq3G2PZdQrQUaG
GkDo7mXZHt0qikbP2B5nhecaWvudai1+vD3wFtF5Xdsm+5FaIEmx4UzzxMCGUEBz5dbztXbMxBFu
1WRmi+nmLSNkFAnh14qz1R5jq0J5ssKhpjAR3XCwtkpFIp63UrrSrYYlWzWjJAXTVt+ardIJW80j
yoyomFXxB8qhstVFttJoiKiUPSUT8+Vt1X2RKaQGv27YKmuy1dhY6p7joVSdbqu/KoU43SqystVm
BaYs1Ex8EFvdhkyzMynkGEFgKxXSudlqvLhV+2Sr+6T9yAGo2g/qdiZko+WaHBKkRVkHeiGct5wf
OgeJuJ0o5Jj4ZHQeu6q/njhy+lwMyNP0q+0skrTko7WdTuV2ToXbiWVxdK0cYUuzPGLX9GkRPqnb
GVco4y3NDPAfjj9eefZmDsRxOxnL7YxspAV1KqdmyPFpbefoqLSfCSxn6N9KMmbFUv8UC4XhNQaQ
TG8pu4ajFGmVxtA6HetLNArGoY6q7mbuKpmja9lo+UqN/UTTTZofczqMmgIY3vDbet5tUMpFUyZX
CdsnS51iB5kksck1L8HiHuPprp0Y6A0ab7EJP0Uo4vVeqSswhDK2bKU27sxGP/bS8prHTeZKmXab
h3F01NfRWwtw64R8SxapimzZ1k0d8SVdawuHr/EF30Bkk84Jp2ck/K2SuhuEf7zF7TnMAGQZ7VTD
7aKpZfsO8E71QLZtyHNzsKV54SdmMnjYFS2svsO3vA6vEbANrlr0Ig7VgdCSAYtFuObHRi5FbxX1
ZhcNaC6RXEK8OkypDFQUMW1a46fU9b4/xaqA/BgX06sohtmHSlRrZKnmgmU6jxEW/3s6fUUKq8wc
f3E6xc9d//yTk4mf+uFkIkxRZ1QJqtf6Gh7y/WRSiPnilg0ynJBCUkK+n0yq9IdkshTnvMJN8Q3m
+Z+TSRUxRKIV+6bc/6c8Be3dJIuTiXA8fgsnpAa+wbQ4Hn88meTtxeu8ycnbMoBVqihwJHV6IM2Q
7KFGuKpjkSKLYDzL5Zk6TeDNEpGJBNEaBbGJQi45k1ryQc1K0lslXFiLYtV2F1G5TWVn5oOv9yFs
KGkHatEryMHC+VK4LNyfOq13CFDghohGu5vpQI30vPTDq5HG3oRDvxeQHS9STdlTX0BKBtFiwZrs
qswRkmLYpXW7ay3r2KWRR9yIv5LPK6DKIh9vJMq2ujem8TLJCPqWVk0wssnPOSZKWRQfQR9ovhGG
g1Mj3g9atGkOzB7knnp3AOcw+mZYA/IXdpaSelmc3hFOUjszt25vrGdIpCq5wGbtT/qWhMAfd1QM
GBKrOfFgllJpU9+uLCX/IidxHSwymqok4qohLOGHNq94zIfZFctJoJik5wx4mpsAYPHKsc4hnBn4
5uZqofKZHsz2Q6z1UPqm/J7LnwAlpaQ9rm5iAoXs0rQOErJiG03X2SrlDw03PUY2NwkKWW9YBYiC
QNjE1XyThHkCEljezDFzHNW0ntJUumWNR10KkVgNUP2cRVc+rEXyBCbQnXLqeWJCNVUS8u2JW08b
8Y24En2H8F915WRYvLjTEcuFys3Qxx/jlL8/IvMJ5gaEZJ2gXFioZJiViuoVAC2rNIMbkbtTRDZW
goB46SXmIwmvI2JnXEKrpKOJH8OluJ1bosUqs0YprJCbG7GTa0qiOHp0he6U8nO50lvcGTI1KKrh
qqrMj5oU8rl3jCqkuUG0Xj9JQ3Lq0+TUJoQfC3gqHE3nYFRlFG1Wt8gkSiskOPR1ECoV6DOLIHEE
f8i1cTZ0yUVMq6cmbRK/ybe0jaR1ZxUa2MQfiiiI7X4+7hpJvJZlcH7atJF6oAxFw74r6/tBGIOq
K89xVflgFcm2KJIOMuhoAXScuOHmKJhNcXxcm+S1G6GQpHMwJfXipiXY0VLfJMD8qxbjumqm3sms
8c7Mch+oXMOMeTyHQuIvooUFobyStPJaHtF3ayQkDzpwjmUM5K11HIhAHap4ZRDDQE+nv+ELCnhP
F+KQYdbGsOWXIv6pHaTwBVOkgX28OL7F2Zy5c6EgJ6+3RzXrPs+476fKBNIxD4iPm5QpjWUFUqnt
YwkXwxqq3MlkUIO2WVoYGoSZdnVWwPwZMfxQweT+XhPBARr3UIVZClhB/TJoPUJLGKqVMj426/Cy
GlOKnA3FZaRM18vAIAv6ENiCXu9Z08kjzpuhJAeaaOb+SO2hbTNr7p1zA8miLPq9VpK67isDmv57
MtBMM4jVViIIHaQFqrJSQkU6t6tnDiTzeWYpqLPdjJiZdiBtFqwZirYmF6EsluHOEgupv5usVlCO
wzwgNdDKPH5sV1Uer7K+3lURzV+dEppZqZnqJwlB3o24PkttdNuFCoF12XxQ1XLwW6EFJSLoR82Y
E5fxq4rOXX9pqqqzs14HxJuqj5mgo6EfgRBK4qoflIovc1aaGI5VlS2PVn2qQ/U5ToHL9SYmHTT3
bxA9mAzElcg4Z5JtURyRRva4mJZsPi91586JxcKxFs5q2d4I4XAszOoT85m3VcDoMoNb6BirMrrR
cqdT5kOM3kmcSCQz6ueE7HY9CfH2yFrsMYSmm+txdsjpJeysk5AuT3ksv62SyG+JtLdsLOA5JK6w
HuRlTl1Va70wam+zbYQsxiIIHnfOj3lsnEUYiK41V8/oZfaxogA1FFjHNslaAtItLrqRYQjSLG4i
gnDDYF12J0NbAakPZ6RVR0sDpsi7UO+MkplYV4l9oKgjtZ0YGhSGBvFLEHzKUPjQZ+6qRR/lFkaY
ibsBRA93KjOzJl4c+IVFSJWyIkFe5y0tChwPkkGAz8VcT55RTafa7NGOm+BIIsm4SqbyzCSiQPoV
Xlkl5vyiozfrn3Vrgt87ZncLNx86SG5nocUBoqXDfTgMnTtMAKfz6pAKGX/jsD4i58d/NoDBzvqV
FCZRBjtd9a+dZd1ToH0R6m9WxD28XGXH7vWeHKhASIzZwTuz5z4H6bG+tbTqc8JBZ3Oxvahif0R4
Hjojc2hoSFJL6E+7j4SRI6GfIlvWAITEWba34FIDzy2d1JSboNOSyUnUDr/TcE0n4pdy/zAWcFMy
Qr/UAW/KMqizl4nF6ImS2TCxDFm6RfyvBlcVV8+wXQiCFOjM5PY9b6gDbO5KrAFtmkZ/GEqugo3O
TKub7/GniR5WpTNwNN0XkjUKhEk65qWlO/BzGf3zpB0jSb7WJbDLQlc3dl+KxX6ViTZDqinZCzNw
ONdkd6jJdTykD4JYYUEqWQdQ5Chw2rRbC5lHQjOvZaBpKFwBnOjV/IJp/iOKj6uuNF7Qb7/MuujX
nf5YZdFjFdW625MSGhb1o1iZO0Vt7yZTPqIEdhR5yRwxj49yOz1H4OkGQ361Mnh3Q3JDChB4lF68
K9WtiEMOp9bH/w6FpG9tN/vUX7TdyWv7U2MsP/W97RaJ35PovEnP+Q+P7HvbLf3BpwyqDEUeVI1t
9fbnfs36g+gO02Dzhj1G0Sx+4Z8DIesPeCHyppnfom+3rdw/2K9hwH0/EFINfLv8Lg2brQw85O9t
96rERSxXiXilQA+3w2JNPV36VEVfSNRZCfoDqFqeki3vK5ks+TTV/PdWNq5gB18NTe1jhrvNCQuj
E3PELT2sy+LHstUCcoJuldI81xZLj854krYIu5wAspUgsl4zOjoaDX9dBI19Lj9AkmjswRJzp2lY
e4lEmkFiptbKRw3MekHk2bpRfolAk1WhcQpC0WKNke2WkpbBu+4GyIEpAWpSZOymLVENgfv1TMRa
WpT3K5FrFtFrmI4LOyOMTaDqNe3wgF8MAyNxba0l+CvxbUBlDQyOdQBUf3BorVikQJhVQk48g/i3
HvoVfbBJHJ8aGATEtd1o0teaD83ExaTuF2MPWJ68w1A9pmJeId4RdlDiGdMgit0NwhJUKspDUPFT
rd9O9XBLBmp7nxNcl28JdnpjHiIi7cRCO5pbaEYtzucoqzWgWDhwNYLwYJCnzkw0HgjhPaDHiq5Z
OyzSl44IvYgovYXNJA4W0vW4B+CXxdORs6HKCeBTtiQ+S5Puv0aoTIDegcGFfr/l9i1bgp84L7uU
SD+8AV5NxN/Q8Z5FEal/07cEwCzd4gD7uZdiLzTSKug1NjTHvkrwNKi12O8rk01nb1isPOUe6m5T
iS19W6IiT+86OuXnfGwmNnOa3FOjxbmwZ7YWqlPIFc6fXGXyzuieY9M6F0PDUKZSXsq4bXCMMYFQ
gN8yL6/4vybRndbuBUMru4Osedtmn7Tu7MBK9BiGBEsp0nCbrfVyNBTjIsSy6fRyze8Q6TWF+DGf
1afSnEmUnMc7BjQxKJiaprzRvqR190bL8Lr2IIdHI3+IdJWvgqKcUYyz1uzkY1sKiZdOveKp2ng9
E4bnkmOwU+P2ycy03lcENSeu3nxaelYNtaqnRNxMXzpTnuwyn2a+OdwbyqQzHTG1onMeCZfoKR/d
MooOJZwxdWacU/B9YdHImPSol2WQVvXNqHA3pSe+r1WMCzoJvTkNNARQRpui/jHcOKUa/8XEKxGt
zU0SQiJXhe40dU+lpkHFW4TqSCrPmrj8qnkLCHQFPRaY29CSCzHuyHYe7WHCU5TGze2wVNE+i0GT
6+UFNNdhLus3gslaQgpHLrPgDduXf8c5384V5u6/Olc6EoSr4ScDHX7u+8ki/QHyaQMobHHrgGB+
UG4of0CoAvn77fT4IWdFJdFdxKkkMgdgRfGVxvDXQIcUdQ4qi75904IY/+Rkkb6qO/+SAm0DHfYf
HGEbvUHnT3k30MFIi+Gv1avruRVp3EZ1gsWuokdSp11s0OGOCwkMgzhx9hCqdRTzgmEF0Ohsn1P2
HpMi7M6sU9hnKUpzl9KQ7rR56C5TFtZf6n4zvueUpzg3Fqbi0pLgghImlhMMF667tuivmhR3nCDq
kAkwmJq4CKWclJewvGSw+r6YQnzLqlu7iiRJOMhRPAUrDOL73lw0HkF2ApOsDee+iw0gmiVJQ8Yg
ZL6kLdUDJrzejpVOfsUNnT9qYl7uIg0KZVmH3fNIkJ8XiyYZna0FeTwlxG6Ix/pmYnCbD0nPTjuq
3XGS1PEqFkp1fKkAw6lHqQzXBe9ulQ0YuftBeFUjK40vsZoPDUW+K9srI2YMYUTSHN/FKaBxcxqw
9q40t8Z0MS02PLYYqSwm/CqfTANAzohL2tW4nSZHXSBNwgZavHxOR7kpPHmygBaH85M+5cozMV1a
hWVML32WlhwpA5DGfqrW502fgw5GTkR8UJwrSSRZQViP0We+SYkjluv6HHbx+qon82MrNH4ZJQfB
YDdQSNyVJ62td0I9YU42pWEJMtzJtNL9csqqGSoi7lP2OEUlEHAyRQk2vh5mOMoLBjZZ81E1ElY3
lnSv0PjvaoE0hFicRluDEbnT006/M/Fc7nuBIOJabPQLPGXR5TQhNkfutepD2InIv8bc+iwYk3BQ
8t6w67m4gtksuG0/ggkU2BN5U940vTuHCehPoSJ/tg7LW6aqHffPVf8U0U+TkWKk9zPjgpORqukZ
gWv6BFWBfPLVWE5dtlZP6zALR7684AwNkg3TqA0fzbWY7ku48t5QzcmdkMz1dTyS1lliYM7dUlXx
4HWdChaVBK6eQaTWuRGwVoLToHuS2kdbjw1YzZWDMU/KDds7M7LFSpde66pe/SYBw2lxZ7D7CZvS
v7X4Wy1Gzv2LWlzlz+VP2IAqP/VDJd585eRa4Zz+xhz+3uPLf9BHoKRGLYcLfcMR/9njm2DULYnb
M501xusNYvxnj2/+QYS3sd0b8I8Z/xB+I5mbRu5vlRiK+5b5BxeZMmyI7/TrqlmQhDLIy5XZR+01
irLiNpFq47HKVfmwTFn2RHKE4Zuw3s6s1ULkE2PMIm5cHwxr6u9iscqDdZWoHlYVeobQt/BdyZkg
lPeSbyn1oyKFJ02z2hsQ2/z8SMypC4TQpHFjKyYwGJ7lFRZ7D2oAk3MGFVSkjymn0CWwhsS+ups/
FXEcHaqGNl8V+tRlxbQw2TZrhubLgyU3Dgniz0tYGIeBJ5IiKUzHMqvI2K0m/Ii9FYKBEq8yZcCL
k2SZY+lNZscJuU8bVKOylB5nUbpuc5M0fa0XaVJh+hUuiU3RRvp9iucoRKE3OsmmcqqYFsxpme3l
1ZqcnpvUdSRFj2K2EKqrtL5alzdahVM/EXsh6PVoPazRoBziWDS8HHUdkVjdPulVy4U6rpKVUKre
SCY5hm/uDMzlANUU9UQe03iztikiqrzLbeAaqy1osMkzsK3k81xShdI7Lrw7wsCZlUw16VWJBIwR
eo+7GFO9b+LuMMjpJ65ds13kcGuRHKQetvVDHDVr74Crjz3GGa2bC6SKhLq0S1UByl0bObM2BkWf
hRsGtX4eqyg9z736CqkZSKtIAFahsT6cWKxkaXSnK8hLjEjBGjkH8pg/yPS/1km1em6Lcn41NtJ1
JZsPYtQRYM3QgrStYKYKg77H4w/7lhYz4zI4qtG56xj0GmVx7BTpVdOqAUf8dDeiL0CFMGZbmjW6
qUK8MiJrVxZVMCraKZ2tcz2JQSwNYF/zSHL0UL+m6/fXKLkq1oTgkb7wLRWawaotZ40xa50J99y3
Of9n9ch1gf9lCD8VcvtZmSTmRrH5QnR6QF71fYPaCtIsOUtV3eH2LaHhXJqMPbcjK/rwopKV4dCX
tbFPktaJBJOap6JIspNEjOuAp5txWm2FimtI7XyKdDnZ/1uMvxVjnAS/Ksas7X+25+SnvhdjZDbq
NtFg4GJ8nY98j7uQFUouIYP6BjD9urH8oRgznmHNhJx5Uxr/SCKjGDNp4XcxGzAJ55P/SVvMeP5v
xfgrTnDDYMjAC03FBEj294ELCk9YRGIqXslfv0Da9l0icnl4adPBG1W6ILEIsx3oT2agkvUQ9mNs
h6zXEK0Zn/sivzOKyUK0KrtD34vobZPPIIT23dicMiGFL6S1hMg1oxvqY4+pR/o0GXMUdPLUHYum
2TcjTcmaXCm9sC+o3cCFbantLGcgm94ZF0a+RmfuygT9GG2jofRuP+mVUwnrNTBusuKS6VZWeoDt
5BFqWQlHniC3qhY+CDHa1nBMcaokiR8B6snTxzxZPk0RyOZUS2+7Fo9z23SOxHCjEBukQmsZLFUl
n8VavYqRmNqiRO6GVqPSGY5mF36premYQA+U2eXdqDO86KgMzwABwGvIwhPaAo/rtPSMdmexp8x0
1659SGTxS8T6lhmL0jjoCO9nQ2C1Q1RFlVu7LDPPSx7FnsS/IRSzc7LWz10KP2cMiRacmMg4sdxo
QUnSXjiz3GzN4p6z8QoKw6dCJ54+M+TTbDZBr2bw0IuitAk48s0uCpjFXGUymm5tWnfDJOEKXcGG
6UQVTtp5Ggnu6U3g6mZ6UxaiylB8Ppndys3cxFIe1o9JrCkO3TmDEyt7aDruN1nWP2rrdJyoMHbf
FW+V2Z5lSYlOcYZcKGZiUvY6pKoBgkIv77qQQUDXRB/kvN2LNYpDxt3WYdKH2iNo9ksZGXdRuARD
Ns0egtLDUsnQohThdVbr7Yrv62n/kf+2Kyt0UepoImmVYZXFaX/Nojg/WXPxQT9V0pZOaTDCprlx
YyWM2SF0b8zrdqnRBjqnjgP0NfL5fzxLQ+PVFTQlMRtHUBDdnTS2AfHaT+oiIaelKNemxhbdsJy+
gixRlgV83Xjx4br7ao+7j8PZW2IIUoBmTAZ/LQPGHG5OsTnZFyWQo+qYaaqfWwSQZDQkajYd0hgX
ftzikiFiRFTDY4+uDdR9YiwvQ1S1H2PMloTmWoXJJKU0buUaMmFkm20h3IhMMG8hfTBPkeaEuAPR
z4RYtwc5fMui+TXULBFYDqIDsTEORjk/dHr7uc+4r9VVdcO5FQhxdkNW4t40C81BUuHWM+m9ikHC
Wy62vgnoAMSLyj+u9iDXCegQ0h04B9UjSnAi3c1YnXTsmAQmhduTsaDoy/Osy24zz5/MkC7LWu75
oMENpMJ+SYRT2cRBnJFXikRdzyQnSnMQZOEuhQ+YmWVkzyaZgOp6UOr+o9S0bqzBMpEhUowFdwol
4W6TNKhwiZOzZiOYWMwWdcEH8tC3abDMAxGNjMyKYQ+lOGIhaACN6tw4sR6LFJxG18ansbbIr2gS
y58LHZx7hoyWjpHx30s3qTwEwLFmg3QHGiQA+WdQIHsy0EHmyiLL1Gnis4WSJ8Bi7tqXoR2vEHO5
Xap+EJOIXeDSntbM0MH5lZ6a8RSKyCaaWbJ8KRPvtCF8hfHFt3PkYkh8MdkL447p8OwIDWnNRKsS
jUXwBqT1NEGXaCajE6vDeTLK4yxguiuy3FEjE77OYPe6uUMph/BEDCxjuGb/+1GU632I1leHkexl
aU79m0sBCE91qwBucpK1vVJFpqpRutuY9XUyXkJ9/cB+FU5afxPKw6FtRltvGITPDEvXlbxEvfUU
Qdqzgx3dripXqrDiW1p/5Irtm4wKHAv1VFOLW1QrdDh5+KQQFUGepKbsoTZeS1teQRTdSKt5ssxl
BI/GZl5fp4OoZw6rw9iBQ8dMXUi2TAttCECmXiu54Gf5ci1b5ptCdFwJJKVjv921psAOmczriZik
pa+ve8O8nxNgfIVGCMVcaJY3p3L+mCnhAqpxfEu74RjP4kM+lIx4q1NsdcwR2+QWFT5CjfZNi0CK
DVJ9iWdca+l6n0ky5KYxe6ACe12p3bRCCHRStJ4Evf04N/MRxDZinqEwkMgxwJXYdpEVEM8Mb6bo
qPabLURd9mGDNA4JSLOoO73rsocxFyZUdAhhfGHtJ0LNTC8Xkz0yGKwjU7G6cxV/UUdlcAm9Jf2V
/Fhr/R/2zmO3kWxL169S6HkkwpvBbaBp5SivkjInAcqF9z6evr8tkyXDzDp1KKB5gcMaFJCSwmxu
s8xvxhOlRPaRcMGbeSjB0JsPcagoHq2amNSpoX8GFtvl0KczQJ3XWaieZol6Dviom7SZjvZSdUfv
Z1aj7GZJw0llYpaksn+V6OJNUiO96gfpz7zPLuOAunCXarM8ho1hD91JG2HwhM7XxZgS58dN2JyV
oEbmBsCoPT2VCZ8h6/TTRNFa/2+Ip6rIBd/niibKZbJqGooo3VkfAMJVYSv6gMH2iXKRTG6MRXta
TGEVTJ315Xm1yg6CeTat94IjY4ls5l628A8MbD9W/jNt+D8wc50y7W8C3HpNqT9eN9WG2i9/+TPI
lb8RxlqILqimhucAGf/PigNlYYEu1wHnCXM2yq5/VRxkC901jNsAgGEVwI9eKw7WN2oNFtV6jT6k
pZr/CGauaZ8qDrD2oA6Cc1d0Un2ZR38L5pNsSYvKPs5OGmK2cRViixkeK7j+qvOaEPaUs6Wtp0ls
HBt5cQqN606n+jov1eSyVaCyJUpyVKjl93jIDuIqPQ+SYFZLKk7MobvCiHjFyommqdUtPa310BiP
jigHXo9h+oCNUI9dtVp108jMzgxvXCiJDrgAfbMG2bCZqiPEGdfhiuoqQp82Yo1amyq3KNFP+hYj
yQVitbayT1ZQBjjEmrW3jBQJsK385F2YPPkYuk+ehkIj0RI2h4XlHJhPzofakwui++SI6DjUdI/K
MKi+h50LUq7VEnXRNm04EhSFh1aVmuEUMZsKSAf6YTPnybKHw7Qd58WTlQ9m09j60Ci6bXDHm3Rx
em0J75+aYrX95AaELVDu4odndTgFhTaeQdQ/VtRXiqla1RBiMBYqRhdFFYCMmdteqVgPSeW4X2NF
1IIYSdtuH5TyrMWqqO8MFLsxarUxMSpjFUhesM5pFKHrLk2yulmhYkX1GQMkW0RhpaOct/iim1gk
pW5xbGOZpGrlJJG6PSWoiTeTPQ9rJc9BFRGrpSYrb2WslxzcZFSsmACREXpYe67inZg+9c8izi9i
zJusVDiWysvOqM7LGgBMT7sQs6eE817G/MmxK9QycYOyE01Fif0xVbK5jl2Uhm0UmLClnmM9BOnO
xVYKY/HvJTZTVmPPcmynkA48HrPkxIabCAr/OK30vapXr8cuW7XYVulJeoyKJyAqQGLYWoVudlxh
czVqxoKk64BMZpmb8g/VCBd0h1e5Vt96GUqswgDTswChlso0SJSljaEWymq16GxjiOXDzAuPS1M9
K8B616N0ZWDJFdP3QwY2o0SR7FdojqE0MnEw8QIGT24QX5PGXGWyf15j9uXmxpGG+ZeKCZgctiDo
BuWowx6s5SGmDoZhEcZhLgZiYG2npY/7FMZi1JoPO4zGsgomhj2UD6WlIqnVn5fCk8z1WuPMMspl
YHb+senqOPOpyUkZoxhHDISFQ6BmGh5ndGwmRl+cyHAGO4Up1Tj6fgwCf1oIYmEOw3CAaUg7F8y4
RgTpnfWCitjTT23j2JppsBTrcGD6QVvMc3dJNjcsJM39ARhw1QmKo500lxgPEgNpZD2CBok0ISZU
T9RIQZKUfHBkeSuluB0pK1fXz3VBqZRAqU/Cnm+c6vlpCO+y0hMUhCBi5kTCEK6scEFwuKpha8Jp
nBqExjL50pzZwbelUiF0GjieLkJPKaxPVdA//aHCzD44QSjwSIMfqoC6TcziOBfE0a5I7nJBJVVH
aUZ63c1CQTMFLnBmxPZ+JgiopaCipoKU6gp6qgSmIBOEVdU3oD3CYUWVF4Qo4QvNipta0FwHQXiV
kvG4UbRVDxPWFJRYyYbBmCPS2gc+dMKwPTfhz9aOeSBxAttSEy8we8vBr3YrqN70qwX9NhFEXEdQ
clVBzgXOWSzCZjjKBHHX1IKTKCquWrPBsczvLz3TYL4jOp7C+m3t6MQVNGCoOuhYwwwmkE4h6Akn
SkEbHgWB2DeIKf9T3HoqbhnUgn599sOcTpH//3zwiz/7efDTT8DwUKFFKyBDwmvo58GvfaOw9XLo
E7a9nPpA+IkQHIvClkrxy7HfYYn4d6yBcGSDGEZB6p+Utiz5fWlLdHzRGKNEpjr8j0cRWKM3oiXA
U3uzKKrkNFUQhl9VagN+aGgCgCzYeXaqA9KS1sAEP6w7Ons/xmz0l2RaF1iMA+i1bocWK9S88fZK
OO1FHqToi1OxbXTrWK6VQqyemEITCthuxsFBGuEv1JzU0s+9Y0lyI+HFVk/Zrk+qob6XRJXZcLp7
nRNs7lO+bRxSuMwODntdyJ064Uoi/ijlzJhlvjZi/WW2sxqCC3D3Ets0yjxlU962NGyR9h2Wsmrf
Sr2y8LtawQXO27Os+jiF1019BqyFUXTfO1u6iushnoaRcqEZ9Y1H5XHp2JC1Fep8Jx6d/zn4dc4E
IyrnqA6uwWBkQB0pidgULAKsRjIB1gM8iVw58D0fHF+vygeJbDzodbLUwPlVOp7uAvhXStK0BwmI
GDm/7ewlcnnTUHTPenDTqcAOgiF0QqrccHuBFYLivCvV6qQcg2sD2GFEe2hGwRQkomGeSjwsMMdu
L/EDLKxr7FVGqfEWEPIvqkA7bnLpeHzCOMqByk4F7tEo7GQ/RGBzYghUJICiU8nooAhV1AUMCTIc
mObD0IfHEQpcZeHFK79o5LkN5NKsaLx3lLQcwJh2BshYdpKTHO1doMIFRjZ5qi5BiBLrgOYsRdaZ
D7G9jCy/nIUC9Wm2bj83BBIUzj6oz0HdK73uTxewaAxo1JSbEzlLMbyUnGJZApfvMYqYYPhKCoiw
Qy/Qp3o3DhMTQGoiGSjwq5K7ZKG50y5rD2Xgq77AsfZ1eRtK5bnZGqfUM/e9kEqCqYZLHQhsUut7
joIBQTSaVzUe6nLi/Qm/7YGOoUSZitDVEIjaVmBrbUC2aVgA/VbzA9fKr9GGr2Zx1V1JDshc/hTO
n0DragK2K6E0q6kmChJK9phUUjINsnxFknYS6ej810NPOws8cEPwOu8FRNhCxZm1UtrQ+QJ16oIk
7mrk5yOt7Ne1m4czaHjQtwX0WIvC6waZ4Di40mqElG0BUmat4RMBbNmurXqZVnSTjI7+fa+o7lTL
5MMBbVM9xdk+CQNtNoKFhhiIOHpaEGSBkw5SPNdBA5rT4AlEDZraBVUd9TTlmWsXunYgDY+RDGRP
AomdWdVcE9Bs37fmtp6hsW89YvBKhm7pj+Uof3cAdstdfJwPA+IAIL6NSvLn5gBuaUiKc7+p1rE+
Jlg57dvZeKA3Dqm2IhDkPeR7G2J5aQ+PalX+8KTmsMvqM3T0VnUbRgu8FmYjsHTNQYZBEUh1LCHU
SdhEIr4Bx17W9WMuJQnoxU4wZa11UJQ/6BfIALxhEakCEd93tnlQNwK4bkg2CiP6DbtuQXhWouIK
qL6GaIWUMqK9bMiHlUDee1XTLPyxPagFKl8Fnm/6/ZpaFGVQgdyviyqe5wLNX+nI5iV4vVMgJ/Tv
L2qjoPQiwCQ9fEBcOgm/U6Nk0WUsCdtcxSX1+6x3j7NYE7qgLnI7knfhusjS586F4+p7Wj/YUxNe
hGhYnbs5bEdPKRZ4xcc3ZVcFiNW2RxK5JGwcsbCN8Noy4aeYbRct2FaxeVX92z4Fb9LowaLt0gM2
9PNBz2ChIDMy4wA4A/Gj0uk0Zi0ks6VP4W7aVpoOexJMhp0e+K6pT6Mixsm2PQsMnb4lHAIXFWoE
bUtCdS/mb9v2wjBDe29Mm1vEPUDH56U7UVPVn5phIU29UXp0dOBD+DwHSzAwZ+mQ3Zoaa7uILRu5
Bluaxj0IR/A16bFcOFTysuJGsROB1weSnww9yD6cwia+LSuzjD3byFMZPwu5XsR1dts4lHlyJhKJ
3GKgkT5R+MonHHfltNOQ26572VuAsGJM28Dch5+153g6/FncRFk0uIY1envlD9FZx5k4rUOau4EB
Dh2tdA9LhoHpZoPBa0KBTRfIplwaMTMFYYIVWYZCitVhcd7Bm4rMKxzClxiT3huZcRp6+UOPTAIG
2OENrEsiUwA46BqkR4pGsApDYcX5jzqwle7JirJfx3kJMVVt5pFAWhVxGO9XY3GlqSz8ONWuJSxV
66C+74p44bjhFYe9fBiY0JA4//erwDshg790xmhPk6puYuEZKjKYhpJyt+fCh7XSAVsTgfmiPdPO
VMu6C/pMmiUl1nCFAKsMmX2uuEkxN4SCc4p5yzzP8fRo48bdl8thbSKuxffZqguaNZd9CuXKdqWD
wPPWJXrqHkX4SR/m2NZSb0ut/DSLWtpQjuzNcfS4y0MAUPi6ftflAMHrwjyVG/PPTDcBLcX93uhp
j6HcWeyxFORUFQV1u0c+3LQIx2uziiZyNjD9QqUGtzugMTsq382qPUaGJ5iPhP2TUmLX9gcQn6FF
OmdK4VpO1RUmo7Q8AjdEBSY/DATABzfT5TDiPNtoBg64crQXepiSIyjJeSdwoYXqptNMQIPgW977
HrLdhe2VCzRw5GmWtO0sk/E2jaChDJJ5TYleAZHrGtOkkC79sruCfAhzN3CmWRcD2FUQoWjsGnZX
Bgdd9y9qE/9dovn9xmtwKJGdK/g/p17cOVN0T8hpcglfXEgSU42mYe9J8Qwxmn2JyIkFGcpUl6vb
3EtAuHKeM1ocIeFeYSJULOhiHZBiKTcfTZkmIAzkmZUIGrgTPVqCwI3CwF07lIcOJ/lksIy7qrWW
hY0XbOopB26qpWgntfq0N6NrL0nwbu1LdWqTlYRSQh/xVra9IwIDHaaMlE2UJjzIDVJsXCbCYzXI
KPti/46yx3dPQtKF2sulUkK5yBvp3EpoXahJtq873XVPzIUN9ggvPs/SeVFjR4IiDOIxUcHr6IgV
2F2Jd1+mH9pQp217EI2+Ip6y7h7B1tC6ops6hz+5kNvmJm9Zun6pnMVeKpJFbaWZQT1PjbCcIJRz
AU0JFVZL0Qgve/bpMl31eokNrKkfKHZ9RzuGVmhQXxe9zx7UyFdjjHXBEF8Cck9mXcWWasm3yI4y
+SkSw+TAwzqLm6O8KhepjKoz1RQSV4yQmLXhg0Ns7LcmTPM+fRiT8mB0sIrxqPaoanoT4IyNIdJV
3gIzr4jyrIitzy+Ymb7TWYhlBTxkYy3lvnw0fUI6K+u/awkxXxuSI9PNpfyzjyb5DDPbNZD427Bu
TnS9OEgCdPA9+kdYO3NSagU2itZ57yvz3gCF4RbZRV85ewC6ofhIoErCU1TqpygrwADSQDK78Rxv
5aOyz/abIJ/GhtxifBsqw7TwLDU6i9PRvBkwwUZGVqJVcBYbdd7OBqHAYuTSs8L0f+rPBkXf3+Sg
DYpxDxtSUP7qNQVVMLW1FZlcUiXdwxHorxQUFzgDHzdUph3HlJGb/pmFauY3AiKRbBryK8f8tfZs
fBPAOAAbJtUNaCDKP8lCwVF86GBwY3DNMs+g6GDh5A8dDKqNcgFQqDkeY5TWaFT9AEKJsmkE4lNu
49lQxoKaG0yHzF0Fpd3NDKWrpmXanuKmtm+hkUIMp3r0DYtZJQWH0LhWgwVIjf73hSxH9y1BIh7O
LceK1CWESeoqGwllXdn0pkklxFXk6w60qFrpN07hUU31HX3hih6gI42LWJekedH5cBjw07Y8CQvS
PPwTzbgf+ZBdtT6pVVZXuJ6Y5p9lUe+nqLPUjnTtpsOhb1rgpYNVG/lHMC5+VJlN2OtYp6Vm3MW0
OecJL4ZqR2AuoUggBZp9TwY8dfRQgwpfkzIWcbdnO93VoCIR79XdQtdH1LBCDdX5Loiht9j3hY/n
NwrBR1UdX3akuFPbM+ZGZJ9ngXNfVM4plA/sWSHhgzYO67nbAT7OW9Bx6Z1bZ9/dAoPJLL2jnAG0
JCq9eZN21l5lJade7uwFfoWhkfcjVvHQymMbVw4TJEGXZ3ed4sDAG+pZMpSYCFGHmw164izoGWCG
plhHdQVuTncxBADNFeQlsUS3kMvuwHOcPU81zoexfQz08AEr0kst8GBTjzeJN2IkLhDSfEmOXMKm
6YAZqDLJmtoX5pmJr4Hv9I+UY7MZ5X204Fx52pSgWbARv9Y941yvBxc6UHSpe+pjo5otvXbx5wZx
vK41Nwmt6iqjUUnzhdgDRzC3qcMlhIrvmU6qoeYN+h2GjBO5BdFJARIng8Ezx2ghW/jLABheFrVP
5zPCeqzJ+dYQt8JcyzApgkBML0Z7YQZVtXQrQguipwPhODQrqTtOAJucW1i6dClFao4yWoiuSHRx
N5frntbiWOF40TDjDBDQU3tkEg8V32Gi5t68K8eLzCu5a2pz4rYLV24uRls7CDq0Aiw1hs1auHRD
45A6cBPdAUO4sSloTSwzv5WVrEQj0Z2WXd9TAgj2gKkg3CP5e3IqhTPJitKpLGdYm8hLRcaqtZIl
Z48mxjDRWvshCYsjMtd2Ai8zn1PK2De9YZipDZpBHCpXWWEcuELTjdmYULesb6vGIVMuFbr/I/pu
VJ7UQz2NMMwBdevtx6rja7Mo6q5VGy+xeSlVfvAnw+DWJ2pted3cDAxtYbqJnF5a5DfZTK/zkQO2
jIXhjJ1YpxSlAlCFReCfakXvfcewal7FTKGJ7uvucV4BO0ERcWrD4pGpwfqW4134hUw64hj9mRxL
B0jnBdq8twAtEtzHNJttsyr2G0t2SR2CvgaWI2txMqsGDV3LGP09sy+WcqipN1Eny8EqxueQfSb2
EQ4yrTvZa5qQxtZQwm5CO8cZ526kG8WcqpHlXcq1FVffVbf1OKG1kYYDiZjp/oiMwNdXsgqeZRI7
fZP/p2T7TAAVNcxfH5d/4qfabGKAij/7eV7a30xNUCspmGIc/7Zk+3ReQrWjVOrQJn3LANW/ObKC
RZauO0+4Q07Z1/NS+6ZSyzUBhssWTFAw5f+AASpOw3f9frq9QqDLVi0FoJIuOrlvara9LHltWaac
luJgALzqVQY6G8nkzbicPl/wrUOqIgtJ6A83QsZM18k4ZVWV9Q/HsoL+V2GGen4sN4ZzhbGoZE4T
Kx7GPbrIVN20Om30/apyxwtE+ZDxMBX9OrQt73uehRiMo7hyqFiCDkKntD8l1j7XhqyF4j14VnXY
RmGl/WjZyG0Ej4q2RcIIAFmrtwEAKCnGTTmulHmQ55k6J0lqkKGSPHwqg8olMI4GZy6gmPKsSu+M
WO+OLT2PT/QGsvtUyQHGLDK316Zx26CNKkxXraDLtBO5VTBjbePwpKyjDogUxji+c6op8oOBg2ta
eAuYJ5cW7qcpDq+GsHpVkQJBBC0AXuIunARBimTfHYYCf03a3ABQZvFQPPq2f06aeaxgJtto7UUs
nJA6vQy/WxGkGmGjsZKsvETX0zAP4gBEtJNQNxxVdMElSXvUwwrlKdeXj9O6QIy6dYtJEEvY03Y2
9ujOcZXSsRpVu515wagu69S6GhTpBteaYoZVE6i/uvZUyLAaPjYe3qlzgrGA+py4BJqLSmSWV6Ve
a/3MtFP/vEIsa94AeYaUK/c3OsBPRlHFp6mKSPV0qURKBM2zwqztA19SlOPfzzFV9Bc+TDEhYaTY
4HcFZFf0J97M5WIoC8/r7fK4mifrjgLNxXhhTcBKgVhJaTHj7+HNYY3NoS9MjAN9oc3pqU3/1vpa
oBv+eg50/HBbIaR1TEMEu4r9gW+BhVzXeJWfHbuqdzDEfj+N8LoEbaRTqbUiZ160LsIjqsmB5try
yrNK90DhOzKjAtUbCw8AF+qDrY4/6j5zFpVKO6Su84Vrjz8sAxfA0KX4QUPxmna5RRRZDFOrotvY
4zuGGhwVNMPv5wggLTsFGLE7TgvddsHCO3ujhkqBqi51mjmTooZSGzhAUJN0j4LJLENYYJLJ+bzr
vCMV2TSQfWjWtWDkkiREhbgtjrve0ZaFJ0B+mnflddkeEgarprdlmpT5Uo6YaJZTUH2Rw4vff8Xv
N5EXuXMZiSjdAfeiOR82EWeErZYnbnkst0m4ZCNAErqUU0SY/LmRQbHWi7+zRtysdf/mnh++TamH
CNhGXnVceNp3w0USBMgoGGNrT0+aVVbQBvdMhJgt+MpGTDJOEXM4GjELRUvaOMoC+0YOSKVpkz9y
Vi/yolipmXkmu+Od4RU/kg43uiIt8mco139SWINv4Ndn8vfmdr0hgeVvXg9kJM/hwOoE06ScilAo
/6uHqnBWmzJGodAEBIrqrwTW4ScOtAKBjXuBXL0eyPY3B7Cc4vAj4E46ae8/OJA1+WMCyz3gg5ki
XcbGSlE+TLi4LmsZkVn5pA6zG0SojKUZadKhim0x5Vclh3PEmgOM6hz3EZbLGaqSeIzpB2VmIASV
0o0IdMc4KktE+HQ7whe4M5dt11zEdp+vylECPiHr9FbvlDaiIZN0EKTQ8x3Nbt9x7UVgIYaekzc1
lYtmiDMkU6vTr7q03NMDP71kl22mXp7fmXjnZU1+VSp6To0dmSXTK+7iwYlmWUX1tui6vT7ve+rz
mZ+eyRo90FCnP6iZh67ZOfO6k91p0km4USnCdzMuYPHUa6vx7tzE7hbqgMygN+TFPvpNCTIC0jmK
v/Gpg3wjUscgEfC+BCI8WNbMDegkeBKVstQdTqG/liQS2n0VmGe+ATKpDqiK+dFNoGqXdebkMylU
H/LI6Ofu6F2VZBoBbK0GHSp0mpU9kKT3JPsp3Hcfw2CE1mSonqb6PUm9w3B0LpWQrdcYRYtYlS9z
K1QnI19C7ef1NHap56q1sR6aCut2q7qBpMt+iTcgEjCIVunyqR3rCs7jwVngULeWErxOD4YBB3BQ
HI8y/HoZnr09BoetIN5rYXXemGD6ewpjk7GkSGrB0w/NmApCHs8sWliTQpIaZNgc1aKhWsdVhGZn
mcyDtLJPHDUflnFqq5PWDPcVRFKRHS4f1KKVJ85oeWeSaHiNgXHnwLs6Lgb1MYYMZSIAAgsMoWTn
OPbhiiGYA5YlwsO0NvD0SUlQDrwoO/ERo0eFxj5BVx01PdNhWxxoWEYgWiqFOkSpHsNSTamBj0QW
AeeM0iBRrxh4MPYUf6nD/zBz/88oQsu9bHBDVf2U+AQF+8pjcOM0zOjkwUlEZkJxs9sE+UwgMvoB
ncgzxc4fdR9Ysd8vm6K3pynRyVSuS23fjIv93EwO+trASlI7GZTohGy9nzoxpWE5C6/lzr0yEqna
qyMHp3bJuiprD7tpRT1yc+IpyaZ7WhRJOGlk+TwZ6gO5C5ZFFJ4HgTc3m/h7J5e30B+zqRKhRzjQ
J7DLqJmVJmFIJqe0XxhcQ5cO2hilc1PmQG+cIaL+bR2honrHWa/Nqnq4zjUVZryCr1dFNprVI27P
OCtH7iiDBZOPu7i79Rnruanl7jQ1g4KyVH6jpfnKATtt2tkihJZO8ODe1XK3sErRY427Ygq7LYO/
12DVHBXTwcEHPB2M+1pQUgqUSxI7PCpc6u5BnsC7I0QI/eqHHRaHcFuulGj8U8E2nOdDFVhH87Zz
VqXQyeaBZ97YdnjaRisbRgJKtPJ55Wg/htrJT2Cix9MAGa0DKRqk/SzpqPrT3GojBHTht/t5dG6b
qYGbAV06aB1ute9aXGUsfWMvsfR56RbNLNSkeD9J1LNQprVsIzlA/aSCJ5lZ0RQXK4Sg6JkhCm6d
gCEH9N9l8QwrBjr8HrBIlBYnriHfIRf54g71/8E5+/KIwvxjntKOG86ah3I4f6ioV/x02RA/Pc1o
Yl9m/94vvZ5lmy/0Bykwd74c8of/91/rezSZZ0FVl8FdLUrGTz8TRpvP2bT28eR+erCnp/7tdeI1
92juuYNmUSwWSCWb+Prp819/xBlSAs8/lhRMS3RVJp8VmGSihDdj9KtR+P0LPg/n73/n1w//dgzg
Pz8/07MN1M/x/Jv35wXfvr5q6GyeqHs8fUhx3r0+FQXQD+TyIIhehuf/fhA+zQSsL/+dkeA674aC
kokNi1l7flNyhXdDIexrgMFbAua+g2NgQPr/EMf+O6sBQ0+EVpjyTx/t4xjg7uMg+uU4ZKJ8mC47
ORQiBubB/tnCeD8dqLI5GuEyqeHTh6j+3XRgZZCVW5Bkn0t6/8cbw6c1wRf0/O1sNwiCxQEKkXd8
9/aqzNuLIqT8vHHs6kRQyei3nAjmN4gxT8XRpykvb1gTtF/Q49jZjUE88paDYH9D61ulgEzHVXzE
Wnl3TMrfyH8dIc20q1vC87a9zWqgG63whuCSN28JFAKg+pNhq7u6HOiFbzsTrG8aewIL/yVg+rgv
MghPNC3A27s6E5437O1mgiomO6fDL5aDkEWzYV7v7CB8Knr982DB+UZUaIDZ+NWewHKwkR1la9zR
mSBkObbeGF8oji+D8Ol0UJHO43igjrejg6Btfzrg0WjQHgG1+bwxEoy/Px3gkMqqTIdtZ0+H7eME
dF2ABznIcv3idFAFJxYRGYUtk1m3gwHj1uk05CDSByJDMRLi8ymJ0vEA1TWSqOfjeAcH4Sv2BAsu
laG+JJIiN32/HAieBaYMAszT8bGr0YKgWW+5PQLTA4LHIfFSPvg4FCKLsg3+EybZO7ko9K23R5xt
SBKxSQOx8fT5FDwjMQUCEqecnd0ety+vEDxj2qU44h3frwb2RdpMlvYCJd29LUHZuprAFBC9QR2Y
zce317+BPCGaBnjz9NnRZfCyPrcLmtn5kaEkd/jVMgC2qyCktqvLQNk+fSIchLJjMBDPg/AxXlSM
bwb7paFQdhGfXT0bBBZ7y7PBwPALbp2Dosfrq77fGKgpMAik08+7z+5tDNr2mSTLn0SRdv/Lovg0
HywqrqDPrV0dA2X7ugrpg6xyOiAm/7oHvpsIiqg+OSbs9F2NnPWvGATH0uEZKObzGPCq7waB9gN1
WJaKs7O749aRkmZ805AnpsD2vPmJ3e/dIBAuiiQLkM1zlL57W8LLg213Tqowv1DLeikufdwSBN6I
XVNg1nY1WNh+XzS/8R3TbtN/UVIQjUl+Rql1V2eCwFltd0ISNVJgQ0X2pRv3ufXACSlEZkGW7ehM
EP4/2w2C5nxzwMeRTb+kkLzquz2BVhQjAD1L29UU8mWKbrMn6Fg7qSi7vy6Hj6cDR6Sqi8K8kHnn
s6tho1CW23I+QBcUcsz0u395UEIiZEk4uxotvBQAt5kP5jfacWTMDMPr9/1xUWDMTtH5ZcB376A0
to8WBHGU4Bg4wi8HQUOoWUE7aEe3R3X77dFCnhFXBwg3mweBg9IxdQs+DjxW8dnVodg+txYNKV4Q
aarNQ4FeO0kGxhmiLM0utHuL4qUqvs3OQH9WNlHyMn/VnyWoQCmGg0J/3Tl2cyi23h9oRrAzCN72
S0pFQPZxkwTrRByt7Oz+sH0gTWAARunndPjUkWF/QKAKZy1hGLObM2HrQFpjEOAl6mQLzzsD3/f7
mQC2jzhaZhfd0UEwtj4pyCYoKprEkb/oxQiAo0YJAm3V3d4ZnuO6bTZJ/OxE/w2ju6cjUUSK7+YD
mhTIHVNq2dlA+qUmus0g2N9Y9WIYXsKnT4uCOoNQ0EB/8fmzq0vjK4pv1F/FtP9FJCk2SRx36VLu
6kkhZFO2TKw0wmkZQ5uX2tvn4huhhaCrYeW4ozNBsM23HARiSMj1IB1fNsmPOwPFNxOoCznHrhbf
tO2XA1ZyaLeTPr6kDJ9KLiKyEv9RqxWfXa02vMCNttskxbeN2d1Lf4ZXfXdSiLI8YgsGags7uihe
ymLbDMIThs0yaFx+eHvOSQVgA+2rlzLtro7B9hvDU54Ng/b1TT+tCaInFXsCZCF3dBD0rUNITRdk
KFFa+0UIKaryDmQ5RDl2OmQQtvVbHxSgtygv2c9b4KbaPD9ksNgbdnqP3D6atuhC4F5hmL8CdgiC
vChPC0/pnUwxX2DaW+yRAvmoCdmbV/oYO87Hg8JkiHDK3tUQUuibbLcoBMyJth3F+Zflv2GTFFk2
28OubpKfBJr+OS4eiCvrXoOP94vkUiQTpFXmC75y98qQxlegoeFMcRgKucT364CFYtGnAvX2r28G
/8IQ/SQoT/0gvn+iJgcP1SYG869+4ZUv+Pnnb4jHT6Tbd78pqMrPN/+Luvzf75nLT5XmNz99rTw/
3enl719e8fPN393s9b1e/3EveCjX5R1CBE/U6JcHPV4ncJv/J+Z/9+u3lGFBmxYlj9d/20yz/rkJ
/P7q+CU8vF7oL062oF7+9aqfOdz/2sWT9X1Wvl7ozcWZM1tffIKlzqYHJ2/a+trTdbxu+Uqq12u9
eXb2/e2vjxZv9ekrJcIgoPmCi6d1uf5jmlX1pluwkre+xewh/uM4KzeOPwnU1tefx3/MspLJ83qt
N+PPYbT19RflQ7XJvl1s5VtffBk/pOnrdd48+Fcs170muc3i+/rz5QW6eetH30/yhzJYx6+X+uvp
BWZ2+8sjr/96mTeX/ooVe/hQbhhz0RHa+qkPg9TbsBEoX7FWj9bRhj1MoLS3fuyjdVU9bBqTr1ig
R1n1x/+k3kP8sGlkvmKJrtb3bMCv4/BmtnzFEl2tcVXacO2vWKLi2nm2aXcXMIGtv9bVQ3qf3QWb
di/BV/6C65d3D/evF/pr3EVPe/uLZzz763XeXPsrlukq2zgmX7FKuXT9UD4MG578K1bq8TrfMNEF
x2TrAT9+aNefY0cDB9cvuPhJuWYLeL3Qm6/zK5boaby+e9gQO4qO2dbDcho3yabgTuAct774eUDo
WAX3G0ZGtHe2vv7F+q4kJUjrDWep6Bp8wQ3SPyYPiHRvusFXLNWLtbhBma7L+40bmSBkfMlbzIIH
b9NLfMWqFS+xYAXcBdXdpnt8xfIV9zjI1kWz6bQSQkFfMkpHTVD9cXIbVPmm9/iKxSzeY7WuHzZd
/yvWM9ev139M1uXtelPMIErmXzFS3GOKE8aGzVp0C77qDmUzvl7srz1VUFO2v4G/3pgTCnLs9hen
hrFxaL5kMQdVhANi8/qcbwbmS9ZyFq83RQ+iG7j9wBCYJJvmzJes37+zBv+NDt+/VMO5EGWWDeew
aNJvPTSXD/5609AImNT2F/+tc+q243L5O0+c7S9OgSjZVJcTyJWtR+b3BgXbPvz3LN6wz4ti9NYP
/hsV598/9aay7E/k8Odi7au646Y/e1+LFr9xFz+sy//+XwAAAP//</cx:binary>
              </cx:geoCache>
            </cx:geography>
          </cx:layoutPr>
          <cx:valueColors>
            <cx:minColor>
              <a:schemeClr val="accent4">
                <a:lumMod val="40000"/>
                <a:lumOff val="60000"/>
              </a:schemeClr>
            </cx:minColor>
            <cx:maxColor>
              <a:schemeClr val="accent4">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00000000-BA81-4A0D-B33C-01EEE921DB91}">
          <cx:tx>
            <cx:txData>
              <cx:f/>
              <cx:v>Amount</cx:v>
            </cx:txData>
          </cx:tx>
          <cx:dataId val="0"/>
          <cx:layoutPr>
            <cx:geography cultureLanguage="en-US" cultureRegion="EC" attribution="Powered by Bing">
              <cx:geoCache provider="{E9337A44-BEBE-4D9F-B70C-5C5E7DAFC167}">
                <cx:binary>5H1rc9u40uZfSeXz0oMLCRBvvXOqBpTk+yV24pnMF5ZiKyR4JwFef/22bCfHouQcemtUu69WM1NT
idRQiw/Q6H660fjvh+6/HpLVsvrQpUmm/+uh+/1jaEzxX7/9ph/CVbrUR6l6qHKdfzdHD3n6W/79
u3pY/fZYLVuVBb8RhO3fHsJlZVbdx3/9N4wWrPKL/GFpVJ59qldVf7vSdWL0L97b+daH5WOqspnS
plIPBv/+0Vsm6nteZWr5cfM98vvHO6Vj1ef1By+vM9N//LDKjDL9575Y/f5xYyDy8cNv4+/b0u1D
Auqb+hGEbXzEKXZcwqh4fn38kORZ8PK2hQk5YtRhDmL0x9deLVOQfI9OTxotHx+rldbw457+v2OE
jV8CT+SPCU/iYf1E1igEAMjvH79kyqweP9yZpVnpjx+Uzp8eWdV7+frnfrl7ej6/beL4r/8e/QU8
sdHfvIJ6/Hj/01ubaP4HpG+S5cOq+udxpu6RK7jAtivQ0wvQ3MQZHyFuU4zIz3nwPMme0Z6u126s
R/ITkB5JHBjOl3lmVtWq3wPS7IhxxjlF/E2kmcNsRhkYi9cYv0en3ShvjTAB5y2ZA0N6tko+XOWw
f/zzUK+Nt2NzTrD7vGj5eFHbRwTZlDMygvpdSu3GenuICWBvCx0Y2vPkwyyvlo/5P482mHBOBHPI
j51ajNFGR1ysTbzDnlY+3lze71JtN+bbQ0zAfFvowDD/IwGH6HG5B8T5kYtsl7g/nLOt9U2OCCc2
rO9NqN+h0W6gxwNMgHkscmAg3y2zDxe10h+uvyld7GN5O0cE3HAsbPd534blu+mhoSMGCxtjAgv/
9b79f6DabtTfGmgC+m+JHuAsOMuXZa2yvSx34cCGTmzypudGBLFtIZxdBn6NwTuUe3sOjAeZiP9Y
7MCw/yMpVLYHLw72dSYgxMYOALt+uaOFj8URh5fjcHtz4U/XaDfWI/kJMI8kDgzhe7CqdbWPjRz8
cBe5FFFw0N6AmAgIvhkC8F/b9neotBvj8QATQB6LHBjKn+s8qdO9rGR+JFwibLDQb27h1CUYu2RE
pr1Hp904b40wAegtmQNDGljATOlkWeu9bNbMRhzsNn3GGlzwTXcNCDVEbEr5aEm/T6vdaO8YYwLe
O6QODXFwgS6B+t2Hf86PbBfIFtiqn234rmCMuNgW9ijwXvtlk5V6A++tIabAvSV0cGg/VBB6Z2Yf
cLtHDge/DKKxN+DGRwA1/EPt3c74e3R7C/WtMSbBviV1YLgfJ6tsH/GXOHIIcrAgbGzLyREWLgZr
PyJaJmuyG+BN8QnYbgocGKx/pMCb7if3RYEjQ8SF+GlzjwbGlBPwvNGzwzYy3NMV2g3vSH4CviOJ
AwNY1mYfaRAK6xYTMMNvBdAEHzmOzYA5GwE8WaHd+G6KT4B3U+DA0PUgrNL7CJ4FJLEEoUCQvOFp
E/C0XcqE7WwGz9M12o3vSH4CwCOJA0P4VjWrSqvHfZBgFEJn5FD6nLoCmntkqjE/opwjgvmI/X6X
Urtx3h5iAtTbQgeGNhQkLQHv5T6CZxf8KUYwAUSfXlvBM+Q6wPEGow6u2Gs+7F1K7UZ7e4gJaG8L
HRjad2pV7YX6hM2ZIWC93OcwCW0VHqEjeBO5zN2d1Jis1260R79rAtQjiUPDGUgBuYIquX3EzOzI
dcjaF3uhSLYqFCBmRgQxPF7Wa4pkulZvIL09xhS0t6UODHEosNoH1u4RgYwULNtnekSM6TDIWhHi
QtEhGm3YU/XZjfKG9AR8Nz5/YMh6UET4ZLO12Yff7R6hdWEZMNjPEI/zklAajIEfczgeMdzv1Ws3
0jtHmYD4Trn/Acj/WsWNH74uIv7jh2O0owr8nUXglMNathkT+I28Faxlhjnh2MbPU+HHdz8XB4Nz
9LN0/dlZ26XTGyi/kt34jc8/8dcP5X9ceTfsc+ulWtXDHjJS7EhwG9sIszfXK3BgUF0kRk71+7Ta
jeOOMXbAufFX64MN28/jwBBfwJmHvey/bH1wgzkOflmSY19rXTXiOvAPHrEi0zXajfRIfgPS3Yc2
RhIHhvDLHE6WewmfgPYA8hoY6hc/a2sTxkeuC1lHZ0x+vVOt3VjvGmQC4LvEDgz107RYVWqZ7MGO
EyjjJq6zPozz9BpHzNiBkNqBlQ85jfVrRGq/R7PdqG+NMAHyLZkDw/ukTr/lyaP55/G2IQnlQkhs
b6cd7SPMMCx98rL4N92u96i0G+itESYAvSVzYEB/rb/tI5gSR+A8w5qFePjptcV4Qo7K5cyFc1mb
KE/VZzfCG9IT0N34/KEhmyf7IULgtB0UgiDwszazy3A8i9scwxoeQTpRkTcgfS09BdLXnz8wSE+z
fh+QAo+JCNSCAKw/4t0NZPE6fyEYA89rE9mp+uxGdkN6ArIbnz8wZM9X1T5KfBzIIj5VCrzkGbfS
jOKJ9MKUAJ/5OvE0VZ/dyG5IT0B24/OHhiz0VdhHTpEdAWhwGs5+I/mwJrHgPSgCGUM7VaE3sN0Q
nwLuhsCBoXuxjPdRHgDLEuIhyCW8VW1NjgR2MAMXanPdTtVnN7Yb0hOg3fj8gSH7eRUu0z24xhD/
QCTLkEPeYLIgzwCFAJAzxM/n4kbe1HS9dmM8kp+A8kjiwHC+XFUP0ELF+6dbzUCWgSIm2M+U4RaV
haDCHgIkzHdWVE/XazfOI/kJOI8kDg7n7DF/UHshp9fRLnjOnL9QWGM3i1Co6eOM0nXa+LWbdbl6
h1Jv4TweYhLUY6EDQ/tiqfVqDx41WG/gNaCt0MuZ5V31PQzetl02gnq6RrtxHslPAHkkcWAIP5Pu
cll9208mwj6Cc+mAImSJdwfF4F8LFzZqqMR9em2u7Hertxv13cNMAH+34IHNgYtcf/gjC1bJah8R
ln0EThqh7o8Ia7yBAy2yPvAIlNczyTly1N6p3G78dw0yAf1dYgeG/eXyEap19+C3QV0Bg5I+wl/q
77c2c3QE3QHhcCQeV3pN1mg31qNfNAHmkcSBIXyXJ8u9uGvrWj7oG7VuGvf02kIYTljYAgp0t+o2
J2u0G+HRL5qA8EjiwBC+XFb76izDbegtg156h40tN4TYDsXrzX1EaE9WaDe+m+IT4N0UODB0PwO4
0Lb1nzfR6xQykJ8A8IvrBa72RsIC8F0nqMA1G+3J71BpN8LjASZgPBY5MJTvwuVe6nEBZOgAxKhL
30ohkyPqYuRCF7GR6z1Zo90Yj37RBIhHEgeG8NpIFflezjo+NZmAley+hNPjnRiSGILZ3CVAhe8I
st6j2W6st0aYgPaWzKHhnQNRtgerve4ggQSkpF6sNizbTasNK96GymyBRzUhl1MVegPjDfEpAG8I
HBi6QAzA2aMqW1aP+yFDoYoLjidjl75411v1fFB+D7sztOceme13K7Yb7jd+4ATc35A8sAlwtSz2
ETZDUCUgHQ355uegagz7Oq0FvCgCW7+J+1R9dqO9IT0B443PHxqyq2a5l8a8cLaNEQ4N/V4okS1s
ofkXdHIF0z1yxa4ma/QGupvyU/DdlDgwhK+rJdCd//zeTCkUYQMl4rK3mnJCb2YH+sawcfn1dI12
IzySn4DwSOLAEF7vQQtA+UHph/yHodxxvgyM6LtuPoF0NIezUBxq+J496fEBGrDPkPCAu1Hojn35
p0ZTpt5uoDd+2M9hJuC9W/DAYL+BHp17aT0BARRlHLrov6SxtqgSBFSJC145HZ2bmq7RbrxH8hOA
HkkcGMLraTxTq2AfBbxwhAYDGwbHaEYhFbSRwUChgDP+UiX4w6K8XGr0Hp12w7z9syYgvS10aGBD
E4J9FI9B82ybCgaO9gsptuWJPU0FZkN6agT1ZI3ewHlTfgrImxIHhvDnGk5A7sMTg7peitalf28f
TidifQbSAexf1xJN12g3wiP5CQiPJA4M4bt1+7599GeEajFKCLSDetmSx0Yb+vexdYJyK5qartFu
hEfyExAeSfzfQPjtm+l+XvQ3W5rl/OmKwFeX0/363acHBHcbjkRfFtRuf/t5sZ0+/v4RKA7qwNVx
r3zw9UAby/H5QrcfS3RTagUpk98/wm2DUEoATbMdxuDGQSoQRM/t6uUtYEtdaK1OGVTxO+C3f/yQ
wbVa4e8fof8jnISnwKUS4dgY+h98/KDz+uktuDMJQ3kaWk8vyG4y8fMSx5s86YM8+/lUXv78IavT
m1xlRq8Hhi8pnj+31tdBDlzDsG7fDnlSAsQsBXq+eFjergv64SH8r6ZvG9vYvL02XRN7ton/zJv+
ludNM09EcJ3iMnrIVZNJ1dPP1NDIa6jl37m8/W6FaEGYY8uBWoMM3HKOssSVKQ+Suar8b1UQY69L
eCWbOru1RRIcI5H7x23jX7pwt+UsLPi3mqo71gx/hqlhHklMLUlhe10epicxL85ooVMYMYwkFdli
SMgdfNesNbiWVVuHM1L3WEZuHXn+wC5NLL5A0XUoszh4jLR7aVf+J2R312GgT3KOC9k0/ScSIrSw
XdrIyG5uOsLzuUsJk5x0rUyT2PMDIoeh9GhZR6fIJkq2BT7BoZ8uhMn1PFbGndd9Qec09o9ZnFQy
p6k48Qv7cyWMbHoxqymd14VGsqwc5am0Px1wZHsmC10ZoOHeEY9p7s8q0l1qnZ7xxvxVo0F5RaQ7
aVPVyLr3E8maOpRO168alJ82mC84tbgUKLwPcBpI4Vpe4ialtKtUBmo4iQi/bhW/4nbgBXl1n1vO
t7ruz3keH1vxMGOUe6XGp7UffyI9zWTgsFsXnpCveCCtvFq0SXJV2eKWKfQt7gYkOySwdBAepODt
l5TYXyNXXJGCt55pMntR1FhL0fFzHLmfrYRmHhvQvWqiRLZZdD5Q/0vRVVdFbZ0HVSykTpKVbYV/
d431uaD1RRd2t0awBWLWX7UVPSQicqTj9I1XFQGXQ5K7c6LL77zv71BtKVna4hJgumgjPiuraObb
33HhzH0CP6eth0XBcz0jtrrLw+iERW4uUcCPh4g7ssryv2nGvtJU917Wd0u7bmF+4bKUaZDFsjH5
BW6SRx9mpKhoOrNJfowTdlaz/iRn5rGx7EiSkH52dHAcKGXJwS9vMGqNxHHTzaDxUCgrq49mVli7
sqduIZGI7yMDD2nIrEg6oXaknZJbw4q5KNKTHqWVmGuTFWd+0AZXpM7vO/01KU8prLmvqVEy70t0
EgaxkoOxv+RlH37q20qc+nGSypzr7thufCVR3dpeXeJo3tehI5VVfHei1oiLFpcm++SHftTPTRqX
w5fGyVUsnaZztZCBH9t3mU+L2LMCeq/sKJ/buL6DTM8g/d6WXWY7M9E2s8SNohnPxHFftHpmYded
mbZKzlRh83na+HhetPRr3jjRfBhguSUhTOmsNUyGXeUpx6GepdJZ4Iruzi06JvMwvO7C4ZGYTqoy
cGdKlQvU1rM6TvF86LA/z5gbzmI3WCScX3W2LU2hvAG5fyonW4Su40vjhgtmzKlyqaxQP0u6/CZR
9aJoLOMNlj7PC11IqzFndpgFV0ncfYltdgdPFx+Xwr7SUXXTlfUXEYuTitqZF/jtN83s+zynf6WI
J5L4pRclNJVlOQwL1qp7J+xsmQ9p6EGi5Kr1GyGzlrZeHCYXqB2O4W+J16mokKVxvhYWKyQprXlF
4+/9UH4pIn5flOoyqexvlR5yD6X8mhlxxuocSbsMqaRli2VvAstDPv6GuujWJdkFgFdKEQ2tNDH/
kjZNCyuEGs9p3XBeusGMDZY9AzJgkFFcznIDi6mHpccH+J0hOdVB00gVmtuoBitA8BnC/NyvzUXs
JJXHBTcyaVko/SYVkqo0kTV3o5md4mHux2ZlhYNZ5KKMFqYWShYFusp8Yc2bpO5PSIbPhsBfWn16
EcbDF6unROKuf7CaMrrri67zqrY9KbSdybQX8YwH5UObIyWtChVenmZflMvOw6J4UAM3XkBQ+rnL
qhMrI184qVPPLwCNhPuLvo7RzPVdMBvtKU8Lf+az+qSIYHcozIMgrS11msBc02ndOjJBgVWdVQj3
jURJkM1tJvRC+0aLv0mqDb98fc3uxk77kBd9pYLw5cbkn3/81+c8hX+f7t3991+uL1z+95+OV/k6
TNfjD609op+f+vfdvWsP5OdFviO/5vnW5jecnl+++bZH9Nq1cYBe+JUztN0y68nBeJL64QxhSByu
i20RXN/pQCcfGPCnMwTF2OvcA1xB4kLbrvWNEy/OkA2lenjdlg+te3XBzaDgwvxwhggUecGAQHu6
UETiCvweZwivfZ0NX0jAgSw4ccegapDCpWVAl732hcxA86Ks6+4KVrKYN60fFrCxRzz2Yt42n5jl
9GdR12TxHKHYfDW53YAh0V0ptcjKP189vR2u2foM51gbSKHCAVA4PARXJq7rnF5rY2d9EYuwbq5I
meGrIB4yH9ZizkKvg21KyKa166+8KWBHrFLXlF4ZVXEg/UFz24MuhtmjMAZdwxhhPSNJgr8MjuXi
4545/gr3Fu4Wv9aYAP+wpTHc1AsnJ+DWN+jxgUYaKx4Ctr25op0TgCXqhuRLA1WYdGF4nzvgF3U4
minuu3LgrFeyjxE9Tpuqx7Oqyc1j2GmNPdi3nJmG68obadIQNZJXThzMgzwKb+JanKVahHoG7Im4
12F5Hiet082VttilqsImPf71r9qGAS6RRtC/Bu6kBJ/86Ue/cpB5bwWtVST6KjO+uM8DFxNpxwSm
RpHV3U3bVeKu8HHy16+/dj3XXs9FqDiHLoScQsdgCBsIXav16msd1AV2oYPsKnMHfIXjsL7KNGyh
rh/e//qbxhHA+psg0IDWANCzRXB3NM+KzIYNqQrzK7dA9rJs8yo59o3bExkX4RyVdTJ4FPVu7kXU
adP/NGnWk2Lzh8JEgdYENnRGhtYw46+HCl4VBlmqrngZO8s0qp1lnKx1cIZUz1mV57JHAP1xm5Qt
kWWc85VJhD5tRW9fdIxWyKNtlMdexLP0C60KQmeh2/erwmqKGbKGlHuOyO3qxKFsqOWvn96699hY
f742G3BGBO4thf4Km0AhVjuZ4/jWJa79dKkqowOJrdhktqR9nwVnbajib+DxFBfdUIKjktud8ghu
+HfDB9j5+zDgnp1HzUpVlD82ThHys18raTtbIFObwiRal+XAOTaHA7H0ejqxylWoCg29jOyy8AW4
bSIcjjvTUbEwTV17VVeiT03aO7UMw5B7Fc6ONamK48QuiBcnZXpbJE7aSZ60wZ9tlOanvTZGFk5Z
fGE6dmd+mflenUeRkgrixFb6kc6u2sLS16U10HkQYBFJa/Cz1CMNxHcOM8ktiYKboM9oJ5Oal1fG
Lz8bklp0xhoCD1L1BGyDXQ+DRK0bXSSh4371UW2fhczFF0PQNcJrUWin0Mi+V6eWW/WpbHt3mOHW
sWZD1D0UujR3NbJ4KNvU8IWvy/rU9gn5XIa4jY99bmHwrMPY/waHtStwj7LS+rtOeTorCk1O4zwr
TnEpkkfVFODHFTSN75TwOy6b0g7OKr+qvR6ewzG2ibgu27Sb221VLjDuMITR0G408JoWAmSvIaE/
TzWtZnUhrkPfCtAM49ycwFZDWi9DEZOu4clfXYrCc1KJ4s6hxjmuRWSRhWbpsHRZXs01uIPDoll7
xVbXoSXRSftdB0XheAMxqJZZQJpg0Zkoh8XRtvM+aGp3UeV+OEsMTU8y+KiEurwqhwedNlxGOoos
j/stlzx3ukHaJvE9aqwsPa5YPA/sukefWortmdIVSmQEM8ksqGmFPu4o7y5YPAyJ/6luS5OmsldJ
n1WPoR8SMnzVrdXxNJSiAlOeP5A+jQytZG3qGhxIE0NQ0p0JVQ7HjaiNf5pWShUyIkl+h7hFT6Oe
0hpCG5H4EmIh0QFcKQQfme/DfmiSuC3nLG4D5FWJwf51WCLG85O4520467tEmAumDYUZ1fo51q1X
w164YFYY+dcNLB0WeKVbuDDhaKzTRZaoSsikhM3Ln3eNYp7lwyEy8KR9lNlerv009UJRtz6EyzxJ
59oHr2DhZEE6eO7ggMXMSGzXXhpWViIb3Qf6RisrTed5oNzvVt1whWYoJ+ZY2W7tXjmWH/hnGeWG
O5GXdboc+hMNh1SqcF4EIU/nvm6GciEqnalFn7C0P0FAHBSeQ/pEebxz+uS4UqWyPICV/GkV6YBn
cDtBnM7gP2RdJxGyNDzyLPszSlORnlLgKpJ5HBp2O9SG0kVk5QSfh22oeSZ5SEJz7FdNkd3BZkzP
omAg8aIuQIN5bpJgmLu4G4TnRhAMXqZuD1PbgqVSzXyM67OKOk4yC3wa1BAxNgCn4hr8k2yI6LBK
YsiBzFxQIJ3RPg3LU4yUfRIoHgMNFMclnalc+bMBiApHWm1ViJvIb4FBoaqMBpkW0WCdIz+xF7jw
AwfUFbyY4z4c8tNQ4TaYx8IOW7n+nMRCiQymT0BLr2sVsFWmU9bfFfTi6S2pYB2RKzxkalDSbWyL
fu6TltRXrBB9PstEaS6dOoMtKdA8BgGRUnhavgpx9nXASRaelX2adAvdOoM6xyYwn+2IOEun81Nf
uhgm76LOOk7nmg0KlK9xlM4SWsbac1t/rrAqvyZtC55FFETNnXZY+62oQnrS8Dbw524MTKXMXB/G
cZI86hZZ1eCroSuo/UkbB3/GxoJPtMzSrmdwz7t5Q9JInVQdIe1pxgNNrpXFxX2GyvXkjKJSH/NE
h/qm623jeqhsAZsQCJt0lmswuuewg4l76iKY3SlYyWoGB927/BQCJp/cRFUdx7fEzYR92tlRW1+a
zqydz7DvbpzYYt08b1P46jwfhkZ2JDXDMYr5+sevVW/BPoFeRYqvbCeDX1GXDjyqMM7jwRNxA0un
SIDv+JRVHJZ8VYNXEMB7YFMJUGjXJbb7KpO0CIEWC9uqqy9TKyy0VKguu0WHOKLzvinJ2mjAYvLg
F4EB6QRe+8kmS++BLRJnbqOUK93QiWFe9AFbthkFNboq6m+p6ZA+D8DNjYA/yOLozoXd4lhnCF+V
Iii/AkXLShnaoSJnuRuI+twP86CZ9RUvISjnPT0uCDxWD/Gyf4iT2Lnpao3ykxL1Tfxny1IgJVPf
SoEQEGsbosoECE0Gmd65In2oFwVLxZ8WAtoxbYuglNwGM9dXbXircqPPRRpHzswhFQnA7Dk2bEch
EfdVZDXBPCEZLJPB8qk4tbMcl6sUDHJ/BneCwdpo1xZ7HjkWPNGuGZo5bDJteY6rmjDPF4lpYKel
DQLXu4z+rkQjPls9uOlngzAVfjQ66zXQZpg3p6olMFSX4nDw7DZgwWkBsLSeFQOnNwCPbC67nid3
UaNL6XJ9Yqdd45wMLQNwYoT1cFwkcZ5fZqyzLyyD7HwellnanAd9WwC94ug0/AyeiH5EIgMzAqZT
NzIOdQu0Y9u4JewCfXmXBCVWf+F8oG4jB/DA+i+FoZaAwbRfzUNuxcGZ5RfttzBAVuMlXLP4VAmE
P3Xa8ofjqi61mquhhkmqiInoTRcng3OVsiJJZFk0iF3aOLQ7rwfvRs/bsADUWjdTgawGnoLt0DqZ
44521axJiFsdD24Jsz+2u4DPer9HGvgLzco/W6fHn6OwgrkGO524h7me6ptMZBgMLClEtHDTkLWy
q78St25dLOO44V8ckpXtrHUCY1/afuI2t6WvRQWbO8zoeaEooAmBQ99dKGri/IJXRUhvSIcSdup3
OVBCquus4DKurKKdpdoHmwHeWG0uk8QH/SsRBwsdunE4azuETvvShnXfM8aVtP1wTxzJpXqocp1/
N2OS5DVH8q//x5mUnwWxr7JE4KP/rO/ayi09l8C9JmBeMlIg9ZNOgbMVkGeETBWHo6rAzf2bTln3
c4MuBhBXwS0kDpBZP+kUqAMUcHccsC8UMszrqpF/0ykUjtswKCZhMCyczCHkXXQKHfMBHLbBdVUK
ROIQ3uFxaFcy3KuWI/+yEjic0yGJhYdr4Z9bEGycZ1w3sbRQX/9tR+GZ8vuvboAHr+DRA20cPLNa
p+UnLEzSZl5SBKmYoizmXaSiwCMszO+DqmG9By3gIeTKwh4o3kgx2AYLWi3txFcrUyO/WpDMCWeO
bnLwq2A797toEdYqKucm0UR4QME2C8gjCHbWc0tIEfdS+7UQMlYFi2XkdBVsCdV3yw066cSQdnGU
30iwtY8+bO6S9UkoLRqJRdIEgQRnr5dhFZwlNb4uhvxcO+hyGNpPmA4XYQNpImpd2HlyioPwtFP+
4DmsStYmywHPsgGuRtvhRWGzY1RYNxEwp7eF756bIow8FrjATguNLzKdVx6x2njesyiSVWEBMV/W
153R11bcubINbCR7G0j0PG/nEGMy8GiZsQpP0b76HlNzpxJ0B1ebpI7XJCa7scp4uKR2vEjLYhEU
LPwLEn8eB+/AB4f3srGTQNI8/M51EHmQ/wnmJHdlLeqZ6Gl6ZzGnXRRuaSQvBzKrqvQ4K+HnFgkD
BwD4fR9InxnBsH03QeufqCKqJXX0wnRWfsuApBWs9TTqK8j11ZksCFBBCuLqgS4aBhFaXxf2Fy3w
jIeQCan6BMjfJFAyKVKvq4dKDgUvvjp+nUUQgQuFZEYC7em+iv4DJ7QZ87twQyoUWcLRRHdNGAJf
OSK6IhS2KBY6uiIoLBYUnMVl2MNzavs4C58Jhpec980zFfKcs33N+G4Yt//5TPKW/VsXIf/K/v2R
AC/+uBwbwGexHwYQyijsdfclwAEy6ZQDTj/5ZDg6yIEaRhQMJORa4K0fyXW40xzOfsPdaza04AIq
Gt76wSeDQYUcOLRcgxNpcBHuOw3gNoUL6T4oqwefCkIu6PQ2otbcLihF7Yb1daRMceYmwr6ssu7c
zZLSc+rqnqXprIxMfJLlPBlWYa5L61Pd9xDjQt4MwqvkkwiLDFI9/ScT2Ge5TvNFmWgl8QCJDB5j
61gljS3tIlwEcROeQvCNvKDwIfvR6iD0RFNmi5QXSX3XB8VXEfa5tKCYVHKIgCKvAFtz1nTWcOYU
WRf6Xu/26qxO4llPfOvEWNX3QGQDULLIP+5xDuQQjsVpUgfNfQElTOdEsfjSpRlwH+quqGlYzN20
R4sCu2rWVBaa8UZks5wOdJYkikjCBLhLWJzHvDLzMsCeY4hZOF1x5TphIxuai0WTDJ20fAMhVZi1
J1Wrr7DWArLn5deqDS56DBYNEn1Ek0tkB+ftYEJpoqKWsIuUUA8AS7HW9TwDhCG7aZk5fFnw3W9z
9nc/RI2/KJ0ylMAJQbgeanwiqvo2jOmdG6GsPgXTZ5lPCmflCbA6XlaG7KR0ep3dMYNEJcPa542k
3LePKW4byOn6zvfYr9tT1ef1cZ3F8WxIs5s+0lfMLs6yJLwqETl3jbXIdXtmpWyWD+BqlZlEEdh/
VTy2GblVRnx9WjP/vxsPB84f/dp4FCpbjW3Hs9QP2wHnTuEoItTeoPWxF7ARr2wH1OxwSFCB4/SU
cXrlPLlQaw0vuNfRgQI9xsGu/bAdLnTrhG6NUKMLLQnAsrwvF7XF2MIhKijKAQWhDNCGzAN802vG
Nqh4G0XUTa4tXH4NlIGQsk6+4d45TXCayYgNnq7qOXdSiRq+GGhwIfryqnXBP/HbtDxNVZnKGtLH
Fa/JInDQAuX0rlUNmbs8r70m6C+Q8WfMyoGbweZeuaTwEpxchE6ZeI1VnSSxXqasC2SN7UefKO0V
VgqFJU533rnNY1zj0nNjWIhgheesbxyJ+2yYQ5VGMqtSp5tB9GI8/r/ZO7PtSm3t67/K9wKcQSME
XH40u7e3u7JdvmHY1UgIkEAC0Tz9f5KcSirJOWeM3OcuHil7t2itNedvLtAiZGRxaTYoueykWu78
JQxznzXncQ6DFPPLawAtOsdY+VW59ASbosv7WXYps6YGmhEAm4B0L6Pkbk28F1uuDFc5CAbOnQl+
8IAfqQAWwDo/bVtWplF5DNiwWyJVwrTHielP8/PK2c0QyXNXdmeO1wSwotJp6/sPU1XnaN7aopb+
Ten5T+XSDDiHxjbFLdVhRBkLrbt24hQ816ENlior4+4lDrWTUXdhI8tC21fscfBF9wY15XlZyXQe
YnPtgsHsG2+CZNrrt5lhZJb1vu0mmpIxVCmZcCaPQemnvIxvOPOfg94E6VhNV4cSWtT1uOZ+uLJi
TaBWMJ04e0eND4HDv4ZNqfZQbtBW1/VZ0fdhfodotSMdfTdLoPajdve4yS0rdDe16hl9uHxs3Kar
v1Vs/TrN/GENXByPY6eitNY8jt+1J25LfL+P7iDdwzz46urrMrmStjSnJSkzkuBknSJ6GPQiUpe7
VcZJstwGYsWgWKl22kPzfpnklEdVy2+CWX3DHOwfXMWSPtXgOdZ/mqR/j3v/85z7EVP/60m3ea8/
nXQwMH10Q+hqCN3uXvdbl+T+K0gwCG7DHtzGPzdJEHDCGGNgjD20vx90CByAXsFMh9VoJPIp/TtT
IlqxPxloeAS0WhgUgb3jlhHen5tp7dR+tPr82rorKW+4P4Rvs+fy+BhqKdmdwhx4WseevlEOW+WQ
OLKv02l2ps+QXcxzwol6TJIqXGFQjpPaBTIaXkwweiXUvyYqKBe4yirnefYDkc5sJVnj+3Xmz/Qu
juV+ZN51tPSJNcv7xNZ3eDQESskDNTFkd+ru/aatrv4SdWC8KPyAMh8Bk3AqdEqNg/NQW5Mxd3mv
e22zftJTOmLySI0HE3BZ4waSfLxrpEVTI6M4DUdockyDi8QY1LX0gdjwoa2ol9cwAJdyvl1jzfLE
eu+97B+7wH/jsQhSVeppJyXGJuavQIyqBK6XVVUGvvRB0OhiY/Pqt/WuprK5tFqdR16PaV/6cU5M
5IESZDjupi7OurV+sH33qSdrdxPAfAecRrxUx3IGTQBxbyIgizRazWwIZiAHkjUXBCKKNepeA9rb
zHhul4+u/rYavUBsn5siNuOhMQKUZ3vw6iHvokjsFifJCMH4h3q3G9XAMi7wHvSlN2XMxuGhkvgv
Ymcc74l6lrz+GiX1fUx4HnfNFzjfT1Rt7d0gyKUMy2PVOfdV18NWCSOelaAoUzbSC8M4AA+QPHBK
n4BDCqCN0Veq5Hldgoduid20duMmlzKK0s4qkSo2n2XlZYM72ZQouW8qZ059mI3Q0MFf9vJZUNPk
FLzXzpurgnbDo4Q2nzlT2aXcjXekj+ztGDOVRouJh1ST41DT9jneip+ux/vVWpqGAb+V61inveMG
uVjGTzg4P0o7hVA39JiC9t1FOn7BJPEalRA3tPfetJhsYR+iSbUPzhLv+nK9NnUFmdjfJeUdvqzq
ltjx0iT13brQt4omMK7q1dvpuQIQmtQDBJPlPFB87bxQXJSv8rjVeOJO/AIz1Emh+VaZJ+Yyc3S1
q6f6Nuzaa5DoM7j1O2viPh0s/FAWkZ0T9G/EcXIe+p9auD8pVdGps/QKiSdIJR3PTlLumO1Vjjrx
FIvogzrzjabjN79sn0BYHTElXYStvaPLI/QC8PCzUOFzKEX7FfURl9gK3jOemzHvJL3ixdN0mPgr
CFoM9G579Uvvrg/Jrk/qD8cps1glUKh53aRt0N4No4ovMuDnqB3kC6do1Jul8aEwyebsNCOsMo7h
oHQpzaK2fZ/Ksi6Gpbn3TPnaOGrJMEqiuU/IIYnXSyOHm9Grs2Ykn6HVvw8B1O8QDzr596Kr8qZM
jrwbrqZx92AbDgFU7F1VNjdjSEkqSSx3UAMAkMK/Ih5IvpCf4G0G58rT8t7MNarpbL0ZB4S06EGC
NU/gNB1A0b6MrWxSpqCpp30lDEY+d9gDWe1TJpXKu5n4m29zctzKu+W4sGDfV+FVRu0KplPjwxmi
+WXtJXvQntecBRHhfsBbUEyN0xy8yFlA7nlRkDJTMje1dOAY9gLgqT7HQy+d6+0cUdb/lOlfy/RW
1P67lrvd1eKvJXr7nd9KdIhN/lDgIEmA+XHJH5Vc4DkullRC5kXVhcj6u5BBKESKCLwa9g4jSvB7
jQ63OzD9VrxDTA8/yMA/KE6IR/z7559TAt4vgtbPkA6aBqAPeA64rzUq9Z9ppIA3ncdsNNy2NeU7
pZoqn1VL4vV+8WEfYX5IOAD8gnDrclnUtp6K0Bt8r1CBv0ic70sVNOc+rvrlKib0I2EKYyPUmBhm
2o9pG8Jv2nsgeBqUKdJU5p47pbB+DuddybcVBwm5i8Yx0RLoV2fJeQ7DycyZ5/TCvEfroMGIDLSM
jJvNs7aJST3L9V6YLrkBD8CPbNY07aeJfOpVl9VxBVdnVNvlWcP19PrJnjG/Lzs/ruRt1NTjgwem
4MMF3tMdreDswxI97xrjthfIHqpoiCpvhYMTyTqCH6Cqt3UaT8Fyj1uPlkczqummltF06wk75Lrs
vqspNhxqqK/f4wrjVDMQuGC8DP0jD8Xw5E99m+EdDL/Ea5PsLW+mC8NwU6q12jcOCR7i1W2KOYAb
2IzuTODKIi8QDoNzDDCH3GpXi1094swgndd1KRABb0oDL/jAxzQc+tJdcZZ2EFEBqvtvwdqtd3xd
hUxrf/Q/QDOGZ/hg7LjUwrxCnQ1yD0mUO9klLF/jdryOY/0Fb6k89hBHHz1TuU0mXBdZi6lK0jBS
/HZpa5azJaxuw8qYfZI0uhBrEt+ufRUe2l6KLFlanfGALV8InZtLOJXmeWzVuDOJkJlxKv8mCLxm
TSk39Q5TB3qvuaf3Xq2cXdWH5i6ogi6HwK/OuD23PRtTn8qlXYsldlAsw2X+PhHeHOKuZadZVQTP
TUTOTYWG7tRWplGZWuDrDQN6h35BG9ix0duTCd+iOdToV1Y/KU+NdujzmDgvyuX+xXfi7oqnX+6c
uiU3RvlkN2jtXpeVz6cmnsSRVdIWyhnEDTHd8sB1POXWbL5tNc4Fs2sJ2ccYlv8j9MDXgmQDzfS/
n6z/v33/qvRfz9btt36crVsCC1tr/J8mmd/GHyw18TESbcvJ/qgRI2WFdCZSmtuGQYCYcN1+13lw
vxW0ZMByccOkzXX7G0crhKY/jz8gLhMXsGfkgWOGVfdHnUd14VqHS2mubhM81co8+rgEW2Lu67kT
KdJZ/IQKPbUeOYgFuZK2rstdadGFDvNYpm7f9Wg+kZgAyvLgknXNEKvy0L8jdGFW735wewCrCf6W
xLVZNKLzjgnTftrx5lFH8EpWCRvHU/ON07sqbaXosmm1TubMYZlHQySKxvpOqoepv3Vl+4R6FN5E
dpUX4ftDqqiPvqSExuA30Z4Y6LuxVVNGOWfpquUTlzHEX6dFEkabY9+FuzIeWGFq8C4Rab+BinwG
UeakjR8eVOA8OmvtpWVv4JrBPl9D9gFiXKR9OC6Zhpkl9VF4F48FXy1/10E2JOygVMnyyY4gRNdR
4B2p0eo3c537q+mKbhHv0wqdax7013GYTt7QTYhR4QVpi5Nax3eLg/lukYWzXsbBO80kfgsFPSpX
kDRZQjdPovCC+emuamcktCyCPWr2rvXm3TF3LLzYxUcSRCYdGDPHSMN+g2324LOJ3CcO/zL7aPtk
DEykCZqs8ri383vlpyay3i6g0PK6Ug1FU2+RphrZD+3GF7/ix2WsSBpqnotYPsy1geayjh4sUYCt
sYFbgM5/Ligwk4L1g31kgxtkpZe8MGebcqpu37viZOroiSTru+cwuW+XOh2g+wjLk1z5vE7hmfK0
I91hcq2f0aE/4eY1iCzpfp8Ercjq0pPuXUcG+RiXPR5YG+hh6roS/aVSkzr61rnDF/w9UZVKtWDy
xGvvVff2RoOUy52YAP2egm/zNH6zyHLtzDAjHGPi8gB47aPFJZoqPJWsRm3dVdP4GGKGPrexe7JC
fO7W5Lz2sIdDxfdqcnBmw/A1buzuBlZ6qapLzKvG3A5ixeVjnzgrP3oexQcZABcUTvtYrsFWe8eX
PoiOdT+wQxyqE0p+Ax2QtrvYyCNl4SfNXX6yg6RpLdZH/M3p0tvQgh5SqhgY1dkvpJjVQP48DOm7
YA6WzKUlzb2SvBgldGbXcUTxlfJk/HHOZgdDJ18wlzWmQSZpNuqVuSU7SM71naBhkk5Bn89y8Xbx
iPnRR5lmAwecI7zU+ApJm6CTRdmIERNgXeFqHxDmqRRPlaAcOcLx6K6xe+xjfoy8stlTPJe0p8GS
QuAZ0hiAiRHDmqpeHsjQH4RDc6HWASDnACOocTxcaWTIAJJhJiE8yhNm8oF4QAHxHw4J7wRLUjjU
n7xZnEM9nlSw3CZEP9rIjulq2j1atjqVbbkigOndYqT/VKlQYgzjdy0Z72s2Pcc1Ao/t+mpK8Eo1
ggxpq8QzYN8Tmd3DYszTAL8VjZl0Uxf5qzRp5ktt+iJytdq1S2xSX883pQ7ua7mgFZq8IvK7kz/C
Ml7M+J2E5VsFRQdE9S0A8LteRBCprfkoy3BOx3p9bTjkVdLHcQHa7c20ESiYpYTC4HdPiqOxdDqF
PBO+NSD+l/o5GAVUCkJlsMdGab/gCqxqWKl/Svivw1HwP0GXbVHIZazM/7t+VKb7D3PS9us/ajlM
GyiOobfdnCP+deL5qZZjYztK9la3f/VzfsxJGIYS/E6M/4GgULiNUD+KOfkXkjD4NReTVYx0R/x3
ijn+zh+iACECSLg9eQKv10VG2/+T3av9rV+mEbsy6CPGP1fk3zAAzP7/PIkhrPyHx4BUirhMjD+E
OBRCUb80Jj/bQq2n3KRrlhmBoOgo+ZjsME0IvYva+WYOZgrNHWzeHvawKKjTaXT7Qxw++ghNQv5B
zvYm0hHSE5KV/c2oHUDp7QhB74ZSxwW3bsaF5S60gbUwk1uobnK7Q81BLmuHuPt5BqOtFfOLCTcJ
3WtO+sKoSewD2oG3sPQOKQy270Ac56Niel85rPELppVw9rJFDX6UeuXfwX/bXeCBfhGoYa5TJM1C
fMwFDX4qvA55wwJQvxs8Ihdb43zq5/5+mPEsAInvVscDFDzz16ADrzxzjUyf06d1Uh8D2+8thKZp
pB5Mbud25PY5rIOnPjGPul4vTNpnGsJBi2mvgPiQS68J8Pb+wrkAk8PqIzDIKmczPU9ek8ZuG6eW
qb1bzTiSELNd1XLSofu5E2LJmiaiOKj6q66oOCSSX8bZ/eC0XhBjRNialGRN48b7xhvV5EuSFIui
Ih0SeOGMBC3olzncy6Bcz/3SnW3p7Oe2hhhTsX3bhDoH1ZextSv6qbpppzAoyoCg3+Ldfl31sdTV
w2bX7YUMZc6c+qjXTRBFxFuaWReat49KD2ceINvuwIP7AvbUZItmUwZ+dTcDPYTMWBWQaJH/jmWO
FO9x7vqbiUhgBoLjbQXZAjcUPjcT4WNIYFcFMxkPqG5hivCnD8UPhcNdhpueom9kiT7ael72qnG/
ETp+BWEU7zWY9XOQtODheR1W952MMXTPpAozr25TtMfOKamFtzex+6V2+HGlzu3gRZ8G7uwbXiIY
sWhEUONsDBD8aON7K+UuEX4udFkYz8laOtWHqfH38TT4eR/gjQ9ldDCuffFWFJouZFs++22l9ka5
Q5BWej6FjXu34o9aT4Jh5+lKvP3YOUhUeN8cZz4qsl4CoBBJ9DyXbypeTxDZ4l0oYKlF4ad+9VJu
5w8LdXcc4uFM2voCJP+OlcLLAr+maVknnxvmf96W/uR68i4JkSybyLXnh6UlPIOzCX8T7CY02ad4
Np9IbYuZ1XMecnZHbOenboU2r7XVeVD1MYwQv1it99w5/CmO20+oV2jip13Euu+AcU994pyQCllT
I+ipF8m+oc24sbd5oDxEX0YyPJBJnPD6zqFw3wLE7hFVb6o0UZrv/KATty2Z68PstP5naBbRq4lV
pcFILyXU37J+mKGzpPPceAVWLOjUqQae9w64B9FsCv+wwHbwQX9MuCwutoMUMJIVqmODdttkY0e3
KwwLr1TaJ4Mt4r6MP1aK+DIP6bNjfFpYQ2+RiinR83TwX0li8GUOENFfxuaMIR+2ix8+DK4LXKyf
+pzZDlOMJ85WLY9tV0+pmNDwW4TodogCvFL6KPDJ5/2IiHA0G3mKg4belB3Hm712VVpT9UEYWDqK
fD0uOeSKSPjksq7G+7jUe7awi0AMGqnF8r4e1Mc4J5koRR4LDECl4z6WFJ9y0L2ZsQZ1Jw5WDN8j
PV2bcBU7VqLLDqbmsy/GHafR2xY9GGOD4cyDUY9sQweXWcapiJaLKcN8gccsYF+J3v/a0mHed32Y
C2k/26Dco1Pr0rUa38yADQwaH3M97fwyevGkeUZY4SX0VIutDOJxbpaLTKbD0Hu4wCfxwvhyrCZc
ovN8Y8t2z9oSGEpDH4ZhvYaGfp55eKuQtIiJfZlWnXkTuuRotTvEYXBYuDrDp4FYfv0GPQcMtqB7
6MthOjd9hSx+dWRm5gUPJBKDIX0Ev4d3sPFqiNfRU2+r0xDQIYNwBP+On/tSgQKt5F1VrcNBCfYS
Ln2UIoh1CNugwHGTO+N8E0i8+pZHl3iMDsi5YoILPyedzUtE6Lq4vgLYOECUQdNdYqODX787sZPD
4Dggvzihnyzf3aE+4b3Oq3WWKTKsJ0Sa7k3n4mkSc0I65qBD+la6EPuWBvkn+4geNY/jcN0Z9P5p
W/E7l8zfSxesIlT7N5fAlPPX6iYJm32P5ForhzWvpTpYGCGHOGmXi+fB8fH9y6irN1qqs6vhQfq+
GnaydTG2EDLduT6Efjh+QVHH+lW6HKkuN766yaSwQqPvz8aLWDbwud1hz8yXCrN03iPQ/jp1FN8X
RFCKxe3KNCBV83Ueqij3A/Dj+bT4NwjzlN9/klj+gxwMV/inNmdrQRJYteDaIAQnMTKxf1QsvDr0
2laWzq0Qn2j9XCcfJPy7gOWfHmLrtH5Kvy74FtN6xEO4Pcbb6Dp211nc/e+XsQkrv2vaP14G7tKJ
3jCgyJH/8TF8rI5pp6RiVxdoRhxd1+Eyz0+wuP73w8Bd/8vDIHsBASqgCIi6kPZ/filILS9BVFt2
HSFO9oKjMcR12H8ayd1kPRjIGtbQr3nPf7Av93/6LKiww3+ivn4yWkCM4i6N213d3G1BF9iF31kI
7BnYNDhsLY+CX0aBH0YL7lMBHRDlGbvtN8Vvo+l/DBAJdmKHG+aJ3SW/2jN/Rw3EwoKfvy2/rGPa
blqDOQa6JCHb8/v522K72SBFyIOrmYkLncAep4X0uScCrDah/Q52CjYfDctL5IOoNIx80UF8GTCm
5uEWFIKZS/aD5udhwh4R6cobR6BCxms35rOxt7BATE4SDfVbjR9LIj/zihVIrz3UROzlMpz8wH/o
O8iFokcRTzrfANf0L7KFUcKc6JOpE5U1STsgwlN+Qpl7CZFPhHSzzhmd22vIgqs30SLp1SnCEps6
XIPjakudjbWPPovPe+wyKPy4+w5q9WGcWHjCMLLHko2PuFrSxKxYf9OiNfdbP0UHVaeUtDIPujJz
Z3BrUcefJ298q2dLMl7zAxbmgBY32DPV8kDDsh5kVnXBbd32p6YmQToB3u8t91KA5hBfmvhawQfP
JtZfRWi709wOyN1UEBCjFsWoBryfJS4rbw1Vbg71aoVvRNbvsW/rW0uiL2uFN7crW37vI9WTcqO/
cZChNwJUf5g40BP8btlzaeKrqTC0RNGET23kJNVwc7K6RTMOhYynUHfovrIg7KhGKIrMEbt3GdbS
rJ1gac9gUbUyAHY/oRRUbcAKd2nEIQhAWzhV5e8F39L5K7LmdEYWDIoJImWlh8Z6AfhFTLUjqAw7
MgVNodvB3w/YVFXIQFxAt57XQVxr6R2Hha151cbfMY5RNCAtKRxTBfkyLqLwymjZ1yOWerkCy6t6
4i3AaftkPwgK7G7W4z7xkchqmUbcHlnGB8BhMZroEJkPzxUH1y3L3NomSE0QOPcN1oyn7YpX2s+U
phV16S5m2NQjlgkbkxTrCgcJSUSe6uoUQn3bM58/Lb65G0dXFqAXllQN3YdqDPJ+nKIWY4nPqUug
6jAkTlCat7eo8uXbZELxSSIOmhqeyMMyYoWGP4PWaErpXcMYAjXv1hKwD5ZfBdoZD/EEhI1PBHp6
NFZf67aKgOhGZWFZ6xzcQezGsCnKUkKwQzAsbROJ/hNzXAp9c0QAZYpz3bVNRq2g96s334t5RLih
rQvjC68CedTcIlA+HJA5/D7I9QOoCd8NHRaaNfDJbirkxzLM8Xmje3qky1ReqBPZfVxK8uA743OV
qMHJ3WGcyz33Z5AF1dh9mfCsotWpkcDE3i0T837vVMuT50zebuaMZq5NTrJFXz1N2JiW2BEQtwEF
gBUEQDFYUUnpnDDhH6og+GShFGbAx5/aXpwiIe+myGSOE92Y8K2M/POoqH2Fwv5toiiawEJSCWow
j6dxuowIDx+SZBAYrwBostq9+Hg03vGzteR7j6xt5q3NjTuh/bEYq9YYlFQl1hjtb/vVIF2SIl59
RN28R7boMoYVKCdug1y2sdrXFZiY2fIwnxc1p7aCsKrxz6UBvBqZINwtCz5CtNTX0WGPDYY2V42f
O4LjIYZvnEe1PleT9z7XlMKDCBDNN4rtPJh/XhVgvwTRhRVoy6PVayHX2hsTTy8jhQMQOeQOi87i
VLWRPCJ3hX85uAKiYmOzbgBuJdwDYnkys6TciU0VqJJhSQWi15ArknyY9TdTIlMU2ipHMp5+BjXe
hoWS8430hy+KQNMZw1ek8cJj1WKznV4/wMEgKa/mA150s+M+0v2YQvKGRrdc4JRJlANJFJunEkel
VnkHp6eHBROR8CvsW6imeywIvDS+gSlQNR9DnBwiGdx6rNs7pN8zJOTxmWJRn4efw3cOYxrN+fjd
VNEdVm4MBQaq44BBtRijJnNIfY9Us4NaMGZNAJVjaO7bxMm9ij81WNPCqTxEI7b7jW311FRDhkip
hkxgIqx8Wg9ITF2qJotd2NYm8TEiu9+Q2FlS1DFnwfDvmxgWS91kjMoHt9K6+KUf+6c32gj2/+6U
Yj3Tu8XdNM1/MEvxiz8E1s0s3XaWIgATAIQCxP57f4Q14kmIXhl394EvStFV/RBY43+F282bXKxA
wQaXP1Dx0b8A18MqBWO/rXXC/su/0x9t2u9P3TT6oxg7NHGLAooIj4/bcf9JYpUsRiGxsbq6iH4d
OvQNnAHK1sF0HiO7IPbhm8s8Ymtf4K7Q6+fxTgqCEinbD41lfrlxzAF+RFgkgV4yNtEAWyB5n6E4
Y2OaM/k5H2IHETa6IoA4t3c9S154iDHY6iDIoKqckcO/6JAcgJ+h5Dp8D+HupQQEmK19fLPqBTy1
qi0Gz+HEWgEBjQBgjStsaCTRDYaETyxEVGWo4vtkiupc6gourX73Q6yei0P2bNuwSyesxUFgMbJZ
bdcbKqOXuYRy5wXBa9KoFzrbc1J7lylqnpywvRniqcNyNf5J6hKHjYcVH+W0bX17ADC685jz2a/m
jPVsB0M4QnSgu2BP4qsf09uAA5bk4by3M8wafCneB6iwqZy3WGM0FBVdOeiLpskDjZV9S9kvBbjZ
sbDWLhu9d9XTjP0ELDgojmWZcPhupwaWEFsnbx/Ww07QHsalFVlYezJz/PUuKOkXaNJP9bjsphgH
bcDk3UzobuHtscK6gBQC0x0do0+8L1nRkeWVVqD4qynscnTx4PJkBdS3Wkwu/Qgt73qvZxntPN6c
Zq/5xtcWcfPB/wTC0kM83i8zqpKrsJF/25TRYY7ZY39L+JHCLcZqmTNdBFKNsBOrCDQs6REFH1ZR
DMFgEQ2PXzlFtwMm1E8bVe0RwQAy06ovdURVLgaA8H7v7ZoYQW8XDfWwHCpI8MgiiA+tg29Y3/8N
HTk7sJ7cbiH52fYMi41sW4ilIc9BiHV2WLKEslNWmZL9qQ3psQk9bJ7gOx0zWI1YSlIs8+xnPqPL
Pv4F2ZfhOBST3YjY6Wuy1pPOQhfBLhe+7doTAwm8PxGn97Me3m5CN7/QL8ECxBGYYBIf/M0OVnp+
h0b2VLkKsEpbuFuIDF9dfI+SFxXYIOObsYzWry+qhM1FHY0IqSESjlIOK3poMC8EYfOQWKz98kss
L4RvLRN6Ka3x0naztBsmcF1EzVjEQBB2wWZ9U1zpO6wMbTIXufvzAoe8hFMebJb5AO883kz0bcXT
sTN4LXyYwN6ucEARn922qF6VwpUiNkMeybO7Eg49b1037zbTnsK9byR9G+DmG3VfEdKlGkY/FFMo
3FTdzmUzYePndEp89ZWYBm40MIGWtF0R1abOndmp826jCaZwYyh66Md8dfYwe8X65m/4gb4IcYT/
UVRYypn1Jb4Gti3fl41b8Jf+ptxIBgmkYe7IQXpgbhfADg6rv9UjLhlfKny3AUSYBHmdjZBIsMUJ
ywOaJyxT+p5sGAV8CPSmG1mhJCsIdkilTgfb1rJeXhx/Dm88MBnYqtnfzhaSItYHiSJK1jKfN4hj
LEsFQB1gB5/sjdV1DOAA0EeTVI9c49scEuYddSN4QUp84lhZgsVfy3qvyo4iZhigd24tUtmgS4Je
j+jwcWHxtS+xUBMQCrJu5c4ug8hVP5ADx+e1ISs1Nvwg1NLftyQ4N6Ba3NJ9KjfT1PPtqdxs1GBd
5ypFjFmLazd7+rVOQjMV1EgqMjOK8zhahOMGG7Q+eIBSIipZmc9xwji5/NMTuC7oqRC00X/vCZ6+
8ff2/a8NwfZbvzUE3r+wChGlZ1sL8CsI9ZvjGuAu2YjPbesXkS7Z8NN/NwQQTEjoIyCH2w2Bag23
4Ovvggn0Fehgv6w2xGT0txzX8K8RW2gkobc9FvIoEGfQlfwsmGDhdOA2eBpXm/Da5NBJUF3dg9jG
mRFzjTeg+ofOVqgwhcz/x96ZLTdupFn4VeYFMIE1AdwS4C6R1L7cICSVhH1PrE8/H8rtdlW13RO+
94UjHC6rJJFg5r+c852l+SmXNkijH5IWsKEKneEmTKZ7RynrbZdAPC00+u5ScDTTWYXfe6z5e78l
RNkpvkEX1jrcrDzjw1Y0IriKzEnsk9H2Ra0bEAz65trCSLCyaF03o629y6D9UsGs7qqhODXfO0FR
tuk6pjuc6BLtpV2sl8YxTGkh1axgYOAIGpClwQw7F22SW7mrnJ/KGdNNEnYKUnEa02RpUR16Va3Q
x85vFxCwLJJ+J5B2r8KlvZUGaJ50aXkDHSvMuLTBcmmIbQ21bcW3n+OsWDU2Hdnk4oibmfsuBXnt
u8ZwDW71nJTRYSz0nWz49MtCp0Qw6qMI0WWWsgftGCS3pdV6LFGOvaIy6BCgwjkqpu0c4d1vumbt
dHXkNZEI1qqjPFRzewcObAfCB6dPPV+aIZ18isgno7Y/yqY81eyHmD1FB5buF0sG92HPwTUM0FVS
96upcKh17jVnBrRn6I8ebhsblkz5nAzZQRTxy5hIVp2u8jWGTuR10t1gln61CvezKmyIU6B7vKSQ
DvYFXhYGFBXXSBhdxVArVimmwVcO6IszJY+pakOVy2ERZgWwScVxh3VeFgB22vZJ9JxKYvRK6st1
GsYdhsY4QlJTP5aGC05BzViOOCL0wbbdl8sQINO5U+MeBVYxa70nsB94odldqhags4rzc93M3YdZ
yecePwxoanMTGNq3KkhhV4yRPBTYBQMFsiY7lX4jRiOg+ESCl/K4bjsVoq4amHmDr5O1SWUaewWg
xTZ0UHIZTskHoXS+pkT4Ztq+G9UAmQ3y21pLuPY60X4NRSX4aafc47NfeeCPsg1EXtS4gQsTyHW9
OuYzAlQGG04ZzSC/wKVDlgO912/Dnk1n5Ixnow92ulVcorE4i9TZK0oM32aP6z0Yrl3+ztaUdxU9
picm+5Lm4sl2cyZSmHsGI5n8IBm3qaZBp4o/20I+21mk+uUo4a0nFcxs22280pUu3u9iU6bVNUP9
bavkD23YofAKr2QOYFvTWw+g0kXP+h2873RlDy5P+zie80yfDyCuXqIWrbLAaS/Uwd4ntX2lu/kJ
0z6iawPxFEQsr0xT5MhCsriMNAdSthbvuyS+0rv4Ssurl0wbqTiHtlshvXowbeupa9ozdixzC9fK
9UdmfVhQIGk3BUMBiBzsvTq5DZlugr5gfAo2+XYQwdMc8PPVVYf8jonELPm6EL4YgrDMr5J0H8zN
Zw01a63PS9Hi4qwMS3SfE5MFl5fV62X0RBV2I4dldhh30zLRMP20b8QurdUvht1HM46vYkiPrO1y
g8e69tU8fpmFcR+go/aaoIQUL1FlspO/RfTyolHpr0KjuNEVxpfa7HwJt9vKZatbwyaD0d7fNFG3
DQr9vo/aa7VXwpVdOQeorOxH7fwmqwt/tGPlEA3ZQ2zJgjHWeBCTw3Qtm1Zy1C0vqTOGZwVck8yE
1jKr0TWrbQWLfTn6SpN9hXNwX1c4gidNZ6EaI4QYo+RbU1nnsESspjrD7LOP0b1CmOpxCJV5J51q
Yw/M+OYax4JhDGtg4FgA3PBuNOJ1p7PfxxLsunm/MavmADyHDAGNBqyu82lrDIJZhygRrubTc94s
kkP1rW7HeDvqUYclqD+JLn/Qrf5qRmQLdwRBRW9ukEEyPXGOcdXsEmDTu5mHCHGtiCm71O1kax+z
Vl1bIWf26GKhpgqrteZTJjFAtfptHsO1HfPpbCcc1Ib2UiLQQAKR0mOxGE/VnS05TfE5m4u9lo0/
J3e1suPM8a20yFjY2/dVF1/PpvWZSg7K2BCLtm1RRUzo29hdasYA3qZ1z407h1vdHB4znlskK4Du
7aGJYFbSDrvNTWNBDhf2jBJmCt+4O5t1GUfMPGFKrJFkibOD9H6r0Opsm7Z5jlPtziq6zCtn90Gz
5UuSRqDcOBdWreTRyOwKle+obWbdeTcCZ9w2boMQtnxvEpQ5hVN+a4M5Y7+s9X4RGfMJCJvlB1V9
4c5Dn8KfAQg7Spf5IT41z6iUcu3m3TcmbGiN7fqbERXnJMFnFiBMpJIMrjWUBysznKKNW7o9Ih9p
0sF26CkkJxh16SlCXQH3My4YnZWbsgt3E6yItc05qSASHJTibirnCGFT8kpCxQeMIo8OOt9iJ9tS
R/AeBP2dZlWaV/e1fZgVe19JJs0c4nStlEZof+fJE4rWnt3ZxCiRf6VqWnpOPpxHm9AHPKVXKux1
z5XVl6NQ9sMzeRlKRVsrdc4aphBvacTGvWIHrLLavsG3ec1pDpvv2uyjbRSbFsEQHR5alt5ufSqz
rIzEqolVAEVJXPeY9DW3jv6po/8lYWTj99d19CJhvH6Tn38mXuQL/11Ks2B0NOpVsSgOvzO5/l1K
AzLXNSg1tmuY6HeYyP0+WyPUUSWexRGWUBl//YjrwojNxlJXf5/J/a3Z2n+IF8GnU0ZDDLOp5vXF
QfFjId12Q1fn7BvOanlpQnM9ka7xw4ty+W21/qON7JdNOF4OxI/MyS1+wyXXZpnt/bDUF8y6jA4L
17k1EwQlj4p6dq2b1txpAavwU6v9Nun9S7Gk/guAzPmP77j8RD98R310mhh1BPwd0kfQj4WUChOu
HUIzwrK9GZrSQehtVSeREiPRio1IpnpdB2NgrWUu0d7wUXsddVffCwM4zVRXpq+1qJINJ7qyyuyx
cDCSV41KMEj65Y7KczETxqPpJhRdDtAkZMiITNlikRk56wblBnuyONyZqdi2gFs3FqzmTYg4cxtM
I3tLqDwUWAjCipm9LcyNO2XArt3Ft0w+j7RaWI3j/kqpA94lUMs5GIoVFZRvTlyJYrgJlqlGoDCL
K7VLT44EbdO+UDsETkl4LMly6QzloVFQA/XFaz8bl9GOAI3OLb1Su42luTW5tKMYtXQkymGDiLTd
Ava8Ljt7vrO/E3Ca7zSccgHjCAg5CcvEXf2dmjNXJv+hy5uxPGeheSWRsZ6KfGa52SKOQWtav+PD
vhJiuFbMnCFkvB/TAURccFLU9DTN4knLXBauysJig3ja6PEHkQLfqJGt9WCZ18xSDuA76QKqKxkM
666b9pMRX1Qie4oAfc84XQ1AEDsHurGcc2ZZ1nBse/Wp7nSEjmXIUnV+sDLWrlzo6SnuikuRym3n
DKd0Tg9qmVIWVcjQU4mXvx6dYgWrjlwOBOdtYj/UcmoYFqvhRs+rbt91g9xmgd7eLP7GK5zZTHQc
/Zjl31xlOJuRc9t2jbZiNikhljQbrcoPQRZfukK5G3pSTBTelnJx0GOhw778zY66eaWJ5Ab3yNrt
crhLI5Y9nYKdtRhOZ0qCir5hMLdD029UM/AlUqBcozwuyzu8/Jc8qGtvYOe/Ao/c345TdCsCJj1s
NiEdP5tp4Y221dxXqmJ4Sdx8FWBO8sCl2ilIP+IaIpYAaWb/qQ7hseiEz/iPCa7t7kHLCs+gcBLA
V7QgvERxf21ayQ6I63ZUrXVmQ9sdA0x5JZqqHh+SBMCnnNgh+Pqg7DkobiYnZMgbqy3rU3hMrvFo
Ni0JUEru1WkxrAorm3Ype02GU8WmikNgcZNySNv5vl0aFvgsp7gp4YqqfpKgpOmCxPU6R39zu+QN
xMB1WWfMsxIIrEPb0P+3Q+5ZQe/svh9r/yyUVK6Iv770YCl07Z8Mj5av+veNpy3Ke1VjggTHf5n1
/LFNIsWSAxrmCJ6376S1f994aPw1PtDQKV0LZf6Si/b78Aj8EjIqSA5gWRdf3t8KP+NW4/z/QwLG
TWQz0nAWdCY/Asr9X4ZHFNEhrOLAPKegA0noEmWOUTYyZHCGg2vkOeoZRd85wbL47KK7yQxNdKJm
xc6hU3n0KeSJJUjXnStNv7VydacOKYvw0UDu0pdv2jSHHhvsN5rz0c8NciuaVnAwhGCIg+SS1MBf
w0Cuq7w1V+A74rUzzSzhXWQ64JUCGsO0p+gEgRk1tH+RkMcOM+5Ks+OnXhM3sVFsRYaZlvao6Odt
XEOK6tWcsyspb2YcN6Uo90zPyYPKStjalN6eCxKX9fz85ibNjRCES3XMxLDa6BddlSAMzLncQJ0u
fD3ISoDv9ZcRhG9dAs0pV2yoCZ9sfJCoWvW6V4zQz/LietTNp6oIMWWxiuK0B/PPWo4uq0LdaJRs
6WaHfl3rx6Mxx8lab+bPzglggvRHzR22mg3urSq3rYHSl5ObIVmPNIFQqqY3PiW74nTAWQTyAenT
VcEueab2hnAVAG0gLKhn3+wsi+csq3Y4kNdjmdxnbKalLG64oo8RG2swt8CSrfym5y3tlqW2OsZN
sZVkWW0cUR00K38v2giDnh1cIZq4Al1eeNBEC4FgWG9utBFBzWvSIOlet0YZFjfKLKdqm2sssUM1
VZ8hzKEWFX36oVsG6guukFjvPtw22lAXIf12+OO4Gz45UFsvQVuKtHvcySk6mUXgrFk7TptaRl+D
wuY8caYX7Pn3ch5vtF57NZqKC2p+IWDN9QSGk7Udmt9ifTwMaji9ZhFwHAYXOA9IYnMWfIel4vay
mhu4zju7cZSrzq7vp5hfCywgVoLQOQcjoBewTLinLL+LJAqFVLhrKSZ1N9tfWlKaUMrlYy9BVOeV
qZMEpp/S0DW2lhKTgECWRKUx2SDMxVPK6CMkp4oGZJo3mKIpECZaS6V9iYdyV/Kx8YoFNAMyHgFK
O2OqA/WF2Z75rAlho1EuU6A8N1I9iMrQEDIkD1YQhQDndRtTJZY2Eix0B0CZndqekOWhYAy4isDh
d7VjUbekX20kz1VuvvUtCpoMO106JSdHV4/VUsmxCzwWsPtXumH06H8ZNEZxtEpkP2zrES6zjNh8
6G72VqTOC039GjPGHtDsi5Ea1d2sEJGlLK0sntUHW4nuRrpkBLvPdWTG+ypy9/NYH4PQqY5B2T4L
xDrwl+4UIfaR4ZwVF76BKj4rcz7lebPD1d55s5gIr9KKzif64rbvEbtACw+7eNskkbtOR6ZCfHrE
a9u3+wgZ+W3g9BFpFdkGQdlRSObJ/1xt3/ciqvXfr7ZCNm8E2Lfyzy44vvaHC84ygCWjiUDIDejz
pwsOvihgrT80o7+3dLCZF/Wpa0H4Y0Xz4wVHt8c0m5hvlhp//4Jb5LG/XHAuJjGXv5NVKpDUX5o6
N7dnt8C7es76GKyV19SleshGzTwUKDcTLxH5w5QQd2mPypVTUFQnVs59wywhKhRuOJncj6E8ps54
16vj1RTgw64iUMJQyZl0xDOpHfJxyKeTnRt7KxasKgNMHQv3bmS2V3XCG4ERxjNdSY5gjyvXZRjo
Mu0xjC+DIpDqbOFgxunkgTDX102KlWt2zE2XJA4nL3onjs6XSTB9aTNzWiOpyn21qe7xFjHM6RQd
XUHI+GdWvYkgRjMET9UUwVMG5kLqIKKbtvWteHgXuHSSoM599kwfGENjrxfxs6jHlsGW2Bsj5qKa
dQo5GM8iNLeOXc1eMBjEDDbKymjznS56y2ekt2tHptiT2TNi78f3qQzecznSOzPqRPHwEqtu7OVm
uk3TcY/OsAAgxeKi6dFoOWH1LVSZA49a8VyVwI04kQyf7dCnCPT51KbTW1xZwZHCgSAei3YVBd9a
KRztVkfm6oMdiQhT5NAquTy2w5AeNavuWY2iUUEq1pDQl/TebNqMIQO73GSToXoZqS5rJ2JDG7oz
xEG9aK8n1Rn9lEN7g7+n8oNMmTyJAnrVtGmEwpSomUmNyWBU2/iIOiDbsvmQdww650cYAZFfqsQz
pDCQrnFQQ6Ec0vSlbHDzossTz2gJ8tu20epLJPR472jNeFW7Aa3blJUHXbBPXimmmVwFLByW9BCa
toaQ1xVNW/A+OrHi+KT41PtCV2+YoeMJjIbqQZ144beBo4tXJXHDL9NBVZAvrNcB4xEmCsebcp1U
Ntr+Vb+wYdsmPmrAYiUn7Ag8tgYi2wKTJULF9ZS6OzULZzZYiLO2Ci+rWyi09sKjNQHTmguhtqaP
TL4zaxmeEzvDRm3h2RYL2VYsjNvZTDW/1ODe2gsBt/wOw6V/t3+j48LJLRdiLkra/tElvGYvqLCB
cUHWxXcHzRPY7rhQd8k28ceFw/vPYf7bYY5I/q/7FP8z+58Tj/wnp/b3AOk/CPyI0f44yY3/5UOP
hG3xCQto0j+c5CYaf9KWaWD+BXb9vVVZoglB21iqWIK/1O8DqH+1KiZ7cwesBye5+Pssfa6Yn85x
EwgsSxkT1y8DQvPX4ZwMIPpkcwGHBx2omsZXdph6Rj+tf3hlLv85odO/dzx/dET8Jjq3BVcWKj8s
Ptav+jryqFJk0elwsSzKMdYcjrm25g5iDvkQpR6yshpsxJ6yPLtTd1Wn1YOtN6S1QHPwBly967TR
0mPfWC5mQ5doton8WsWqGLUMzfPQVpWHzZKKfdHzR212V/ENoclnl1Jl5g4BihyNWq99hxQTz0CK
jlbcOdb56Lk4GbxCawGlWQINfFpsAtFvdNOSfgcW1m/TkXrSfFIc+9o1O8ZHmvEcmaB+ULbdoay5
VfLxpCjWScYqOaADszYY73vyTUhwzUPOEO2Bmi0jMLjvfX2pCLte3ljKvBnM7sl1mk89tF/DfMK6
xiI87WzajSm+WE1wFESAbGwbpp8bNNs2aniHmuahFOEudohjzqLoCN7rvRiidNPn0BNFj8UvK8cK
h9siSkfhs9Hk/Iq9ajm9k7PpcDAv00OlMvwaw11naw9NG16XIyOhUiOou+62VBM7JGXw/Dhv+UGN
mE0hMVWRbt0pU5V5uawdol1fXYm0yxh99vAcjp0JrApVs0O/zfuXbBF1fTkTIjtVWNdK31HvFhgv
arpGzZ5O+kCAzkSbOrDQ36RadiGvJtmwTdvOuXkdhsgNpGZu3Z7XNhpSCmRh9X5Vu6+UIDssKrds
zFnxz+1jLCB5hGSXrAyZ3bVDt9estPcbQ/1QCTlfhcP0mMWxtR2N+ayPoDjaKOmJWWm+aZn+Tcfl
66Wjtiszd29DcaY1HLY4VG5yguhGuxRXtjETRJ0VH3NSPUd2G2EPLu9pysiyrW18wp2xxZbh6Uaw
QYBOigqPGHgQc4jW2hjVb0WCfX0zO4qcPEsQAaGpYxozA9YbcnvMgV0mi/qN5gyL2hwncZZZsCkm
ttXLmM00vg2qu48tbdPP6OtwjVb9Y2oZiyZ+0FjVWfHSa+G99tNE3xsIxDTsJXJRDzr1G6OFWy1V
PqENwI2kXSh5GnFB9NRjrfRGd/DLAZaiklv4OYb+ymno1BUqLCtmtNe3fYzCPxxeRGK3uImr6zBW
A6+tRsYZS2xRe8Uq2e9luxsG+UwqH7Myl3T3RCXdqbxOBR9Zo0gvNDjHTFH2c4Z9BXVERCrzhNGo
j7+Jgay9ZMAEOXbabSTFdizlZ8rQgTwGPAGieh6aNcCgfWQ2BEopu0nYbyOO49maUs/O4IxO2Wtm
3vVDizujO1TMZjOFprcg3GKDkg8aIyNT0gMHEIu9zjRYi2ie56rfGnYiN6qGPyjszdeFXirHcvAD
pWlW5lBtO604TyWQ2DLBJzKZj1JCKSMnw6zvl/IodLAu71gGYJ/8f47Rn5lOyynKdWHSlaOSZvzF
mOqnvUPbtsw0JzFdhsmzV+Y2OIx35fU+kSvlrXiq1mAKvGAVHGmMOx92wv6/f//FJPbzIc63d23u
HcxaFhuXn799E3RWr4huvvT2WxXsXVXiBH5VMAT//e/Douj7Dopd+q/WRldyZ8XER120+Iro1lWW
fbrhHvL+//N9fr79fns5eT25AzW2BcjNfv59aqSrVqdF6kVYx0acK3Ygkfn0338X88/esx9/mV++
SRepaquD2r70m/YRCtG636nfHGblq/IarF+4uoWmsMo3+u7h5PjZ6tRfx5vHdh2sb5LDsNpR3F9J
n//RLzf8s3787z+fvvhEf31TAYvgTURO55Ke/POLkBGByYRJ1S7sf0/BjbpWr7Wn8EBqJCJPf1od
XrTt6J3qzbCzLC8/MnO7wZ+0AY/uff9R/hl4Wzx4f11IvpTZnyx4l6/5cRqArpGBMhwY17TY4v6w
4EVFSbMP5VO1+dc/FrzLTJtlqA2hBjscXduP427IjKqA+OKynLV48P+GeYK93k+P0DLudlR8HWjo
DFt3KE1/foTYZSVFpifjuZIYeCpH+nbQ3BO3GnmJPkmfB6y8j3stO+tEeN61XUDyuqp1u24ONE/r
UCC5ZSCxABongyoS3Tdl2WQnnwZkBU8CYjxGdf/udgMkpals12mdjRc3DCn68sL23C4o700sVY3a
2cgIXb+Po/LMNLxeDWQC3mqhDY+bYw1SIi7GVtMeiLHMdllmdNuEaSMHwd6YnPuw7prNSMoiRVQV
nzNclh4b91dFFcPOHZzHYtbjh9ocSoDiU7GRMxkESlrAC+UlOMcag+dRle6uRkJ+Dgem35JMzN1Q
2S5SdYPYogKRdRjazyXrJgJWsNUtPqoORSNOq5fBwnknsaO6NPDIuhjKdia6+FBd62F/IGINEIXz
yKt5DZoOOYosF1QeeQJFGr1avfk2CghTkNOewjp9aqwiW1dRyOo2jO8kanQGKQrTlEJjwBmGu3SG
KKCI/NMIo2xFRXQQLEZR8CAUda0k2UjFCjdRMOD6teYX3mhgOqK6K5XgZGbTuzPHOwOUBr+J8S2Y
2ovSFv0VrXKDnXhW6Yidk0EOIeqV+WSVvKWyGv16GpDlGe+60TzR23+Qn4f2LkLfnY1nQUA6Ai9N
rrSQNR7emT3iAoux79j6Q+hisHSkp+cmUlRxRcnqrEvbCFaWFr1U4XyD//mI1I46cSSjkwBVpkqo
vDzhYBI8G5OaGO8waqxpby+jTTsKjwo0HdYKGnR02Dg4AmzrUwEQGneOSebTtBEzxU3gJhbyswxw
HGJW26K04Za/Ij8I3XuPKyNQtcgPLSfeTlYKfERz0NzM+m1jgXnrnYaBf5h+1HoFvj2Kp3WcM1Yo
Cfgi952WIZ15keM22CsT0ZIhphZQIY7tqTypRljdZkUx8mQTjelAoV1YSPdFFLSrwKTGw+u3Amg9
oKkSOfuVgUpfJcpyCj6nSd8x8rDwTFv3jQyQnxbEZ6SGR595YoWT7UGSCAjuLJ9sQv1IOzbPtpzQ
9DqN9CothujTUE6Rp+gF0rpSYxYwbjG5nqpYhybr4oM2lcfazLR9Xca8S9LFxffckpmrDOFmmFnC
AHLdyhrzpufmNDIUrisEU75TZ+9RZjEpqvio8zGpKhtcep6/VlF7GO2h2qcKrpIs1rQzY5ploqVE
t6iNwgM4bPg4TnDqawZgRK2t9Yk4QpD4POc9+segGm8mjRk+Eov0UAPNZ0ClBzu1liZc+dLcTmHg
+qpSt/uqLo5hpNrkHnbGoRXhDOSGJCSzrAFW1dWNUBCSzel0YEP/XCm5cdETzE+cfulegQSLa7w6
KMbirSBdVSTVS20n4RcbK9+N+Bjf2EnyOSezZLzjGqhN/7k/fxvEcHX99f25zv7HLxt4rX8yiOEL
f79EQbwtngGVfTGd588jdY1QQy5RTDACHtQCZf19pO5iRUBV5QrdXMYwy6b5j50x9bjJVB0CJ+a1
v+dABBv76yXq8PdQ2avoLW0m/L/UYXUYjJai9fBazfJxWICNPeRGhdHRyk7a5kLAOVhHms1nC/22
BxoGwbytoNHPkfi2Sl8c5hCyQjrT4yDSfsJqZPsNaz4+vzpqSBMYQb5EETNUWFA7XYkiySVXogVE
mUCkJMKZi2F0Isbr9oMLtZKurODog0RqQ7SkoA53DYxLGY9PwcCmqk+qu6aMQKkosbvT1PCjgJA5
GuoRp/0JtDETzwWiCTxa20yWRsY5hM2Mc2BakJsIOI+41F4CqR+kqFoiors7Fc3uJkT043UDShnw
A++C0f1OLljPhjhqFJbjpyjFJ8KzxMeAjzkBGqg7Gs+FXhaHqssAiUEM1fvoJloQovyYH26BANzC
q230tqcgQCofR7aHa0p3pOCk3VhE2+Cn3oQlvuMAR9Vs5Z8CENW4xOCUWbU1CcYBu4SUOg13zOHR
xfQW0njQzn4SK2LdKePZjgYAYKH+GBO6A1EJf5eulQAEHKSnFdk8HBbbrB/AastXGNqwwg3kUQCb
zvOS7OOo06OTYfe/jC3D5EqOM2YNWkr3KlKqr7mLLKiSQPjapCMxHNnzCsHquM1jfKBA/V2OsSm6
MVL9Aec0eE9izXf6AiALU+NlVsmogN/kdvedyMITK+zqMKt5Q5ytku4qq1wPiXqrUbxQIjj4+TBC
km8RPy4GSSAAnbMygFD7Rsj9WgmucquUtJ9KeQmTIAA7w0JWqPe2wkJnSIDidgwWMwETqeAlZsGC
9v4Jbtc328ivAiWB66ktVVoj85WtdG8mcQTsTY0XRc9eGU8Bcg/t7eSacNaiZKer2CvtsvUJZtwo
uoGeHWraVKTI4G3AvOkVpPZrrVOY9k3wuubiS81KhOCdI1Zc+fjp0xBbiZJ8aEJ5JugUZ+h4m0Xy
auqVe1y3r5J2kyGbu6o75ViPzUk1goexSI7TgIeH0JPHMGcFHjXBfTDaR5nwClV6aG6MirlP6rin
QjdfAnt4wO7MXRRSMY3cHOjr1PfWdG+HJjmFFfmhwYI0tvvzoJm3xsTvkgfxTQNij2xCD+/RIaRC
7MRwrBTrPZzk4zLuCwsLVoh1juJ5ZzT5qlKhv6bt9Gx1jrNNQpSAaYyogWOO+7VWKOMWoEFA3LzX
x81z0+YHw+2vUwM2vDo/dgXwjZ48Z682hn3VWLHHAwuGRMluYXW8V0bu7uw0w70jnK1OfvEa972z
DiR1OLu/fEMA8G42KRqTKk8IBa+8sQU3q6PmX05cTikN/4rZX0oyR1Y6SYKbrp9uQhXQroaGQOUl
4Ey6MSZxnXTuhyUQdlS2eNCFSW5ojbWkm2A6TBV7oeWIazCG9KF6p7vFJrMjqrCqzVctYBhXs7Jd
jgdGyyQ+4VwKT/C8dXN4p6nmu50j4wh155pIw2AbhoqyYf59S2BFAxSFcmvS7XedrPg11TyRXKJa
Twap7nmM8JKTdJPCL6CsDe6SGsBk3Gj3RdwXqw7VzEcVKSdBLvWaKD5yv+KnIeoRv0c7KIVfMyOk
tcQ6DRhEBdRSI+OOWwspInPn/CmHgBNezzoJr1L05ZoF8NFymnt34cc2C0l2nstXYP0uluXeILhx
fg566ny7b9+FVGpv7poLmK5TBKLWAFU7gqzVFnatUTSHbNZx8JjZupPWDajaa8jzrCYX8m0CAtcB
hasqrPiahY4LM19lEtbdG4Bz44C9LiDdpAd0mBJTx08zP7sLbLeeHnNruKmG5MLzwIsAljcHzztb
rAJliI2nV2m6Fobv6Mq7AqivJtqDCuTXVMeHQmdfa1oXAQS4Al3I+pJP9cIHpgJlrAmJjkaDTVic
wBEuVF2uOGP9Ia52BajhZmEO28CHw0SQoLbwiK2FTIxHBkZxlezn2VH3SkoafLJwjBeiMRgifU/9
GfvuwjsuF/JxqjZorRYacjgyZl/4yP9UZb9VZVQof12VbSCOFH9WkvFV/y7JiDaEk+awz0J6xwjj
h7kGUAiEK1Rd/1an/16S2f+LtA+l3m9R0t+rtd9LMosEVmgQNjpwFk7Lsu1vzDXs/5TxuXSBLhR/
WwPmBpTu57lGSmaIO8rAPiFjOoSy7otrOeiT8JK8ryoin+OOtKyhbb08ysPxsaTKn/zSLRb3SBK9
jEZ7l0f15EdtgVhUdlv2wz5zbCb7aqGz1CXCuHSTdxy3MR9UK15PSkvuPOnwYMNwr2UKmMz8FkjW
09CVWnojoVTdATBiFjEC3ieJLOOTHKqxcsKI6SAq7muATEr4MmEOuQRBFItLlOGCswoiQjwTqZux
EiAkSt8KcrW4F7ZibALOqWHdjlogz7XSRvFjx0XcA40fnlLdjUCCpeUujiDTcgU310NiHobOurVC
MIqBXTyqc3bfmbjKyqj6IOiEeMOoQ7pA3GwjE84z4z0qknkF7BdLk/4kxvGxQwvuGRSESq/4Ss4R
EC4oBrOqNN+ZBgzihW2ucVMunjOHPUuKOd66S50B802FSlCJv+mufZ935ifIRCKscl4Uy5E3trH0
lqAQdgN//0qHtfk6LdkmKdxGdWbHUS+rqjxz7utM0zdlkRZs3KWCrFffRRBri75v/HyI90YEV9HK
IxsUkQ35VE2LtY6ZjINjOhiVfhPoXe7NRkRPZ+q7MmVRozvpQBLJqO+nfgEKd+o3FaOe07W5pxA1
xjin3eaF+xZG5ZHwnmNLNpYXO/COGJXcYdXpPTdqN2OgfLPceZOp455oyVPYQIaCeOZXzSx2QCER
IBD+Iks2GyLGgNgp+ccQuQwJpuKZR1qiNOttAmQo/Xm8bkytlpA0y5O0EoW6MbhkLmvIEAw83sPb
oFKY+XKjrtSxwTJnET/H8wY7tXzuEp0JTSgPkndQtt0G8xI2NQu6iVDrco00fJ/303msrSetlSdX
xvcJVFkPJfZjHka3Ea5Yv1K7rRYKZc+hbaz66P/YO4/myI10i/4iKODNtnwVvTcbRJNNwruESSR+
/TvZet3TrZE0ob02o1FQxSJZQOIz954rblUQ34Nsulm6kVvEQixCCG+yirJMbSwRX4/xclBlTAzN
bLyLzkg3ptsWzFd4SC1WVEJmQTCTeD2iGhMThauWU9MGV7lO3GlCT+JxqJ11RRI580V5zlDlK4HB
JyY7ZIn22QVtOlobMzgjYtfamxHZLQoVrcUNsEGY/kWYrSQoZriKhPs8Gam55lafVrmq/HU6Op+M
cJZV0Ta348L8Aojowl9mFQTzsnJr3JNDMT3YcqkPhsvVGeuSri+zj1LZCw/H4NmTULTZAR6npmBr
K+wjbaKzccKQUHcDlgVE+bVZue5OdvlVlvgb3yhuq3K6TFKubZkGhHLkOL6r6NpO6m7nl/QTspVs
dsWsPZT+vbRQLpnC/Ixt99V0ync8/sdOOjznk4F+wrA/3N54xIIQMVCtHitAx1s7Gu+UGqx95lcv
jXLPPLLMEN2jriTcOXBn/8bJwzZAxmuqtUq7NxT+hD54RHHqzIvRA/5tzMN2KeiupuVNOPZLF0bO
ITKZVbVRcL2MUw08PAUZIkC2MWPGsZqqd7D5/dEMhru0HmA6tWZ5UGajVmMAshsY32vru3cYaYhj
TkMIJmMsN2JkBZu3bU2Kgnk5QTHZshX9mBYVbQjXu8hze9pMuE8PRVFH68lwsQCOHRpZk44NMts7
q+lqbfXksJqx9C6z2ctWU9/NSAbsdOPY3a2sKWBUCLvGWqZtkTGOc8IM16ajNpmHsVjlaXtRBfKo
qvi1qme02ZhRtqjYAdw6XK2A09/9oKYLi/Nl69VE27mOOvi16I5N6+4KQDcbYuzKXRjS+HEeLvs6
715F6O1qYUDVivcNJTspVhmu3wZfh4KnvmIFD7HdqNEHE/py49c2ztSOYVzinKNHg85T5eGePpkw
E6b563hS6pSO41dsu1i/28E52S3Oeg8uCYrQpD6kNV6WRVZ8NlIZO0+HEZIyybmKTWPlDdPRqVBI
W1aIINebzpIyOsXRcmZkS0V6FP1NXCw3ooqxNQd3oQE7fenp9HCgaPWDum7H9L62WdyTLVjuWoc6
bEwNQdjm8O53qAUr5DT7OUQAoizkfGRXEDhYptdDhl4lXsxN0WTTvm2XM4T156SfbBAHX09IzLZO
3pl6BgoGMBCXzLHfQ0BNZR8zkAgi2lTf8IiO8YiaCBVZnAlr2wV3uGnKR2ssvjSFcV2K7K4g6gSe
uelvc2Hhc3TbjxLdclKZBDQ5Lqr7zOVbwgTcyNJ8aTO6r2nMLuNoBCJkmdNGdiJeN3FxBpYcfMSc
J49dWpJYEr/4NFMrm1s3KKtPIIovnoMfOR0u229qgqF6J78r2loRq/2oKh/JIUQrk6EVsA3jZjFb
c2OUGG2R9IHJLM5K5IhrzT0HS8EBZlkfc9gfgjE+D3Few5lXJ+Tm0aYrjFXu1U+VEpewFzCnq6oi
WsVd84Geut4683AYGW34SRgqrnMmKHVnHOI+/0A8syN+bNj3QbvtW76Ke/TRzM3zJTmrgNCKEVdq
X2ivzFvac/gCbYA2FxzBYOqrJkzWvS9OSy/p3ICYZxWdes7oZ164nrPYpi223Q+HSOkVi6u7LE/4
jznAJwbtmdAhbqT9Qqtixk7l9koFdsxmwuupdNB8+EQpNhUc8OzK70IG9vLJcvjm7QzxOM7PCqZW
e6ca3l3oW0kQI1WHbwOEAcZP/Wg5PPAiYga81EKEGTqXKDMehMQV1PakERttd91m0TkZ9qiQ/O6W
uFbm7blnMWuv9rD06Ett8hEsiRPQgRuOTjEhvJFbp14QyIAGu6umTnvnSPNKqTvxQ2coMB1dPYhj
4KQnqfLP1PKyXSLDK2Xl+2bZ9xF5Q6DuVb2x5vPQKO7TckIy5bqkuoXeHp8SHI+AQsZZ3pxQ7nyZ
vIV+du7aI7r52Ez5sLovxODAOLQlbufWnMQZt899ohir0b89Wi3eNB8VaQ9Rg3VDebChjk5DsYlD
p72pfVERRlNnPlAi17OMp3RqGiLxkHuKE5oZids/k1M47ZpyMtSN4tOpTS8zNm6M+iJZApltwqg4
NSQBreYCXj89536JMGAJwteMIMf+Uhhyl7nNBtz9uImn5hmu37Ktw6mj/0+sLWvGB0fUd5J4tx1q
iM8uF09uFnirisLLiLNhF3nRMQ3cL209X89ZhGo/wOuRZkO1pu4CJVK4aGklzi6DwQiPE0VdaGo3
GY80Pj/92VGbjxG2iyglxYE87xJ/5jwEl9OQXUVjcK510au6z79YkcId7Z7jvKa6ado3ni2wZmEN
FHX40GeZexpG8wPrdr1fchPKGT4x4lWv4cClFHn4G2glVtQ1cuPH9Vchq4OD4XENcnXZdey33K68
tQH31wPINq9q5IFz9zySyIyUx8MOkulhnLijc5s39DDWF26pM4KRPfWLv4L4um9tqt3IKl6LLlu7
6VUBez731ErOaKsFfNMonC5Z3HWMKIerysu/Qs1FcmABvlPZZZOYlx7p36xVLl37ymdUZyzdRggj
OU1m81TI5Dik2csQDA8tqH/Q4eY2FPvZD+5QFa2pey9VZ79mrXWIeoOTsUqOiwqWIw75V37Ah1S3
9gG14DYlUOSMU+HVrZrpqVqmZNV0+dkM6gIGTd6gwF0u5AQ3o/Ot53Yy0f0UNyx5vxRtCEyvH7gS
CEbwmvPMSZ8qyQz034b+W0PvIF3564b+mkz6P6M86ld9b+g15ZFAT8cNLJ81o16k/BAqWL+5eAZQ
whLvrVPxfuxYNNSJL+GXC7TnQQff/dixRL95Ebk8OBp0N88i9Z809E7wqxYHoYLmc9hMqcjkcUkZ
11//ybftopcnEUVZV14ph+KQTROxbmyFL/K4XLtLf4NV6SnGw8aQstyzan4ysrQH/8xyuUn2kd5z
Z8X8IIYWBnGDxw0zTQQNZCRd2a9mmpR+s4wHuquXJklOMZvzMLmyEJNfNFkf4quiGg0sCpmi9yUP
3uVr6UaEZIxesXLj8CVwY9y6jNjZlg4vS4NywMYH53jTdSYHZ9vVBlY+FizLRG2PyejCNZlsQ1B9
rA3YeUBEPrIW0M5ifw0N4oSbsQCOZM93VTgznZ4JHVbGk1hcfwXyjeg3H3b2wszaV+oMCOutbymO
Z5zVINvyTUAwAP+n//Ri1g3T0r+LCQq0zQkJBjZbxTGerSoVOCsa590snj11nfa+bpRxEkhx8PNI
c2AHsaEVVy6OCnNGq5A6DjnejpJHjp8h+mJlbjxBrRIVhefEyTjXxYGKpSNYkCpjQC6/NYkpp0KL
ZpDHYblDrY/ezZ6EtfYz7GgqkcMNhzk47qUUN1Pj5MCieXC0CAJXtqZW9QLuX9qBwK7qwl5Vnf/c
LAJ5/0iurCtcCLwanjXoJcsckUoeR7G39wOpbrg2GQED4t3kclqnmB9PUUmFHhdudhF7Zr6R0dif
UtJs97Ngjlu7+Fw3HUF7GLpI1rCK8dOOmnDP5GHEisw2jw3E20QsGeVAhOFRk6wtUkCp+o3mwGTs
A/KuBxtSEk3YcqmKyD1iW+nXSEPK69BJmFNDtVsVhsq2EZiqvVuC8i6m3tuHafdRzVa09xS4zU4Y
5TWIFXRdIeGnOb6IL2FDo2+rzDzEpsvfxqRSqyGRrxxrKMTGCuAIVcKo31pVcwiTD77qPVJmh9AQ
ZzJo5FkiR7GPUr1lMkM0NINfbvnwIJ/03mfmBi7G9vTTIl52T4toMFZYKge5TUudCOPtDTBQsWKD
AP1Ew8aSSmDPZ769jVGy8kTDG0kwyVi+cc8lJ5Hb5kEuRT1s05y4WtJqw3kXTZ7IP8uqUYcQEMZN
wzaJWinozwZaBHHmtEygwGORQ4e2QxOzyO0rqFG6RxLkk7W5IDxqSMTY9um8ZuLxYiTdU6kZXHEI
jStlu7qdNKErNwNWVEC7UDNhsIXihdQAo58meyl2LwyuGEQv402m0V+eX2reJjiwaPQJaZpeRzPe
SQ0MmyGHyRyEmAdLjGzsU+mWzyRsBXtH48Yw3epDJLrgT3EcIZI13KfGyHUxVOE95d51B7sMV6Qe
STWXTD3ebehmU2nMTEzm62ER4TGEgNZAQuth5EBTAOYzoMZC3ASxCZR5Fmfghxh2wymbXVbINUCj
fi3C9DYxhUcyH9KiUaPYPHPhCQtsVkJpY4h+KqC2hQ6QhZn1tNJAt1mj3WoutpXSuDe3jrI3IiXr
V78Y8kPiTNkqcCFPzBqnToYCwcgw6lYujtiopwqpzLHe+k533Ujjzmcbvc81oj2pgbXPGtteaIB7
oFHuyhj8XTtzJsWNTG4qrA2rntvlZtQ3z6KB8EK/6aAh8XmcRXuzb7PbMgEhDwF6gsgOVr7XgHnD
w+LUauj8ovHz+TcQvUbSzxpOH2tMfaaB9ZFG1/vC++w1zL5wlyNQyisTyn0F7d4bwfA70rT3jkbh
OxqKT9hxtkNBBChfI/NpWBr8XWD0GVoClgesH2vEvq1h+yHLjUOqAfy2RvGXGsrvp3oGpUH9Zhdb
e1nzm3oa459qoP+o0f7sTTGVatx/p8H/pFuz+QgIA/i31Pl9d8Eo/69LnX35Udd/oibhRT8qHeu3
0MP3SKwHkIFvS4gflY79W+RQrCDX9DwbucmPSsdBgmKCVPohJ+FL31cXEbYem+/F/yBGRt/9Tyod
y+c7/aTq1ZXON1Em35ODFO2W/WulQ1RfALUxjODEgaigQ11ajJHaVe4YdWpvvbTq41fWs+IGYyWq
P0LA6vWCL50H9rmoI+gzVfFWsFNVzEUme0h2ynVZorVOiSZSOMux5gTYjlN0w0T+E7R8tsYFTudv
w+qycWEAtPO6PUFX+xAu/NwaByMr3zxBEEGQN+dJLm8KjZL3KQ4YbR/gBx1MJvskJsg1cQQGqz+1
x750aTPsyWwMmzIFVT+a6qA0vL42rDeSszhYJu8owuC5hXO/CPlO63cBE6D0dKKC/xKBCR40Hh99
w4dQ4abQ4PwcvyeNHzD9hT0w7oF6bU/WoYO3P2nwvtQI/sIxBBAFsPwm2MotYBVz0zfLE8uRi1CD
/GUO0l9ouL/N9iN1ic5wxmQndAAAckJQP2QChGQDIMchJMwlLsAiN6AiPwAfKgPO5gqYGlamKvZ2
lQ4bIFzlKHX8QJTBsrcwYmxM6U7gRYkpIFXM2TDmr9akyuC0UDeVVxx7+NsrnNtfVTWFkOoAl4km
RkeCeYEs9C9QJSTES+tzsI2TBa8UP+N5ziaUCQkzqOlbtIIc5Xmj4xaUyyJiJoFhIYmhMmr5zOd5
NnivS+VfuKTLwxGG4J+fiKa9kzrSAcRm3m/wK0D+Mux6pGPPCohg7e94MOoJWGFz4gXHsg9dmltY
YhkS0RloURdd2BjdT0HRTHsSgxvgh3lrbl2TgOGUZ/BdTJgBakJwpqg9GjYfk6fcfSs8t9ygCU32
SA/Rrga1sM+DshyfwsYPD4Q9m8//Hoe/d34cD399HN59eRdfKkyOf7LOdXjlT2cislnWLAFqXEgq
yMR/nIkcl0jo2Mv+/hVe9X2dSyK6g3qO7FH+8U2L/uNMDMkM4BTFmQCdX5+o/+RMtN3/OhMD+k/9
06GxQyn/R6eDk091vzQzMLySCbg7Zu3OmdJ822LaqYJ52PVGwSyEndb0IvPqrO2pEHxQMyuo7dk6
VggU2LFat4l2TYceyC2F+Nxn+XpmDssXT5usI9zW0u/6bZADx23L+M4ZDf8CQSpoIRR9VC9Td+lb
Dgyw9HFg6yoZqu2yKDxVyOBcYX0Scfko04oVS3HVlYJ+0T5E7F4hFlIqk9bTkoYIZmshWnEzm25P
MuaYUk/5H3ngPkjfeC0m40NOaYcQH+YmdGKWxU31Fegk9mKT/EtzGikWIYvIAizTFPlvKnULbYC0
YAlOYMBHgKSjah7Tqrmx/WTrN0yEAuXSu4wkKyZiPyZ4v46QNG6ZU13wGPlYoMyq+tq3Wsmss7iE
1L5b5vypYuQZ2/F7Wnv3E8QNom8+VQLuJivtm1AoBWiYgn5K+ofGQB2rRiiaY5mWu3mATwrEiWmT
z+yUbdVmCKR76EMTWVCZiq1ZI/lfiNNcV/AP1z20pi1VImlUBHEX+NFWleHsx9HIbz08fpvZRh6Y
KyBqVoaN0GsM50J0BTVqQ2NXsLkArShuccBDqjIac4/q/IgZK8NFOBB7pEObx2/5zfU30Y6t9Tt5
r6U85TdZTwnVfHbo7qc5o3FD/NMjApoRA6WD9m5W/RBcDPHQR6/CW7KvVdngfI2AkxEGbcU7ohKt
q4BU2DXF+7hOtM2g1YaDSlsPQjwIAgEmU8LotdD2BE8bFaS2LBgt5gUbF0NUoy+sPM7IeNyX2ujA
4f9gjFSjI9uu7Rwv9X7Sxgio9N0q6O36qtebAW2fcHi0zbA377kCMHC6ATmG2m5Ra+NFqC0YcBDe
em3KCAobWFiefoDimZmBKxOMv3VphNrNYeLrqAxm40E0jAehTR+28Mu7zu/Kq6kJ6vtCm0MQl8MC
dTF24BsZBh/h5bjgkMi8w+zX7LQRCbITGhtcEepKDlG8NsiLWFf49rdeZsuzAe/1TmWxfxoU48C4
XXepfAyV2xLPYRLqlGB8T1zmsvbsGsCCI/la5BIUGLT5TRYONZCZpngvHI8Mj1Eyy+jCUyHT+TAt
KN3EoHGaYiEJEbmIuJGOBZk7ccKLcFJkeYE1iDTgINCoA6QhGEg0/mDQIAQjBInQWzDeCo1J+Pd5
9O15ZP3tJPIwVoRwfR3+u0LXr/vxNHJ+0+IhTfX6RornkfPjaeRCAvMsD1nN94Hj/z+NcNe76H2A
hJH3DeHERqX9/xU6Y0rSt4HS/0eS9A/ERX9Ue7s870Iyty1SL23E6H+QFg0jQUpB48nr0TwlXN+K
A2f/00P6T0z3v7v3f7X2mTA/3cgHjevjcsQ39vO400LSl+dF3147Eo+77rh7XK2pY9fOdWqKjnq0
8efiZmkyP7xMgTY/U7HaxU1oemqdmtVsA9No1/3cHLt0Ps+YTfrg+ZbMYhe/OGulyuvYMzZlYxxV
H5EQ1dwNJgZflVrbpQtu56w/xKoDNFLNuzobrI3ndiejlVdGWLyVijRVWvaxbY9kWT0ja2aTlqVX
ycBJY5fHIO27lTWLTzFqAnsmNyUV9D7reAoZ+GtXgycP3cR6ZwzyhyA8dE6/5td7TnzzaEaMTByO
826uP0rOYDSwLnro6iMmm5WZB+OaxpxJnuvFDmLVecyTZRPWWgcpQUC3gfmm43wdl1hUy63vJ4uJ
rm0/iJlq086Gp6JSPXRs+d777km5ot51eXtRp7PcRF3ggIaJvXXciDuRAdsP3GbYJsq5ALuO/r53
bkrJAGqZxmcjd0CcBPOWfpLEN3v4zIMO4UNmQ+XsGugM7lkgiRNvqURWZdHlB99kFsDaPlnPOeOT
rLUR0064Ydx2ebKqBuESmqVmNG490MIE15b3soLhHIXFi0Ey+crGVxPB4bksB2mtUX+feiPDT2Z1
OJ7C5DwZ3p282TG9Arcv7bU7dyxHy/opXshHjDuI0U1inUQ4is3A0HMJvPc2YyIhlSAzyX0P+wpz
T559hhWbq8QNl003RDw8/E83IyUc9nrWoc+xeiYgtkhZbYbrJqmuJ7t/s/LcXAsXRRY4hmOZFYhx
pmGXhdoXQCW3hvrJyNYwI6Zo4zV61ocpYTJqlAMgLMoCZGN3UJi7TRMkI/hOVMsumV8THdmiu4Uo
zO9sEF0ogRl3R9NTYbIsy5T/Cdj51bMKHWyCL9yZCxJJyFi+YMgi1qBReap45kOiurva9dpTWjhX
SRkEm7RJoVbO8+uUl1w9siORRvL3CILlpfBjGAH0k1Nef7iW9HeTMB+KpGRFSFbKbEB3mZIB6Yjx
ORjhC1mEDHSY3AeOhSBwjtFYk8PnN/Z2cBh7t9/c5dIVXXzQ5WsEpqK79xLJ1NIvuMqjsngoTCc6
etRf174j77vOpidqPyp8HVnRlsQNtV+toUMRhj4EZTBClkJCARRZ/uS6A0FwLEV6/7GOtvNepSo/
rxrWH4ZxK8Y80p0vucybuAKpN5FzZARg1UXUNuu+BCGNmmKdODDUG1YUEAyZDRjMBfp1y72pU3Uu
+yZ4TkPvIzPnbsWx1iFIs3ZV2ZLlqc4Yr3wx5vFMDhmRReNLMlKxcebcitraEvRz21jOkSnxLbF8
G99IHu3Cf+lDD1GleRbJ5Bq797WqoLz3w25BW0bJ9pU9KSnxQb4p+qHYkja3LgjgCXoxoO72dqKd
LgOQbJSD2MdwdSBQlAyH2ZDnoYFMyrhSg3issqjYxnb/0Q+Emnfzk9F/eCNX4uQHO8cl5nIdw4DD
ZhFLhir5qAxja04qeAySad53nbDXeULekhe2Q3tZOM5z1bhk+SzdNpjqBKRSzrm1Khq3ZTrqLc4e
K55YhyVzgtCpHouu34lBPktZPvad8YJ/w7kxR2+55oHX7UTZfels65gK5+sch1fdoi6jMko2BB3i
/kFus4HUTdJADie4Wqro3q1CdZFU6V2WJG8I/Yy1LEhDF+xoGX4MQAWoo9bukL7UNp+iTO+zrMkJ
8SALZeqfR6tZUPg41S7WoIiWn48ARZ4966jgDBiNEoT42C5XBruDez9HLaUUs/VENGywhds/xVE/
UrAH1YG7Odx0Jdxhf5oOkzXIPaKQhrK5UYxCTWrFEkxlMiCWQ/3iHSQ0rgOzlWvwWLc9sffshff5
pAcmRvyesQXCuGDdM/p5FtZ8l3jCP0bu+Kxn/iC9lvjy7x+7bCt/mrxROtgmHm2Chnxmbwx5//Bk
98uxBY/TjddNSOiQdZWH9z4/tcf0Kv9fcIFfqwj9Xkwe6RUtGEIBumfd8f60zwSDOw+27OU1MQlx
8dgpiL//gw/wv95Cf/2nt4BCWpZyLOV1y42psJul06vb3v393+xP3yRi8BlQsVm05r++SZ9CM8tr
Ka8dcd8157NxaUzHv3+L//5Y+FP99Bbaw/7T7wHaOEwsd5bXbnhXdbulgo0qr+rgS67+xzux5P7D
BfDrO+mf5Kd3KtPJq/yBXwa36cqqUYnap7FCs8Aa6bSwV/37X+xX8/3v1wBLdY9cRXCBiOl/fbsh
yedFDJZkIvdsDThC/PskPVPVv7Ov3xH8FkqEv559Hav2Q2Rfyj/pNXjd917DoqHQRBbsRd8m/tyH
33sNywfKiKuUw4CO3HL/o3twaFAcNAoU/7zw1/Rv+zd6VnwHLpuE36lh/6DXwBjxyyXpYa9gH2Cj
uuBU0m3HH86JIO1EPRudupidlow82lFIVm0AKuvTXJbao9QaAAkweUcIvRwav9BToXjOOcF8NAGx
jTwpxL3EHGEK1IpE+vcExh0hOfEXuFx3RVxU16pgKdUtvr1zPMZTNFL9ReP7n2kb8sStwA1atd6M
jaND7AWhgwM7T3LtLO98QSJ0NOpyoNxHnqvWs49ZIQdzf9maFkpxVHdIxoszHEH1BnCC2gmPanbo
CtyRMK/WILYQwWPYuHQndSq87DxshvisyspiVxgRYiaWHSG1tU/0dYGLdI4CRL0Dj+GOGm9tkbmx
6WaeiF04gmByjZeS07v15/oENf3e8okIiiukaUjgWiZuyrgUuf8uax70XRNYe5byn0uev6Jzw43m
TlZ1lDGw3xa0+gPyzhg9dnqRwPY9jmn+MSSL/ULZi/QdM8Zu8kumdX2JjY5pNvTcqI5IvIqtrS9N
4+S2s3nusVneZ+C3VokY/XMRBDch8Yd3dEJHmap7oyVns3HRAZhhcxP46HRBhkHrJTSC8pQubimQ
HLqmZGeiCuPcSke90hap9zK1CR4D0ynYmyuL9KDKUJTJixC+uEr57CYS07MLZVGzr8goitHI53yn
aB1GBkRcFAwYLZjke8d2UPa9YY9ldkROsJzEVEdXGfa9btUsIVrAiD9CfBUhC0SWx4J7sqLi3MYh
YSXVcuei6Jg3327af9EyFj39X59eZx/iT/aY+jU/Tq6Ak8aH++MzG7fAxP3n5ELMxfocYjpeKt/x
g59m9h74dT26sICp6/Q+apzve0wX/DrOLTMA5GcBVPlnFiw9ofjPBIM1JiIykFNsRX1oUAwzfn24
BVabgNRYhsuA/O5VgX8Vx2xql5ugc6N9MIVfkPXIXafX/TDRc9c4VX04apFVZucvmY014CqNm7E7
srhqK4rxXJpb/LRjcN3SEMrrWraXrVNk92h5sSSSBxRgitRaMCh0r07pkexUg5luzdi2tglVI5zo
uimzje0uJKxjn082nYeu4OjGRoU91hqCsn+pUpynLSlYi40s2Bl9dAo7u54z61RVcmnukoVbkFlG
nNPUwYTbR07CmjNAfzxPg78Rjcz3RoEESmoZwFT41lbO3bI3C188AkkdrUMRKX/ZOv2oko2yI6Qq
5YgwmbM9NljCua2Bj6Jd/ItR9Wmzae3Gv8t8X2DsDlqEyuyJ91abFsNd4ZSYwEHQl1ez7af2vgv4
d1YezfMitUStxSCbk+iUNsER05Rjbv+9RX8fZnJP/c0tmtVJ/yfVBS/6cY8SXBC4Hvei5eME+sM9
6lhgQin/yfHRdfP3tZr/GwZxUjIJ+CHi52eCqMPdq+/awKZaCShN/pHUIND9zK+3KEUMFk6CsyGS
Qq/49Ra1YmeA5BIQcLUwl3/ALAi0n2yaytqkkPHhU7Ahzwi7LxygxP6MIkCWNybhIBFOpAoHxTxk
6yEwY8TRod8TWNuIZaOCCe//6PXcUH0fn1DXIMMHpbUUNw12yBZbJD7x11naoGwc51L5RM252kO5
BDN+ti59Q+CGtk47LanBWL+ZxnrGhMlcsFhXdqGQJPZ3qRU/t98sm42Z40Ypv1k5C7JlWSjh70Rf
hruLgN5g9tfNqIb6wjWUf1DQCDI3i7HxlxJ5FXzRuJ7aN5sM34TUTXjHVby22npHnptcNxUxJrlx
yAhSWM2ifjMdkZMCCLQY78BDlhjv9kVbk4bDGm52Av485cLUoozvrS68qRpzG6lpny831uA/yKl/
8kNie/ENRRf/3oi/34jcHn99I55/KT7+5D7kNd/vQ9smstZEa8NSWmdpUcp/r/JtImsjQB6sveGq
feOhf78RkTCzR/ixE/9po+CEv/mM5nmwIZd2EO79o9QRR7Nofr0T9RmA+joEnYgM9o84Q+pbTuWu
9q6KqQRplVRdfDfPpF4egGQXe+m6JDkFICQ6xmT488ujK5i/eqPhHYqYkXGlbPpUaVIt56zId1oJ
t0K1zRgd902oeVdSk6+KpD4ZmoUVaCrWXJo7vwKqwUxmFy3hh5dPzH8UVmfUwWC1fABbNUECsMN2
xrdkAZ0xMBA2YE+kDpQ6f6DXSQQSt0tJNMHC3FDayW2nMwtMnV7Q2ww5awINhsW6jProA+czESXh
FZu6I2OYO8yze4NABEMnI9QxKCqiEoTOTCAC5LlEIxcSplDZ3kOSka5Ak8TCXCcuWEQvsMo8OmG7
zc34BZPel1FnNKiJKOpiILcBOzRrd5fNqM50EAKjTEDMQ6fzHgpho+wpLzuMKTiBkouOaAhBRAQA
tc+BPzTOvGa9NGwbVdyeKp0rUTXDwSNowmQ+EOnkiWghiq/A2RK0pFI4gTotxFSEIr1ROrciHfLj
qJMsOp1pESmOQZ1y0eq8i5zgC1t2LwUVCmEPzdpzxLJLFCLDpE3fidgWa4VWdFNbag+l51TqbI2K
kI1ap21InbuRCfHYxqm7dcTnqJM5/IKMDgp8mibP31A3fho6x4NVFnqEkfWozviYgu4+1KkfBvEf
kHVuSvC1gOJBm09sjAeSQryE/e2s00NUTR4qcSKBzhXJdcIII8MXl8gRHOSvs7ncdEwGKfxfZIup
UBBSgvYSA68sIF70+WUVENqEHgMLns42IeQEBhqGRMujh2iTXU4QikrRh0O53AVEpCjKSvb8QnNW
Mr9/m5ihnM+eR09Tac3QwL6s3EitJOL3x02ttLyIJHGkRhOaOTCCYYCvuuI02BBsxxS8i3kxi2Mu
UORNaGjBckIG30UGQnWE4ATg4PxPD2oyrxZuBqKo8mBfGCGQDEbgZGvaJ8fJHSBw0crpeM2StcZV
niQOOQlms3W42mC4dU6xKix26a6TzUdWAt7KA6p2CsN5oeb1JPmY2cCODZ+0OU07iVMwNJMrzJ1M
NG3rwhkJPgii6AYVIOHAZX7Z+W22sq0nGXrqTlhG8VJb4HXtDoCGQ7dlxaLdhlDsV8J3CvxWhLi5
cH3muiWTziINJNQK78om9iaogQxbcpwuMSVDAG4AVBnqAinAtohYZoy0uWiHmfLbWf8mRmNv4ZNf
TY441j4yYNcLTyQMeycrIU60aXPyUNi6vdrU9CsoBQSvJZO/cvWDsk4DvJKVaEmLK7HZQxR87yz7
Oa+qeBcRCLSVQob7eoGjXBSlt28qOCW9kZvUy4R9Wrb+fGPyrhc3PuuidF9KeZlxR5GWOp5ytvmp
5Lc2DW9nJc2ZpZx9VpGb1ER4qPJFXDBzC9dziu/VCUc+oQUPL2BA8A5qV9XVTeplaANyjNOYzc/C
ZExWsjX3mVe8YLHbj0Z/txQEnJYlrJ4UbHFtFRf9KJBTjiiysafu47Y9+GP/mThxSpxZM25g73DD
soSwL8K5uq/6vDyP0uma/NeeBh8KTNXAskpAO3n58ETps5Nuiwsl/Jgb22K1U52GQs7bxJr3AV7p
fyuEbxWCQ/H61xWCjuNcfbCl/jMdHK/8USeYuJZ8vEykLvFto5/rBOs334UkhwwtiuA4U+V/rxP8
30hpYEb3w+n0o6VmgkjICgYTn3gXZAv/KI7TCX6dhOue2oZ3HLKhgDRn46/6tWCnV4RGWYTGZeCR
2l2CR8vAEtWlDwID/v6u4Kg1cMGv87S6YVDIeZiJdiWhiUoFNqTMB0S2GGRbmuk11VDDLlkx3epC
ucn6/k1WoFDy+bU1uws1Oscl8MNzIujF1m3gkLbOQxIJcq0qVDlDeTuD01hz6L37JJhPgU+qrmPe
RCb5zzKMPYzJ/8femTVFcqRZ+6+MzX3IPDz2MZuLLzNyT0iWAqq4CYMqiH3f49d/j6MpdZVaLZnu
ddOtbgQkEOn+Luc8p3kSk/M+KctnMlbc4tyUeo7CIF3qVa85C4D9+rPZV70f65WfKxNpElbM8/CV
FnXao6JtdqOynJoBaYRtnx+p5/Gjkv6Mjm7Er+UjDniuPpyrGHxwsZJmoyytZPmghKoTUaHF1c3Q
9zjLynL0tpVOGz20M/Z+ZFPrejY2g0XAYKolN30yw8YmKDkvXfLARPKtc5w3fDYwj2KKAqO7zoYH
yQoUmBszNLxDSIDn8t6Z9HSl5/I5yVpEuF4jN/NEXllLmJkdtO2xFsVrLaOkAXYW0RSANGPWauem
vK1TYhQ4MS1/nNNPIuI8drCEtVMqlEzwcwFYEJ9NeamgUZ1RHc5rzfE2heNdoIseiqwkKxUwSRNt
M885TlbwGTufWkQa86G0k21fmOKAPZ6DjJ+bw5DhaUDayEpkiEF4PU/E7sTHIXbCTcWvb+XqrFjJ
uckvgSs+ZW42bHOCOQmfc05mHhMH1o11/Ji2wN4IMSXhdqOPLhys+Va0S7oStINoHeG3NZW4D4GG
BUyyGUoalzr0ttok90gPb63EOQTZskuHfg/SrIU+H37q3PzCXn8nJ6lk3igGQAq0Y7WKEli/Zp48
WU75iVRtcm7cx1xbmEs27X7qw08ges/NGN83ef8ZzcoeYQKe1iyq1nbNsbvEBhOa0doCFZfbyZnP
dlEKSIZIqfs+eUuQmQwNr02bQ2tDjgHRDTLAlYbBZ7GeZYOvrBBEgfXZ1RIGd7lVV4fZ6sKzoZn3
BLi9Flq7ydtPTU9GvVd7t2GU+BXulaJimmrrj8JLRj8pkx1T9H08JwhZcALGbfqc92HMmh2TTEcJ
Y9SVT3UUr3XNXnhCxxcvgMUm8tFf7OUaI/YlEu6TRERXthqr8wnrlPVqVML2RZDcL2Gk4HRPdTOe
I0t/zGqhb4QkRY7I7HWcateB8HZJXlz3WMhXkVe8DgG8C2PEoRzOVGNDdsoy/jXdY5Pfd3D+8gOX
5HnoihP/5rKZJsM4ooTqVrgIMrnVY3IR7EUr8rsIn4Qk7CH8ksQSIWWCUdwS74vW7glM+NJ643b0
BlINeAmG+9yRVQ0KSFuXqAoNvV93nbFvwurz7Cijm5K+4ho/u7K/c/U6Q24yZlTzxue4bw5j20BS
GgApuCZYk/BA7uStxMm0npfhyhpGbFtWQQY93iqvqfZRigzJTZ8SmZ7ZhDw4RSVWuAruusj0SR25
ijAIpaJHI2Qi/+FvkVfDVzPnrSaaq3iQiJDz/hDOOmvheNhnsqY8kXc8JMeyZ6VAKuOlDcR2cOgy
+n74TPCQvxA6sh1acVNm40nz9JOG4YiUXu1gzuZeNEAp4Ijky7gfiZPylvQMeW3XZcttN6ToPPKa
eqYBh8Aj6yL8zNvsIRDFM1iki1lbh64x31oTTUtpH3Qjehza+N5y20+WKTMcbcF2sKIDU9fXVFQH
PQd8s9A2sp8/MxYh+gu8QKuPVxEwingpnqfMuPeAXuMyZPcDRZdcMLEzh3hbVNUFL/spdtz3f2qT
j9pE/ukY8ar8I9ia+pzvVYnu/ILxGvE79z69jrIlfZ9egMa1qSsE2Aab/TsFxm9VCep88ueYXpim
6zDdo1j4Pul3Pnae8ONtShw+7e+VJZ6aE/40R2TfSQ6RUljaOH0c9fEf1ubtQhPVW719HRocvzXV
U0Wti43V9LUpHBaetaDnAdOYTmdAg8gfI2Ysb/tNj01oFXWWyK7cPhY51KuQ7wFpBNOpuQk0pEPe
hugaUCcGlz2K8rHD7wdSLdcqfxEhCr9V6mheRaBpw4WHqdSebvsE7qITaWW4dSw0Mf1UPHHVx2sD
RFBXOOA9WpTytcqlaWLK+z7U2m3Qi09JIa+aAjcsUz8/mMVdMTM20XUuBpjtp6rMT0UdnPVxepzx
J65IlglWVQVCpDqQ4RrgZabKiO0kBlkBjSybHLI+XZpOcFi0ZhMGJMe7gS/Twxc1IIy1KM5o1laM
hSofaM8Rbf83OXWTH3N2dJOFtTjMWIcKy0dJc9OWxbwd7QE+Zo/IPBjqjlCkhdA2TLxMJoplM1sY
QV0hN8LqZz/pdWKf3eGbZk7ktpB22iuMcB7o3ybU02smtdsEmGdsIfxiIXlOXLxMarTQW1gQkno8
t33aU0sOEgWeca+ZYls7vQQTFBD+CoEmaILqYEbYJiazvE5keVfX4zpwqlPM7RWhECHJlgWxU29m
TMHmDEqriQa/M8RqyFImtxz+7DGPZpBTMOCrhhLE4dNNyarJypTIIwfOiIHMTkNpBtI0OTODAUgW
PvVFkaxRlMc7QKyxz6VzMzkQiUyvW+t1dxx68O61aJ7CknZxSa3TPOv3XTht7CmDBkZmUFokdyHs
+9gCROTEgHPsJd4E+K9XlakF+yYlXU9M3o2wSgc4vPFWZnq71ysmzVZRXls6290IEVVhpA80A485
rtuyqi9aRLiV46WghDOSdKADb5Msf4Tj5Ctvdy+ML6LqSx8QDaL+7H5KrUMR1lCZg4iLxI2s9dwm
Aw+6jE5V1TBi8sgCjsbxqXBUNKPsnqZgfNTNlhAFqruwAToVeRdcDYjEMDZb3esELAcg3zgitU2p
rFUmnUsTYHT9PSirdFUmOkjNOTyErRniooOOYyN8dMPn2mJ4NFGmYGCJa8Y/5CqZon8YYmGz7jeB
FNjREYTwUTjeS7FQbImwlmtZ6vcsLrdxY36Cv7PTjPJmhDy/mmLj3kRY4btolFeA4UChmVexU2lr
FnnbKc6eGNcVO2ZeL3m4THumYzBSEL0SreqtC/IafAPbxRb8MYkGsNFIp8J8OxEI5gn8gSw+d6FY
mnNsw8weqfICmcGL93jBZJNvs3a+0Ay8NYh9VmVTX1eO81AyHzo2OS5gW5/eYPDeJWbsrGxUFmCr
oDW0y/w+DizlcfoXfhBKE1Kg4zJPALKWOSNo/ay/twP6FXTtDjMgmPZlRZlek/y+xny5T8PpxY66
AulEUWwm27tSlDUc9m9pNxk+Ue84/1JUyVZHaKIm3pvRPIH3289L+aVwiBa2oxrMEHxCCvSTQAO+
dSeNTLLevjNJWj6EXU5HlKjcXJlc6Wl+nJdoR2l7IvfjNiGPLM+SQ9TV90FUv3eT1/rFyP1fBhdb
qz5VLj4lY0bMKaLQPnmci5yNJe/cDNFH2Stvd/lUlBR5zgjVCCTXyiLBbTOG8C7jYXz0Wsi9fanx
ni4qvnicwtHsDN6O0zbte7HKXaOEDyHzbTpHT3J8GxvKC6bU8aaAUhdBq5sUtk6HXwfmQ27ACD1+
TGiw1z9K03qLFPRuTh0IgnDwRFt+9eDiLfDxBp2HoYKYVyl03gi20rcUTk9XYL06d24GcF3MaWAH
haPGUGe4tqDx8aP6Yx9dyCszt5YJsC9U6L4lc84Ol7sfgaLtFd6PCc10MBXxrwo+R4637BpYgDkS
Pli44AF1BQpEzPhgKHSgrSCC49QMpD38UyV9VElUIX8ywTm/tO3bHyki+Kzf6iTvFzWasYntkwxL
f8ewMdT/zcwDGdWPigh8IyyFDFtQRFFIfcx8vtdJ3i94Dqmr1KqHnaz8Wy7Gj2Ls5zrJoiAzScCS
wsTH6P1O7zf03qSxRx0v82i0ziYagoS204FDFc5xBCArOHVLGhqbORmG9FHvdSzLzIPi7lAtsVhN
g01f0KK/XTbJJLsFgH1VlArwYNjWV8WhQFKFc0zFZ9O5wFFtcGLpoffuiVzv7ue2xTDRxaBqqG2W
hVybqhxtohc1JTqo7VAukPrTEbLbUqK5XDl9OOmbXHKvbEAH4dgOQIr5XZ/qu16QFbNrhtC0HjId
MP8WGPcB4QYFUGGb3b7Shnk/GXOfvI8K+BF+sD/CMEHBSTgC95iCg2iBCyZEAUO8D3bIXM3DRssa
G30Zh7AXIU0TucbZS1XzOiiOyaJgJN0Hl8SqCeW1YJXYo0YuZOG+s6sy4W2E+cap+BjpbsxnBnAn
lGrjKQoh1rlqLB7GuVwhW6NGU6gUgjtT5uyKn5IrlEqjoCq9UsPpCrRCrAqbJAVf0RWGxVZAlkqh
WUx1kTNx8nZuVbylzmLtDIVywe5t7tqyizfiA/QSOrB0rT67obVs1/A00C8ChskplDaugsWErvEW
KXwMW2seC0XFyEMTJHAZOoxTtNdKgWfsJevX7EfcXdQ0784YBLtKgWqcnNWdPyp8TdZJZ1eWeXv0
FNxGalFyxWumOFDomxSrZKxgOPh9GdorQI6nUDmjgua0Cp9TjjkYRoXUGXvIPsUCZoeT+3OmwDuh
QvA0CsYTjJAxSwXo6RSqp1fQHqjI9S3+CkRqCunjKLjPMus13iCF/GlLmW2XDwzQwDyxVWigSXd6
YHuwzAMFDtIzMGgIa/L9P8fmr8cmfd1/Hnyfy/a//l8RvmVvLefk78JudT71t7MTNRmrcRbJEoXC
R7f4W49JHBk9pGXi9uYE1X9Qk5m/YIZDLk/5xO5arcF/6zHlh9CMY9UC5EzSyt/qMVnd/3RyghgT
yhDHSNzjDBfq4z90mAlQIHcsvOS6zzeLxeQ12pn10w+/GMYqc1gW/0Ue102J1rL93/9Gyv8H3wWd
LWF6TEVYY/Hr+fG71AGLdWuxkuuuTOKMIlkUEZPF2WWsLdNNYjBpKtlOErXrFpAqI2bwS3AaWCDf
iSq6zWJSFqwoPo9CsP3WNYsohx67jh6LtQijwyjzQz9EDJEIE+v1s1jG23aWV/VSniYmo2jkjiJJ
cY4MIBjoybyto44X0hvnVSy9b8SQgh5LqfOSjmRbiAnvMfo1qnsbRgaWYSJnAj5/oiNeMX3GWDtq
S74LxsnxO62FJ+JJIk37hVsj7QrUw9J8DAzP2TmZZTzLHCQ5kylWaSKN7E3U1xWt8MwCoSRbFrAm
7Ox96IHAZcoE15DdoHttz+3MsgqKL+wJ4sRXnVEZ7uMia9vPapntGm2xrZ1ejvhkiLTh0q3pOvNu
DlaC6JyLW0vtiq9f+aqYT5V5qNSKncu+zLdxH3MJIBxsHJfAssxMj/1U2+4N3681nq05hBgl53Io
uUaNu9JprOkm0oGR1OHsUcfazhGDWfgFrbf5xFAOHWI2I1btit48uGVqESwqrXHZu9zI9lqMrfdQ
li6sdVR4GxDgaiw4RYSYUXvXYTgfBtLOwQX0zqbjd36mV21fWqQS0wzzcJ5cufLq+KDh9Nqg3ETR
RGrMHW7BYyLmbOOVuncXkqmzYhUJWHP2om1ZkSU+pSZB8joKyfjJza3hzJ9u8O06XjAyI4VqkVqi
2Zjio02YzIaUr2XXdZm+LrzAvG6jQYJSq9udbQz70SzwtU2yvcVCrXPD5FdxkV2B2C22eRPfmqVF
CH3PjMPO9rxjUj80xA2D2ftOd4YH3E7uOxZL1B2pb4+T/V7GvW/lrZ8Gtf5JaP2Wqp8YlzLdeBr1
vMvOdWL33NrVt7bt2MU1b3MyPyKcwn0/HL0p33KAIC1fduZENrw70Mt2e+bE5wUHYdgMr0wrEGFo
22zUuX9gUffzV4gk3FtfA9Hr/mhnjO8dWA6pNXyx7Pg1W2xzY7dpe2T/DhhqXM4yJzk3lFc2KyXg
cF8q/nxtB26hcB36CXtLiMi+F8sX0HibMCflpxb1yoDuTZ5HIQ6JBUdFJ9zMcpwbfsY7iygOf4qX
ELVFAKV3EPFVZNpwSQN522U4xce6O4Vy4mFW3WA94RgPuBvdfD55vIkEqyLpNQS4u2e3Ms7mVD5p
S7dOLee+l+FtUVdnh/89SO+c98Nt5KH1kNVGBvRFYUig2pzqq4T8NAY3pLiFjbhOtfS5TPXnii6P
5cGpzNwjc57bZdT9DKRxmWVXlpms66yeT4vjUItRJLgAuuvU2fceI+aG6VU0EdexjEe3XOZDvRTF
EcT8t3wOHPrtIvPnkHbXmox0V3vVLmgx7S2zVm///OT9A5eD7rI+/XBv4wngv38+eaNZJzsI7Np1
WadyM2TejJ1uTn1Sr7Nzlxuj7wzwtssop2pa3vSqbm/rOhWf3MXNVuU03fVqIjQFfuo5rBw7UH32
O5uOkEg6vKMEHJFHNYttufBMZwF8t8BqiX9zQb3Xg/Qdt9sDxX0lKKBfx0n7KHFebPCwkUcjMJRm
xXqs1+100KsUfUlQ7PSk2UmScTJZ7trc+TZn+T1W5mMPMHpps2Pdg7SpyrPbSm/XjTMM1Dney4mR
Tkuejx0AU43MZBeiMvNb0d6Zc6+vq8g+iojmEnuwwNasY29spgf2DCarNwQ8cpYXkwk9Xjkbr0Wc
Xg3Vch21ySEdrZ2F5xIyR30IPqITXcZguRtuiX3aWGF1zkIWaU5B2CVLCKChe+413M0VDWs5t9sy
aS5pkt1hWGNSCffEt2FWrtkpMeBrbmKjHfx8QfLVNMkDawusDlP84gnnFAOyQCRTrV0kTGlaKzb5
Tq9yeHH6lySf/dxgXOmZ+5FzyGjLb6XnnEXN9DX0tG+BDnWykvUKKQV4zSzXD1qlzrLuHDv2Zykg
RgrQltCTv8y51NcJCYQbkKAXlnK6DxRLRU8k7h68ef/IPm08odVsrjIq2b9wiDFq/30hYmM/Jd4E
2r0L+/TnBzUBUUVTn4MJ72PfSI6N/D9w29fpf8K38g/KkJ9FuXxJ1AI6SkDGY0oGrBT/PxYhho2p
xyUf9TqzEzZol7iP93F114wJT0K2ju166yWbv3gDSqXG/9cI/9+/q/q5fyiw+irtKtPQtCvmx/f4
kZAb8g/cip/p7hjRI7xdd671ZAfGYeiJRBkmVqZZweRLyLhcF83yudScc9yZYo17nDX0qL+6ken4
uUgeWFmNfpjOJyczvzAmm456Ztg9T1NRbvrFKTZupdW+XuFtdYp5PvSTY7yWBXHeyBCNTRzHXzOe
1U0tSATiBJ594JtiTUt935tqf6ylD2iP5CEPASTM3TdkPXsupU9t02ztdmxX0kr2hog0pIJUKNlY
FLt56cW6hlXvN6NFCxVPdzIqmFvFROsZob2CnHzioX+v2xGCZhUfGpPA8tH8NC0YrUV6tLqSIZni
ZcWBkSGdi0Gy96R1LskJbZ9fzIH0jUxgmw5STlnxNAiWmXGSX7nRtCuacTMEC0+w2KRdmK8jeusy
yV1glInrN1lwVamJlOUQEsog3Q2ne7wJFHCVBuOFpBRYrGK9ON0OYCyLur58scOaLN38tsYy0XRT
x1rvOFhQpgfL2DvIw/xK1x+KGa5NQMjB0PTXlc0dCeHwQF/35taCpQIJebVl7sLKPDvsWv/icfur
Z1wV4j88bQznnEGCbrtKzsVNeK1t2aA+jrvlwLr97HL1rL/KcYXM7Kp4Hk9//s0Z2vzRo46uHEm+
xACjXtwP3xzPhFukrqldVT5E0bNcV1twNyxkn5wtEdoPF219fho2JMQPL/xHdj2fxeoYb4Nrg/Ds
v3g1Pzc2v77vDLLhwWTZtFHW71wysxhRKepJdB2JG/B8q1g8NcOvre9/PFF+PrP+/XsgavrxB17Q
QmhRlEVcrm9hs/fm2z//jf7hz4AqCsMCczRGXD9//Xxi50+SHZe3dlN7vB8sas5fT6h/XGAmj99/
bt8J7uzemn/v3NVnfe/cJeAbzKkSeaxSmCmV+vfOnQ/hZ0eCxjPE38XlL/9dswa0UkdHS54qnq+P
FfBvnbvCupk2OnTsYb/OSv+Gg1W6P18tiNYcFW5OHW9KhgH/1rsPspBdrXnzBQV8uxVaVmxa/KUI
ZQ03qEnNTCaLTaxFgJEVFBUq9v5eQMCy3BRNQrP0gFeFdZ4KWBNDwiK4J8PGxNSyzmYDX5beeYT3
Ie2FzlbdSpTJpNF02gnViAUvtvzsLXqy1izxtagZW+FJu83jEn7iWGa+Vqm44dC5UEciUy8HsQor
h+ijEh4HLBWDhJAQT0wub+FJEqpA0LIP73EjcF7uAWeQWmWQeAMiunCp0AprHVfpHcrjtzGt78sh
Rj43Nn7DAO+QTNp0DFXCwNJ51UX09jPM8zuv5qsEaEtNV4w+uQ9+O1F7B6N3xd5/VRsoOFij34p0
ecz76sFL6hNs82eMODtyG3mxC5AXIj/PXNVEmozW1VK53xZAImB+0pr4leE0Oyr/OaOI1XpCACIE
eR5YtzQy2pXlltsAQpij1Vekz3xOYkUWY/m1jqOc/Y41vy6xvNZZCW9Gt7qLozBbE8Vduzet4Wrz
DsTxTMYn3y8QjBdruCKu3rDILXeS3Y/wxp0U8El0b6s3y9viuvHGcgasBfTeDn0963i08UXfVmi9
Ei4ud6z2HtHyq1GaT8TCXvUaLPWafnyYpEUp/RY4JEZL4nRlEL5QrLz3TsgiNbUKvzOXcquLDlFB
Jm+CZrax1iO4rZLqNmqWF7dmdaV3iL6jrLTXjVJ4FzZqStk9Jkl524ucbsFmR60Wtku9JVSl4W4m
ElG3b6cxfCJ71WPG3J7Cpsv8QcuHjWvzuLotgS7wMzvfmdnTOlkRIyRo0Q6EKJPj2kOtn9wwv6nJ
7rVPweg2Ph07xDErfmGhHa67oXxxJqOh19Biv9XI0CKu00Tun6Yb5tkU9JJNGvGkFZGLoYl1IyR2
zOGZKg1JBZwDqCMbgxqNUZBKUY9VnrpBsHqmjbf4rlgmkrheqOx1eHXn3JZ7bibaz9C7TEXbEq4j
rbUT6QeBPGplV/QgBEsCLc6mSzlph6Yk/3om+r1P+qckJ2d0Hm8Ss0eLHhJGb+nXjQxJpSE+Hqmd
2CQua+FAZct7c3vDaOgb29WKeipimjO/jol3TRTJPeMJEqIIqs/qTiAEJ7veVSn2VdhAkQ9AxJT1
rVRR95Cx3pKFiDjSXHZLPzprmWk24+QWOFAY35dRiH4Nm8xGq9InatQnvYnYqQ/4O0TyjJSdUqkr
QX4j6VjBGbkCMfGYNNpJD4ej6+WUAZPFvrU6BljD132J+MHS6cE97UtXzzvFwC0bImVHh/VfFDqf
u4WQS1Y33n6oyEFvcw/8v86DVxMxcpFp6Wo4TUEGftwG/1yLKkP7P1+LVy/f3pqXf78W1Wd9vxZR
RlFXQU/4EEpjr/rhWkTlbVqMtBlkcsDafOj7tej84jBiBrxMB4Y3UgnAvy8D7V8cZfVy+QRDZzr8
tyxfps1X+qHj4lp0kWVBdzOATyB4UC/ix6pME/rcyk4PL4GXM+VFRNO1MAAykp2MLnuqUg1ZUOf5
C9lPCgW6K/KQjrbfC9KhTBUTNXoWh9IIysHJThM8h9XiJTDMBpaGpEypNgbwItwgN8/QnSJBgqru
bXjvfdV7uIqd2193fbge9OGLTY6VzoLcUsFWcRg92x6XIzO1RzpcsS8YaoT5GKydAPAmL7vc9mRl
lTHqq1CXX0geLPw6ZmHYGkRrjZptbonffB/G9g0fNlE2GLU2bplAeyCbq0yjW4LKXhYxPmoKUu2p
GK/SYtCZkuxlqYivnigdYFi8b1unfOUk+BqRB5ZbgiyvkR+xV2FhbaXfaKSHJRkpHaSJJSpWLEFq
yiBZ3nB63IjCmFZxnHUooIgjy2i6d7ZZDci/x6/kYrXrTEfAnUbEUiyRhYlUJJ8GMs4wkHJsCrAW
rYEYAALbfUsiWp7rt2hpGnQ8pAxqpKZFpKdF3YQ0LBIoIwgdMUlYC/UqYXDpUIyo+LWyt9AvxS0C
FWTOD0RyFnuvtFDAdU6C34sQN4z0yZZ43m9sTedjOEQ6mU0CE5CKfzNGV+P4N852TTKc6VZ4UILg
dlaxcRFstu0c0mR6WQ5fScXLFSporrS1XanYXbHDbKd+nvGT79rQUEviiJlt6BB8RHId+GVM9uTK
EWYXEIlXAyxzCLpjXPS18yKS9VQIXqbi8DIVjDeRkIfo5WDD5r+K04ocpRAwFNmh20QF6wkS9uJA
7zaDCt2Tsr5jHhr5Dp5Bn2KPB7LHdCwwKuwb9KXrsF++9o0wiOrqPVwBJkc8YUxILoj8ixPC/5bZ
vcJV5vnuZL81FTHLDbDSYuyKtdHxKDPqnPxwiAmjC1nXoJm+J6fkeVChgzGjxVXrOtm+Awy7bsPx
XlMhhQHDUEfFFo45/mWMkZjFVKhhTbohylrYtWZm7mF4f/ES+coQcOeoSEQ5gQZFfMjvGUWbSW7i
EtWvpJwrWYxTk2TeevYtd3lnHvWFVRNVgRK4TErqYoykR0ZPU8h7XqZuyU6By3ymRpqVUMYZ8y+j
ks4EbsymXclpamt+nJTAxlZSmynWVq4S35RKhpOix3GVMGdEocPmBBOcEu3oSr6DPKhe1UrSQ9TU
pwWNT2NX516JfvqyeI9RAUkjOhTSPQ0uIBNUQgtqIck8OdKiK6FkROXMrpcsFFbVjXknSnsAPIzs
qEZ/5CohEjPSA5A+pEkpL9wL9y2aJfbm7zYaplaJmUpiYMsgn4+lNr9INfuodRQ89dShipwH+xgv
HTKmcCION3G67gn121Bup6iCCkykYHlvjH37yIR3ZGAvCb+yRTs0ewMrxnOYltaxa6ssvCGqPXQP
9BnmcxAi2b9KLHyzuZd2fu8FTzoD+401SR6NIMxQ9pnJ3iyJ5hoTXGEjz93GqqjCeQq/9Ga/X2De
rNie7SN7CcCsUDyO9AErrwxu3WWhTuq7NUCoZY1X9yazQ6ZPsIQ2eRVzPKWZxAiXvIeNc9vYuGI1
HAczEIs92Mxs7VTOHasPxuzDY22RFca7eOcGgCEUC7oWy41nxqc+na11VYkXfeIcL4vxkuCb10c9
Qx0ftPsaJSfPWnCZUyHXM+UhwqYEWDQiivRQqLy41ihenHKINobsqbMJlYvT5FUSMofHB1mgxGEz
V6uFGLrAJI+ONRWcaCLqxHQuWKfl6d7FaVksO4aQO21wL6FKtxuIubOJuwPExZzZQGhLEJ7OHIOG
iWy8TKXkOfl4n6vcvEgl6DUqS68wSNUjlTRfET8ENgO0xkz0njEIfZ2PyAEksXxxYiFKaZxzUNU3
pUruq1WGn4fFtI7ktRmhW7RCMi2bBqQlwX+pzdA1r681ItjWpbCfEnf4moxkBY5TdhpVeiCjylMA
WtMiVpCIsstskTMoCRysVPJgn1QgvAXRhy75qmQTEmBIIpRW6qse63RhxMYap86qmPEdsLFBzYkg
l6BDe/Ca7aiyDw23OyUqDRGPMMrVedo2BCWaHYmJfRxhNyVEEd8M5zPm5HQgc1aL70ldeKl75yAR
S6Qw/QfSGFODP7UgrKBRQY0OiY25Hr4lnre3SHIsNT4akO3YDaS8kfWYy2j3Tz35q0riT8csVy9g
XP+gnPxxyqIIAqA8mP2jkmBy8kM5CUFAEtdhW0DqFOXjX+UkKelSwBWgc/eUfOGHchJNPxge9PwG
g34TzcHfIuR/rAX+NcBXUxaX2AjbRF/Gq+AL/lxOIkYl7ksTy8XIo8faoN7JaIqxHZGppC/51q3t
nc5DZM0IrSfvESU5FuQe8Gfu2Z8S17wyyu6QJ8kGvmTQ+o5DyvUmZun4kJWevimluA21ojl0HITE
8pLt9SoxqyL10kHxn5xgyAlhUuYoO3OSfdtx5+V0iLcCIzJZZvb9mKoRNkHTnkUY6FQYfhWhPq6n
8tM8a48AJR8MSqKVkJzJoqG+0OZLFLtHYgZ8kou/NkjCrRSfXohbp0rkDcfCoxzawo863llBp5Zh
cNr7oHifmyVZRVLfBiZGaoxbBrXtdOka/aXOKBasweh9cF3f6jFf/E6w2fUmdxOKDn1tGaExx4dA
d6iZ82GcSm2NZfuk987FSHlX69FpwTgI4MjBch4pxe1waobqKRLeFw3uOpMD4zZlptJZ+WMaY4Fo
kuWha8bt0OvVtR6M3BXluxQ6E/j4ziPtDClFfq7CHHfOjK+uP2nl8C4aSlL8lLS4htHjX8OPrGkY
gowsxUCnQbSN7DX2Q+kHksG9xXT7IpHQIbiq2dJ0I9TUclx3KkilTNAi5MjmNm6aLutiqshfE87X
aA6PhQFloAsSOu8JQYErObGMfd83lyCDQ2awcrmK6qaumJTQP+86C7LvisHIwegYVrTWVTehPzdK
KddRMWxNEbymADzTbCKunNkAaVUvoc3cja+5LjOPHbUiDkf4xSNDexENLO1mIFpcT9m5womASQem
nV/sxhWElss+ss/ZaDDFKZr7qEXxIDt8SLoMEV04XuIvDR5CDBaQb1F8Z4Pju1TrO1aY3Tbj+cfp
5nKomgetbh8ZVe5FLx/HodPXYdQKv2ulzohfJmc0lZR3HtCmyAL6GAyJxryEkF140sFu1nVxXU2G
vIXxTH2aDuQIVqyFwmOeMliaavnCtN+CMDDHF8eQBMpb5nZ2823ftSPagjhbW2PxOrflVg7x5zJk
SONBtQ0j/p5JNmcXk4w/AgJ+Pd3/4yLgd4N6iwAjThu8yCDBFAXsdy1nZUyk4+A9u2T5Q2p+s3Cb
/tV+9A++hefRJ6Nv5SRkp//zMTRX4dQmsW1e0va1T2/m6lPhnf+5oz7uKMnt8Cczj7fiW/k1/kOv
GJ/4fewB6QbsGhHz2L5sltR86LdtgKkmIqwDyF3iz6N21/839vgA5DOdJwD0Azil+DTfxx5sA1hO
CfErUv9vbAIsm6/yw8iD5ZawsLEx9gBr5QG9/d1q24Hl4iIl1i66hrO6i2lwzeUtGFFkpVZGFKYh
tqhvts0c5tmOEKHmzmty7VY6A9NfyC2FQ4CLx3rUg/bg963ePNEpOfNXS3M7wteCfCUVNiKpFUpC
ussubEf+iXt4R3Q6CDSGkjugVeQCVpq3bXT5uahS8TWsQVTUcqq2ZQS2YmQtsxoUyqIr+XcNhbfo
U9k8Vx/ICwW/WGDFHsfCOSZJQwY9wmdyuVgSw8zoZf8Kfx8XhMJpcNIhM1anGKQNNIoeVaK1iTxz
uHYVjiNvknDjKUQHYSqQrhS2o0nZ20K9XRkzvGoXVfZK/n/2zmQ5ciPLov/Se8gwD4veBGJkRDCC
UybJDYyZZGJwzDPw9X2cKkkklcU09VqbMitLkU4ADrj7e/eeKzEfM0IYPFHNOSFXm41mmz70LlgQ
TcM108QUTcVlXIXRkq3CVTK3mOZ0DatdwnqET3Sg8tPEREy7rP1mm7YLVyJJHAknafHUX+SvwBKJ
LuHspq4aS/JMapnd6UrISV+ibOOxKDhOUZdbsFCStjD8lqjkShbRRV+MV7NEp+SNKa5GaCqFxKp4
ErASvLJWxDzHa0VZAvoh4gPaeiKpLLXks8yvqJZxNN0lx3UALkmE1R8vfhncWAy76V/TpZjY+S6v
+36TNaBVAltxj7E5oBwhYOQo4FXjJtaqLrjSuughjSxipHP7KaxRowxQOldsyx6E1oaroC1/qF6W
+bQCDql0XLnJdEo56hMNkP2IZmuJDKA9TRmH+8wxHd+sXUHMOD43pbd3dV85F7rFKkoy402UYC+j
/r4xI/7HqzlrjlaHBWuScMK4Kwf+gFbvgnhR97Q1jr1VKheT4QDUQTF+tiwZ8VBzRqbqjuvP1xtB
sz5J2wOkMApeTDTCVwDQ15VV7W2zKJZKUVDhQZyAkKnbGFH6KJe9VmUJnwD/XAwjHIS0DzWsLYF7
CSpqrWTes640hMVlV0XX3QWE6DSlg45FV8rLSYmnnS4pg2ExbxWL7UPGUn+rJkGwct2XVhn3cYrg
x3QOU0SMi5NEm2qcyBia11zzyZ3yg5Vlj3Ov7C0tPmQRp6C4s4Jj7lLYyMgcWndReBNNY0gyRbqr
k34rKh6SGzkX5UConJI4xPgK9ynsBt5AOz6NfSGDbektK22fgS2tfM1Od15rrdyaAKwaqTpqODgu
P2wHq06brWtYkNDMfbVnlQ119ossvVGZ7JzeBDI/+oNGhhzW0wibTnrnpupJN7s7SP8uzAGvsKnL
evZF4M4/ykq7tuZu54A3N7JsZePX8tVo3OMf8nFqPEW2sbHrftWEiAgTi66YyK/dQn/28NAtstR4
ab3p2lTIKCdm6DhV81oRpl/yjBEsQWeiw4Iyi4xeLOGcC78jlr+l40KXQiS7uovOZF+dMhIiwFTt
grHYOlnh8yEVfmqpV1k+ktE9+ToavjzolgrtFoh+dEbE1kEkk5VkTjTjmhYo2jc9/m67HY75cqsA
TBKRs5rK4oQJ3l3larHRWnBYWGzPOp2tuA+3I269rFAOFEXXUxpzaCXlSYw427If9Hz9AFcixxw/
aFNcdS9F0F2Tt86MVLcTxdp4yO8tymLNbCw1kzHYLpoBUeTQvBsiQU3s7lY4YmHzbtNk1pf0R3EP
D+omM2vfCzxmYKBgVFDXdGZ+TOgM+MKtqRr7TeQubReyVNhEO/avW3Da96rWXsyWe0P/7t6NmmuJ
nuiy53wqXyoVmjtWDXqbxHbZ5boJpqUIzVUEIj80oisDym/RG9d6QDVcwYxc02kDdFyq6lbx+q3b
KGs1Sm8SIspbS7ur+UsdAPgL2yoxK/f7Ru3WvIqXjeeuNaO5ILGaAatVWHLDaK4tcRoSs2rq34eu
uOdXUSYHIzg1BB7xJoERjgZ/yoenJm/YhCt7+MK7WXGQYNPE62sBJZ5FIiqDigT6ic207Wz0lrT1
Ln9soZ5NpQP/APR/BH2MPt02d7HJjVmxmC0PzWJ/P9Tq16JOrgtFo+ozruOg495hss7brdNazE5n
g17oCk7qvkRn2Ct48WJn647BKZDRkWZ20QcapAA0QnlHDEE6ncEPU0AZFuXgYjT0DoY2PpS4kaea
M4nuuXdBbV81dXPKG+sahpe6cLXmpmMH2peULWWTP7fSQ2qFF+zU1cVAPb+WH6q5uJ9Eu9drErFK
8kM4nSXG4DeD3PTAoSjzu7qcLki13iu6GZ2UgHMHbqr0psFd4tOVu6gpjM+YX3sYd4qSPFMdvUva
jMoLYsmF57QPmOsXOuzGpIDlFmvPdsZ+v63uRR3tgP6c+N7i4qkFB+hmTxOP9zJFIzCr2kNkNeXa
M8RtRiOYo6zYCEM7J8JNIGpxVioGY42hYRsI2x90JVvFc0HSPdW4cCBlctJloCWRnvmZIu8mCcaL
Efd3qaA7b5KnFhu3BFzyBtDaTHpn1XXhqo6U3KcUTdmo87OURWL08m2vuM99b62bGANs76zJ5lhx
juH701AVDMd5PRIVPLXhvm6tW3otrDUtkZVNtWhj4SvRoFzkOvkjKnUuk/OqVuxSpT3OyvDQ1OX3
zpUy2sZDRDAee5NDXKay/L3Z0p7/7sH4+/HBQpel29TdpTLroxyqHeq67uJcOakZhX+cyeJaoYD2
+SBSo/lXqeT3bSjiL45pBsAyQ/9wDKJnpdq0DZXT6H6rKZ53D2MBwWuZYQr7fKSfbXjfjiT/kjdS
syIoJm0OGEkno8lEIuFAPpoB8nxJuscY6cHnw/307vE24V5B8ENB6v1wOr0AN0iL8Nwrj223r8Lv
efr98yF+dkXsltksMwwqoQ9DBPhaVW8qozNBQsmw6aZplRIinoWbmHqL3v4ikeMnV2RqMmWLEysH
SvvDiUH2j/RJbeMzKN5FbOAyg+YsfnFNH/Rx8ljybpAP2tcmUFoAKQyS1PWirQ8y9v7zu/ary5D/
/mYe9O3c9jXmrDP9MhuVtChuA3pvnw9CmfHjtH53GR8eTSkmUfZZE59HhTRby/fiM+BsPnAPFnLz
5qSTaf/5iD+7LPq2ED+Qbll4w95flojdLM4TLT471VWlhn6Z7pzgxz8fA3OubYIqQUX20RkQWIZi
u32dnPMmWmU2CMPCH9K7zwf52a0jzoEyjKEZoN8+PJ9iiBwnjklbqsuH3D5EnBQTPgZecJN0e5NG
2hBcfT6inFMfvkF84v4a8cPDQk+N/0Kb6E9THoMITCbrLz4G2vunY1FztjQHSzPR1MBZkGe+fzpN
AY8jGrXsnByo2u5YPI8wRlfWVXRt+cSOrYkRWn9+Ve+HfP2yvruqD0OiPMhGzKDJubcRXIdwK6GP
68X281F+fu9Mbgkrp2VbH56WPWu206IqPweV5+u0IhEvfT6CvPsfnw66EWabRzWLEt37W1dCvUad
AQzO4eg7uTq7zcfYDKk7J7+4lp/dsbcjffjAUVUtas2xk7MG28C9soKbav7F5+3nQyAM1TwMnPjZ
319MrIneNedQnPP8ZKF0HmN9ATPiF0vdz14hJtufo3x49KLuo3YKGSUW31MFY4mygmllgY0R7VkR
m9T6xTP622VhoofFaKo0XOikmB+U07oHXSZzivTc9puqfhzsVTVffz4N/jbRPgxBLe3tZzsncc4A
upGeQTvAIYTTn1i/uG0/H0JqjWBJe9TZ3g+RjGOmpJy0zk36XZl39hD/YoC/TWWuwTVBR7GlwbXy
MTmZT6czaPmcndnnZR2CoWQXY43MvZfXe/WvEk3X30ya5VP79B8b9SW52v/7P8eX+vvL899bh/Kn
/izJEj9qSe0zxjZJ7+ef/izJar/ppmubHvVQvlpvSrIGfmx2wkjQkGcTNPo2qAMlGoV8B164QUKo
RJH+g7Is8jXm2F9fu1clmmOzY4SNwZ7R/LjpNhSdWkglxElTzba+8Nq4VOG5ZKaCukQ4dKrsOpt8
SJrVleaIZYeLGVPBdtztIA1ucilBkiWo1v1CVadclHF/qxlmvVfHtIjuA6lKsFt40hMbVz97lSwI
NDtgILalbuFpQthQiOk0KvCYPEd/CpjIPhiEfYkYIrdHvDnII0ZkEqXUS3Tu+AXp2LNdOtelUfAL
jLnchqNFc80ttmbjXZGt9aMvQHCiJqaGJLUZJRLauwC5hmIasw89AgfmqJ0IPL4aMgBVtlR5hFLv
MdbutrehWGRi2Aa2/mBKbchQTN2ql3qRoqj6FZuJZFvCIlp5CJh9qwiQf1TRfSeqdplbpdiERCst
5lLV1gZeSnRNBhCLwW6jLd0rjsAVTmgYVxCYMfUq6TaK1HIlTFBQjaale3jw4bXTOuNXuyc7pXBo
RZFHYJ1iJIp+qMXa5TRReB1N/RzlFAPzBnaPXWEGIgeyWUdFplEzyBhaT1xy+qp2m+sGqouoxlvX
axRMSchsLhKtzq+CrjX2bllz8suQ6Yb8DXkVX5iOYms7T1BZXuuDgA3vCO2bVhnmklzuhVMlyTHq
of4EBEW1Ei8KnVpm861VK7sC3lYP/jgVYNtr8YJ68WvViEOhImvLnGGTolrxiaM51p5yhCTKRMog
u5aQZaP8otTrB10Rh2TAFF7p2a0RkrneRu53E3EIoLjLPBvR4UStI9D6TZAmDaM3II5bUTIfgb3k
C1UMK1ES6WCYfUBVO9p1WYBNPaDqMNq6u8rm8Ps88tkN1KLgsE2FtABajfUrjyj3Wt+pPNcLC7OX
D3GlWRrRuOo09N3ZdBdKSBv4RIs6WZ+gtad0Dzf/knCsbOmqFsKfMIsRdIQIt/gvE35vRKnF4QDl
C1WqPS1P+O5s9qR0xv1SHVXQvqTciBqV3FTia1bRzdvx2PtUYfVVLNGyKoxZW8JmA6izg0zM8CSI
NsgbZ1EBS/HQRi3oAHkoJ52XLAifwbCmPm+X30q4bSIptxJ3O8Fz0yQAt5Mo3EJCcSlYeGuXqa9K
YG6u1i1RAPBNQahQEEazlTiFuMglWfff9eP3rh5buk+6elhd2c99JHPo/NAfywdCZpmihFWHTzPN
O/7pzfKBIgVgBzzo18bdXx09nD8eGXS8PGxisZT+2dB75R0hZUGVQleJYLl/JDyRIXjvFw9TLhzE
42kAsLEYsbi93SNVRYXOKUqic9VR+d5Wr+wgyzlpQGmY7uErWIgUlgHKEDmiKtr4V/zQhDWxXruv
WKLhFVE0uM0WEI8RPGFqT9TVQD6bstfREwcXGs0VEpywDIZnU+Rxhk7OjMre1zp9ZE87W3Ma+yRF
B7jcka6SrdxPNqpJvmoeBf166pwZ/2xcRVsHQWEF8NUioBhQoLWtwho2X066Ll/PIa1PIZpHSg3G
NDir0EX3uBAuVN257ZQXi0795t+p//vUZ9Z9NvVzvG0v009mPz/3x+wnyox2NicXTmISfcoG+s3s
hyzDzhm49H/AXX/I+CGy43qj0A3P883c/z0/yePcbTrItaRX7h/snBz56r2f/Aj2ZDSky0YMboFE
rL6d/FmZmlT4XPsyM+Z+TcyYuSxU58Hhg1843Vc0hndivgomUNaVttIJA+ra8A7eNcYsmRNUUnSu
CA6yDwkhQsYg7jKZKqTJfKGJoCG7pQ+NsGRXEkGkhjnSpK6gRV6TLCJzipAPPSoyuUiTGUaGTDPC
WhMgZE/QqxKNEYT1RT5QoEuM6GtG1yKfvIeZzkZaurU/xNXTlIgrLzKeYFPfj/2k+3S3jggMC3+K
BLFjVbLvOtrFIH/7r5PqPsZIKPc5CSbwvokYUcvkjsDhR3VyZtDctKdAWNFhnrdzpT/2TXbpEZk+
2c4N4Hgxq6vKK1hPk+Gui+IHN1a2g1p8bWolvHD0cuk1pp/l/aWWwGpIp8txii/NTgKwa2lfiJ6L
siVjPkfbbA+XXjyAeY/1nVms6fkvoom2mH4jHdB0/1rxAG69WvAnbpqGiPBW65epSc+mtYBMiUSn
L2HCjbaahv2el0veOTV45WBnxbAtWrLPg7hbDUVC99A+oOSd1ya2BHKM021VpM81VfNlqzcs67W6
qe2ZsOC+O4O13qoJvS816PNNlNP/i2mRpznjYf5rrJD0GKf+ps4TFi+VghMB6wX1/tEOPCmOP9CZ
OJGVfJmV5tJO4HQhxT4MYQStwlk6Fiyv1qSbmKqoy/OIbV9Ih9C3h54ACQGXIXVI+CRpJCOlomSy
xR6t5wxhces80XXe4RFo111D806y+tFMXA0O9H4HjL9dGd8nyfU3q+Q6l6T/iCenlMadhUa3klkA
1BjcQ6Vou9QtjmVCbDqxARHxAaXMEdBkosAsswUKmTIwybwBQfBALxMIekhCXczCMHMakfbCqwAb
gC/6cQugrljXIIQhhtmw+IudoccJqnCauui8CrjTJnx7YasbS0tpa9IfhRdAMxJWdQKzGszSvoVh
XcxonxE/XCCgP6hQrnWJu07hXrvwr5Mm3HlRiAkEW6XtNrcDpOyyU+6ox+/UvLjoMMGTfboT5LIo
ELZzSNu2qLip83AwYXAbXXHsJJSbpt5VmvWbMYgPZmcjlB62pVfsNFn5gOpNn/IiNOnp1pOxL0Fu
DPC/VQkC7+Yaimh7P0hEeGPOgFIJ4pTw8AmKeA1N3IrLPaj0rSmmjisEOJ5AHjchkIelQ7e2R8kB
mhxtyE1TNF+BXO4JfT12MMyjcLrO1RQKDS+9SKM1VYWvIdRzKyy2mR27EOvzjS3B6LHTHg2JSocg
zW493KEpusokTD1UKz+Crk74zr0qceuumqZLDwL7EFmHDurfAqwMns05u2eR3Tod9E3o7SQmgltG
gWGk9uMM331Q2LPDe0/hvuco9BrJgW9CXL3s1+cmuI9VapgL55Ubr0uEfPpKk3clWH6SiHl8JwCQ
7HTvQZ83PbEbJY5egUsfRdHJhFMfSGA93bvjAJh+FXuw7CXUXqnTSwXKfVV4l7XE3rvDuM4kCD+G
iB9r3WGECGXAwtckMV8+QgOGfglLv2hCVPMDhkDl6whr39C0S1UgZ7dlyDw0fl1i+WMJ6Dch9VcS
2V9r1jqXEP/KzR5LqP6TB9C6hfMv4P2LvByWja19oSV/UZEIEJEMYDXKVR/bmq+bt07YwbmYvyWp
czOz5T7kFuECKikDZZYfFamsDap0ZZJDoJX2xiGXwJQBBUkLA2mQoQUCSLWuhy9CxhlQKFdx/U4H
TUPor2kloQekHziVRd6ODETQZTSCHarbhqyEZohvKuDdExkKAVkKuQxVGElXyId4wzXfkkv1ta2i
fjeaZyHolRLLoCc28L9s3FhmcRoIbohlgoNr91sFJEc7u7u6scnI1WD5e9wa7aTIDIiIjnzf6TcE
9bkrlWPm0q3l0VIbrkrDPjavYRIcdAiW6GTGhPUaN0Hraa/niGcynNrrqLJBJ6IOit2etxPqODKw
hV1zSRzDtiBgN06Ye2cwWi4Klj5fzUoMPaevoHH1/bjou+xbjxXEtPNkzQqDSMglwavU5UEp5Djf
boMIh8WYIkkteq+/wP5KXLAy/cjrBrEXJiUxAUIxklpbcELDTZumX/si1JfqZNd08t18rUWNoyyy
xMbSnIUH6izlKa+09j7RnDZaWHOtUM0YrKtmIGYrdWdOkENq4tmj/KJRspjT5awpB/RlFyB2zror
1uaYrBwdK3gVXIdVve8qHW2ckWOCJeYo16r7gFQU2WBe1VoDxUKMm84MQDq27bc+gR4p3AfCVI79
gNipjJcwp9YtaS3wfW5ROkxL14me+LJ+UY16izrvpFrjS5AYe/wuHCwjeuExHN9GIRVytvZOnB0h
5xkwbzOMeDTZSxQCHUs0u24EGnVwSkCXp6K4bhsRYw2Zd2VoH6wx3uIGX4Si3GUeuI9CFcvYQV5t
J8aVN2Q3Ler0vpigB+X5bQ6yBdi42IOR3qmqciR002crREpItWsDj7zVaBc61R4z3VfbNPZprl3U
Biut4YInK7+Dul4lIrwaA3YKE4KNOYhWNXxrq2pfssg7KHnuN0y6Efxc56XfcYPCM/PyXaHG17VO
5qoe+x6R0Asjwxk0qjeNUOie55ALYO1h4wpX8IHWQU/UjFRSd/AO2kTbZp1+Tw3eTxNtXFskvRnU
fNhaVAs8zxVfd3GfGh0lHYucC2pWnuBI04UpFKTkC3DOjeHOZ7UH3Cda7XYaKCgl5dcCrAN6JNhH
Sh8/B3XR+2MydBRIjEts15dBaBDP1tor6r0rM3A2iRfvvFj11mEItFDML+VkXbalxhUPiMxsnckS
FoOFUxJmfUT23CqYbPdUaMVFbkIITzkFRa16lZrKIW0RWiuhsW4alHqBFWmLuqFrH032gzUgh/P4
0iBuGA/j6KJJwoQ9ksdbKvaDrifBuoyrexWdyUK1u7Vo+hQlAlftBtrWk5+eCuVUX3jRNqyxhVNO
O5aUZkSozCdFr/elFlZLHVXTsqoz2M8jSNWpypcm/28iHlTrq5swHssN3NMdFHBscG0HaE6u2pZ5
P2q8aAmFmWU9IjCqJvNSE/GlGIRvJiZBGdHcHIizkyps46uOuexiqIMrr0kfECKaW/m6Q9mj1pKz
mtP8MB7cqL0hmO+KZID44Bk5BIRyF5bqrY5vbC4sFSVUB5q8WKqZOFShuukckyAwK/tB0ZJ4I0MH
T+3eira4iHHjCQD/fUoQGC7h+0mrrr2RaLi8dC4TLSRUL1mnjjmBUEi+VKn3YI7GNcKAYm8ZSY77
zEZb3poPc+btPLBtPtJ/qOo9v1iptHVBVsuyzM1+m6QpqlVEsLhQzUw1bkYt0TlG1DX5C3ASTR24
vmErK12Lgznx35z4zr8Xmd8yNznYvTlAgaZBQ+fZUHhY49Eeqx8OUHqsqqOu5/EpKelJ5MdmHhee
efP5IO/r238MAtwR4TtKJkee4t5030UAWlNpmvikTgTVH1UlwtVx2w6/V7D+q7qek+jfr8WhSGOi
J5CO7vfDBKrqcQpQ2bjrP4biTjF+oY35ye+nzoOoHm09t+vjvWrIiy4KO0tP+cBE27rB0+e36We/
n04Rd4gbJSXf7//+0JGRC1aVnVzOHdbZ+o9u/7/enw/Skd+f9Zv78+FZQ0zUCOTg/mD6UzJfaOva
WcKzGF/SZPn5pfxkKIixUKtc06JF7H14FKlLAgA53eKkJluESuAkSnzqps8yjHH387Hkn/1X9+R1
dr17LHKKv5ldqhZnvWOn6akk97dhR+fzavFNnfr15wP97KLePv8PF5U7iYe+5/eByLkATTtGa9YR
uRSXv5hrP3kv0ecjkJKUOxgJstv75qIMK9cLFt781BjrIH3qx5UVfP/8cn423d4M8XG6zY3FXokS
/Sl3n5LgwVT+H9NZGuEogtLJp/n2/hKSKrVaU9HzU8IXkEiGdPp/fLywH6m2bMPpBjCx9yPkSs7+
3taK0+w8Dc5lh05PbX/x7frZQ2cSU8Y1JcpC2jnePgjM9wRLu3N2QvqJCF1mqFhXfU22xBIz3OdP
5CdjuSqXoWsOwbDUn96PFRH0ZniJlZ8ieaZeQfWLppVTkZKx0a9fh/q3Wyybq/+95Hn5VDKL/1bs
52f+LHfqv0kMMQsIMiQTxdObcqcOoZuWFLAu9T8O1D/Kne5vNAewoFIlpQz52mH+y76jWSQNgLuT
LWiVZOl/UPE0VPmR+etrJ22mUg5jypa0B23Y+PC1q6smMy3YfaeybJDBssVY1B49p9Ka7rSk2gSy
Ozdo1TIou29qFzzG9ojPdDT3kJFSsmeUO6+vlqo1Ha0ZcaqFVJ8U9pbYmPhkw2+YAvespqHmczzX
VxUycDF6x8GwDkVWbNzQ23aJzoEiNxcuaQh+HRJtTcPtxraKbo0N9EWxcwD/Hiq73gyPjg0lEQxQ
sHArazXpEj6goC034p1qQQ4qdfeLUxpnNv4ni9b3oqvzHgFzn2ItnzbBiNt7sryrNAlvQraHuYUc
frJw1IRpodL9M1+GIkyO89yVT3nLOJPVb2alDn0Dtgrd0y2HFnVNjAIln3SIKIbEKtSqsLzo1FCs
9HIAaaYDDRJR5ceptfaq9FsIXrRF0EeFq9l0VY1CtwAWS8bcuHZUeNGD2NYyRyZsPVBS0bI2U20H
BXtvqGl8oUFRCaj1wmNVSz8QVBQF/C9vsG8qLbYxI9atT+WYq/Bq8+Sm9i4fOnVRzB7Uy8ZKd5Tn
Lm2cmEaet37TBo9N6N4mCmryWDG25hS8sEvJyVgesWPY2bKhpIvUC2yGYprbIgoaepGZekstFI38
aO04w41LMyyv6W1v8fg4fmRh2QjnpvKLuAnQvgBfA7abLMrEW8ccB1ZzFE9kN5PnYIXie61xQOsr
IjVbZdbBpmkujR+BSRPXPjydaKnQ6F/3g0xBT2UgugAKsLM7QtJp4wz+oLhiV5KgPjpEqfew8Bfs
TZNNW1hpta2bsAhuXEArF5odPYdKQa5yILyLuYyIYUzrXV2Ft5RryThq9a2pwB7j+79qos5a9S4b
/j4v9rlbH5sm+1GMeb0w5wERRH9fNpSHiJT60ukVeB2S6P0+KO/7xlVXBIMfunw8ZJlqwj1LQHG4
sHAKcq4H60ikEq+E8qUdNNU3YZQnOicXOzRPDj36zsXYE6NdwG1VLOjSbxJHP6Q27jfVax/nMjj1
qrjzRqrgmRXsQr0iZwoEg59oVbyqk6JZx1EOwlcco1DxxzSMVsTfHvPU27Ys0P7gKM9xEN+B76j8
UAmhgOnqsxGXX3rhLpWQ9IcaP+JTX1srRVMeepOyxtC6R2MkjgcAlriyhfmIKHDfaM6zMzd7jt6X
s0a2UTybi6awTmNR6Me8zgiQp75VOvbeGGsfxrBKYlx03YdqtxDxRMr0rVBW5uTuy5jo7h44ZxDF
tZ8DQ417B5y6SK+wAyrET9UPpdJeJ8DjyYyazxFpsb5tEC45gPCJk5Wi2NtZegOxPGMSqtG1E760
SCPvSPo2JiFxosnodyZPXUf13zsEj4tsfvTsvl234OBsmp0WHfNUSSS1rTp0w7zzyvgbhjB4yZqG
+3jwEMMkN21qffNq3B3dSHhJXjlfQgVyjZYFvMRFhDgiatGO8C0kTz4dN00OFed3JfW/K67OhvyT
Ffelf3r+2ZrLT/255qLPog2OUA5eGCpm9kVvWowALQFh8i1wTaKA/mywG95vFuQwWt/0vSXZgZX6
jzUX8phqvcqpiAzS/lmT0TDeHzBel1yOk5bHMYZOJ3/F+20ZoOnSsIJ4OsX52ZgcCTyk2j223t04
Q8lVJ8DZnp4f3Dm9difz21Smiu8Qk4e5ngwZuDPqwmm9i0bIBFNOC6NifyNV55h23pd5ru6MAXhi
F64rxYaGh148LbMSlKGt+4RabVQ9O2BjwUAT9N5CzFSX1AofFccvmnDii41mam1wMgWYU9F+CwCy
69a9SJnm0/yNeB8aa8LbDlV3J+L2XHvmZUydZ4Ou8yYTI1kLY3gZ9O1FMfTlYlKaveZSphyhCGRj
wTXPy8Q1FpXb7To3WlNRCHDZ5es8Ur52JSU51nRU0Jcc+9azSaJC7jgBOb0NZgtonQTXrSsXyy6h
xwtAqs9EBZ4aodkkAFXTzaxkyHcCmANl48/VyPqXGDELt4l6IVcS4g2sh2wGS28PgYOQR00JvY29
ZTVozVIZA5krlCzdQfYWJVd/YmcyePPC0LobG2sdNUHri8QxCT8kD4/CWMeiveisAgvOaNOZvNOG
gdIKVt6K2AHoh2RBJW1f0/0ME5YbcJvmMijo+lXwRKmvr0QzbdR03M5Db686fIeLJAw3JEX3vjMH
FfU47c500EfgWn0pE+uYqo23wIfwOJvs1nBVUOALurs2zx9jbHuBhYE3LdA5Nbup6wgjgUpmJ/kW
7IeyikRpLUA2Hz0Vco6gmYVU7etk2hdZSXcxs6anSrOqOzPDbpeZrPD9YiiHHdqMzZgkAcmSAUmX
cbBFxE9+QWXsJwKkFp6CW21SYJbOmftF6bFx2pWyHjwd83cPFBTdlxsMu9mzCJQuShthWb70egVY
ZVVu4jhyFqqDQlAP1kaH9UlB2lzX3ZeZSnxq6T8Kg3vGB/5edWl9B+IOF91DmNXnMSLRbWxdkh/n
+6bOM359tKWB5vhg3Vb52F5kncNsTub7Hp8oVfWndopX8Pz2JCEutbh8sOOhXQYGrTGhUuxO6/SW
5eIu4mC7KDuz4U8Te4zcq3Iml7R1HioUeIu6s481ukXygDeqAZkKn+5GnfAXd92j5YbXQFXWjpaf
8C6dxlL1eMdmnUhORHaVnR9m0V/qRrgW+bNAbtdR0Vs1Q7Ap4kHy30yyHa3pHIOfcFUyDzwiMBi7
uZ9B65P4rT9lAaAkSxWtD4ANDHuoL3B23tozm4axSEmerp3bPA/3+PAeZjc6pt54ZejKhq0ZAKzK
ew4ydZt5LtPIqYDBZ0zAQFo3x1WQ6C9WYpa8UNot0/jeadHjaEFx2cb4/zzj2ZunepUow7kIaPlk
jWb6pCmSVBLk1iK1I9rfLf0US4zpeRLetRB8VyhFk2jQA0nPJm1Y57b3bQzaJ5FW50CroZU7VrBs
BpUw0qny2NZY+9JtzPNsuBvQKBHqxr5Kbspc+x5M8KpCMd/NRXEw5vCbRpegS7tpmwWesmqFfhmh
HV0AJ21wu9LCASH2UpQE1XdOJJa1KKUjumJhh4y3sD0HPZ2V1n5g1odZc/atrl3EnbaLova6ptOE
f9TY2bN5OXbKvsi4ylhUy7KNVLo/iknCRrhMoqyjA2v+XgX7d8mXGKX/vuRfx/0LbZvnl7+ftOUP
/rHqa+ZvsqSC/FrFHiNFQn8s+sQt2yzrrLQe+wJPnoH/OGhD0ECkDRSbAzCIUBigfy76xm+o7NF3
c3wH6sl24Z8ctF8dR2/P2QiXbF0C4T3bhuzz0fgW6Tm9kc4gi7ioqtI5KCm+XziZptpk6pImlDh5
nW4IGtIBOeS0Fua1Rq6tQ58DiTB29vTUFZUC3BBir2XlMG6FMi0Hvcn3TPXsZjJAynWjWR7yuC2+
t2E7XOjZIG5Mbaj3ZpGgh2lH5yXQY85zphusSTyRKQmwNR4jlWo3fSdIhPVQErWbboSuEU2f5kT0
9bb2QzHi+Vpv7LjDqIxCPJ+0FCWshyDarpajnugLwunQp0SId7OsC251fHfXXamk0Y2aWCJsNqmj
VfOO4xcrWg3yBJyc5uShzoCdSgeZlrEJ2Xc5DW4xPeEQ76/qWnP5EKL8ZsWccfNf4gNPVpkVV8md
ksyWXEOF4yDmtauabpsBldHq8feIrjP+j70zWY4bWbP0q7TVHmlwzDDr6gWAGBkD52kDIyUK8zzj
6fuDlJmieJVSXbNa3qVSSQUjAnC4n/+c7+y0nmrCGYnMo5DHWZLFVlsC0Mr10JP72tYv+lKtXyjm
MXCHsy5xzpIbaBBVTxvLFOWqCh+IMpYJo4DtFbN2PYumN7dKT1FJYcaf2jgN9yU1GvNRx7K0syor
6q9pexDrqdbzWXVDLszhmNnplEub/8hu3KKY/1CX/3lFuHnJ/4/zVucv9eef8nOWn363LAgVDgGa
GXkNAk0/rAuWjP6mIb8R15HRR/9aF/Q/CNiRyEAeM9Df3oc11D/oq6MwhqQaBkFMh//OuoBy/UGA
Y4bFG6aQlHMFfkh5+ft3yrxNXVoJWSc8SYmlePpyvVrzxCNmuYb7r5dzW7UEWY1J4jLnUccl7w9V
E99h9WM3+/WmyJf7g96pgK4qwIQ9UPPlFuq+3U/BWM3cXWMKbp8WtW93HsU03IbJ11uSm7/m/my/
3qxWC8uz1jlIO7mEWdOZgzm+zYq0v9N4lCpuSmfcTSgIixJEiMN1SaXcXLRps8X0DvBC78z7XPQS
Pid2vfclewuOxHo5T66Wz/AupabKGUKW1qWa9OWTmlXxk6SX+hbpn4p10af+2ZRFYDmpFUdHFCUA
F5k/Z4FrRYbv2oVCq7acuZkad8z/zOxkGnl/ndFHD2oxUTSMUHm/7SRfd7u0sp4VkgUzBwu7mJ2e
LdvomFakm8gmqXktCeqyQPhn0RZS5fwpUyR6ggNtanJ3khEFlDUFWzHd0ZraYWOzerXd6DVfSONF
NDY/YQkSYpVwnlppMZCafMXSx2rFytPPyxFoUOlmhX9v8b9NZR1sTLmdr5q6j59VO2+ubLMxARAb
wnbSRgtvs6E82WpTsq2S+DQvcyno5VXQLNv1wC+6ahcqovPPVqTET0naKLejzaYnoKsGuW3I5Sjd
yl/r/CRrqfariAKM+8wEq/NmDFbwZuPQ3WDz8rFxhVQHRkuLYLP0CWYSU7zEiprHUBVlfa4kyXbZ
TH6bTfxnL7PMpf555brtCmq48p9sZZaf+3vNsv/A7UzY12DQtVj6v69Z2KcN2JJYoRUqPRjmfV+z
LPY/UM5lcAuEChaZ4u+9zL9mz/6NocG3QO73zcwSC9bQUFRDMNJgY/RxiCV6HYpXkWXnWQ/3OOkc
rafvdqTKfc7jYt0DyHRiPz1qJe4hqAOA+cQmwugbdtIO0qRnD8pVjomhU8V+aMqXpNOeIGK4Sd4e
x1kcAlvbziEn5UQqJjc0g6dmSq96H9OTkWXIm4bhaotNlpb20p3FkNIOgu8hTaB1W1mbPxRqiM+5
sOC9ZpdWmLDVKmy4IYiJzDdeAZKvqQ6/DMfiXNY6ErUdPw4CQFiRG2fO7Z2ndBTDJQLMVmcUnxnV
x44+hlCCQ9MgTZcI0JvWoW3NneoTZZrGt0mbj6DJXlMfE+oEbxeK+aYwugtDZ7ZX9MZZL8x92qYB
piv9jnYuj2XzeaBoGQRyj98Q99FgW5eaXV+kWQEgODnFA40JkvDdTh8izLOp5IhaerCXTFNBZ4Ss
xwc6MDhyl3RbcbjZAV5BHU5msQ4NsNRSbD+PZnbJ9hNTq1WcyupKLtR1lkSryRRnxu3rTh2vJw75
HO6xnYPUVAVe0lR67DUf75W8Nrquc+wed6KaZq/R1N2VEmXqGUgiR4zxaWKPyHwAOCglVF7DIe++
0nbG1IBxA5tbOGpl9qdAttb+AIQz0w2wOF0PNQpYCnZW6D1N6rVVft/xa/gVIOYkkkZHG4qNHsl8
NhY0KHm6ACYNzSiW4BHJFpWukwVum5bQyCouhsH/jHkTQd4wbrXCuJYUPPlSaxzsrPARaMzQDUvo
9FEdXkvI53rcagecgUzeq/jW8vNPloza5GdXWZh8Bkt5H9ho1cQOBjfgTW1LXwB/RAFzqOQIXFNR
1qqGChWZvpsi/+CC6ryZqgh9TjaIN9tEUdNV3sHTUpruzdL10tMMhHTZLB9pdF7ZokwPoc6nXaU4
175GsvJRNI7a1ExeGOs6M3E7hydDeeSofVfNyTWjOMvV5JipcSQJHE0WQKcu75Asigu5GNODyBJs
iM1jZJgHmhOuGQxFrhnZ2CXEPG+yPIbP42Ntsye4c/SMPJd5dWP1fPH6QCxan0/M+j77vSQ8tdev
7dK67gZ/O6gMQYTv78xEsijKQemxDGs9UrbjMs3BrRokDdAgUvZxVfeuNE8vgTo3Lr7YALscP91K
9b7tJU9OjJWYTEiraRadkUoBjijZagIQE0M89zWnD+YXKZle2t64Dcb+NkkFgrt1mShK4g7BrLmD
ApBUjaT7yZJyp02pYIc+Hn7FkEcV9KIFTd7pWJtzaOV8r9Meqt0K57lGAkhRPUXS3hb+e4r9EGsd
EAVwZytY7y/FHG2nstVddNCJr4t9DekhTmN1AVitGm6IOxYM6igI9ZUAbIFq8Pv0tGsOVDE4/Pcv
SjpODA9T30m0CGd3Kl1XnfzWZFwSmpFF+8I078q6OjUppnFFIOyV8tmUhjWAH4NRCdDTHKvb2gCh
SMlAffCFvBlzcHpsZqyLCsOCk+RcTV2bP2kZOlMhsQYHkWW7fV9rzMyCra8Z45Yq3pfKiIqNzdKo
JdG6UjsIuKF2nNvw3KQ0CHDaYg4aqTdDnAHk1YrLqpGpXtBu8YQiB4sbHHqKW8w4cilAfQGNxrEn
3Cu8OW+I2CbqcneHiVq4nKYqBM8+ZhfJRQ1D9Ymi+6e6ra7DRgu2ATwBuIsdWV40I63tbkqLTEGd
8P2qElVDKiHTwQSshbT3upQkTqzyRWifWeg2QUVOQNGa28kf7hOlfagrS8WN2j1oNhU9gvCzJ8sK
QN8m7r3IgpzCSTujsadiHiRUPMzxTQ7hbS67wvMT8TQk7JptmoH0lNyYZSeKo6JN2rVy3xtXQ7Of
/cchutBC9SqPK+j/4H6k7C5SM76avN0YeXFSyqKBlyIagiLGm2ChX4nRvsQLzq0NZRb03pTSWjRH
q9SMOOBrRIvs4QDs/rq3la3J5hySw7SaJ3GT68ZFWEAfjILuwWyn2JGrdl+1Jw6lZF2otwhMcnMT
riFYzhFhpBpLZR0hPs6bNK1p4WNcsGZofbQnU1r3qLNr1PLYmXHUoYVZfFt+thrKYK/DXHYbWp6p
xyoCG/cqKsWWSts3i4HZcchbqjiBTunmQ1xkw6ZuIzNy2mqeTiIE5x42fM+UIxmMZGlEiqCUsX7t
/Xa2z+SeirM8S1QeNa22o6r5RBu8Zb102jRt5nEELVxCR+fhQVNGFawzXRyVUt+xGu0NSl2p9UMA
ZjrsSbWm3pN9YYXoK2CXjbQNK+2kaU2wpW3xTZ3kN38KXnnkYA0NR1B1kpdZpqcwq1fJPwHPF4WH
DPmJjtWc+TPdCDKiRetDIs0D4zEcSX5MAvl1qMJVJZoC7/28NnoaU5kaMd700vK1lfdC85f+i60k
DcoJFPxZLUeatYDLu0kq3/Hx8xQX6Vs5xvueVPO6rMaruoEGZlHGpKsmk46R+DEsNYRVDNuOqIbH
vGVGOqY3ujZ5RqrfZXZ1OVUxFNQ52Q0akMgovey5Txixjmt857dmoX1icb0kjJG7acglEBnVtZBq
yqdLsRm0mke2aE5f61TNWWxzo6XIOs7OJh3oVBqH5BPsZFrVY8v1MAQp4hMdKbXRrLKRlvLSQPSO
CuVlbmhpS4dhY0YxizP5ODa5j3VdHkYzNd0ik1YiGl19sJ54tDCwV67rqr/gzt2amE6cagjvypku
MFrYj4PgUZuIQ+RD8U+LB70Uj4Of8IzIzYdGGY/FSE5riGyJYDNCu60H99kkM16lrm2O9rVWH8cg
WJeDArogsq5CveQZLRl3XdkfZ9gCch69phoTkASJqlGnA93X3Xaqp5ZBgHHMaDXAOchCKIUbWY8M
r9I1Ih0KNe/zRVerKgWdMwPhmfKBIcsuVV+evaC1JEfCze31IZn6vsOQMuDhIUiXT27Z0IthzfW2
0ZSCcrj41RzYw1hjd2mWjQo9tC82gd00h6yqJ7ei0TaNTWupEdskqS9t7GyI2XP6LTeXTm5AuzVa
aW9EZrYxwmJns9viZF2qMcfx3jb+pIr85zi2GJr++Ti2CEle9BYUP5GW+cG/z2PGH7IlZOtPx9Uy
Gn6nLTPJXVyVLJTfZs1/aUjqH8x6YWmZxFO/UT3+Po8pf3DqUYnAgryB6vRvakiLvPWDiQtxWVXw
daqMtW0BQ+dHDYmbMmxCci1Hbk1MDjrEioCotKEn+yxCS2Du288mJwyyawqZp3yab7rC94IwDw5q
F5svSbgU7+AIkatnzhhCXDIMZdmPe0Y1TtPn9jkr2nkfqF0a7UhHKbeQoSV9Jxq5lhzbltpz5qv+
PpkMmU6dJInFTWQyv7pAPUqbTzZL7HCsVQ5bVyUw6N7I0zemOJFX5FEHPVqzungjL7Kp/VVBpZat
3WmpAh+BHptkXvny1DHtNDlxmFUoXyj0wFzUVRXbbk4kdhWOUGTrqm5XnTxFF3o7aQff5yHvxEBH
X7omZxilVT4TcA7enC/ysLsMFX3pGnwmpfIpNpgU4j7N3NLQ38o2ezPsQsCNzirtMwFOEnNkcqpg
2OWzrK/bROqeB4blTq/IUeQOSSfYPFDr3JJVexBSRPo1GXyeNwSoqG5RdqHkhwcpUbJtImrzZFbd
iBpeVhttsebUPSpLluQspFbJkaQm5Gj3NN+ETekZreXSeux7VptdWJ0N+cuvzeOk6/Mu0VisI4Xc
g2aHrNEVXX2BkjjqZMVu0XQ52bHEKy37zdJCaWP18zYVeAcQvTdsoojeNVniBD47RhibjxqoUS8Z
ZprFDX1TCJvsCk1bbVgPp0QdmTOG4ejaqT56NUZXpn+lcsb5ltxIg65eUyeQv8WyVu+zKsof4h7q
K+3dAFv7+FvZ7n9WrcUz8utVa1+8VIAzf7Ju8aN/rVuIRSwHAjWE4Zf4SiP6a92iSVaH2o7sjdK3
KEnvdSTo8Ny9aNGyoquLuvOXEcb8Q6Nl4Ns/9nXG9m/ISN/8x99lJBZHtCpbW7L+GsZUEEg/Llsw
KTPg4FN9niQmTCUQM1Fhp6L4FI9fmJ8jzTgyTgpPhl5vkFP1q4oRMnK0fK362nVSd2+FzPI0jiFh
2v4iNMW6V7sDB0RX6onf5eJg5cKDQ47BQBtx0qgHmToGR+2yE4PEtR+YhyaU1sUkXVHDfWdO+YPO
FU6PLfeKhSKDBD3lu4STQgirAiS9utOt8J7EqCtp8hX1T6eO0Dep2hPblpbiu/FAWB55WLCHCe50
8okS72iV1sOrHbVH307Wba0+qwGLYNvuc9/A5Wpf9Fp18sPwZLO7sznbBmF56og5qQXh91F5MDV9
GxJatafJkRK0IRHTzyxWbES8qpm9UO6f7Ki5DMPuGAyT2xfWRiM9RmyX+k44RPaXhhzycubqCAJ3
+9m2XnxYyJQ7PMRxv5Ma2+v15joM5o0Ux15Wzo5R1jdTM+HLG6NzQGs59ChPxMad3mTbeWquM6t9
zZXxJFn5ianeoTcW7aPbZ/W07SqMokH5xYzLE9MP4nn2Tg20azPk1G+Bq27NHHZyOhyTjlClmCgN
95MXtdDQGww3jHzOa5157qT2ECiZNwf9rgZgTALzOrbHnZD9e22h9tjqysjpV6tIMlJFr+GEkSvX
zKpjZKXQ8Qf23yn1el4RGS8mLU8bduQbq9SJ6I3lg6Kw2mbD+Mqxyw7wm/AQXDWTPfDMaaw63jI5
DXcUw9fxWZtn8DwxIVN1AwEU1yICodePBEiJwmyKqktRbcrrpGjLfQ5D3G0qIpKCc+eRuFzv9RM4
pXTECMMTkY4XdY6vFaEwbQUST0h4G+e4kLA7A9aOBJ0uCttIkXfoXaVZrVrald3OHLQtJAJqc43p
JtKmysO7QOWwaiTruQMCXJSV4gxBc4ctGPiQ0U2UvdJvYk3EDOIvg05Pli0ptxKNwQWnZ2xm51nR
11qdnAA6DSz/vaul/huWzqMVtw8So+D4WHcttQeT1rlVyWNYNYJVlBVXSpHdD9Q/eGXftFiViD/j
hiFSXGqvAWwHR66XOuEGURV5lCPT0u8yxp9tiYBgr3UZagVmykSx3oLSfs4n5Q783Ru/f0hfg9wA
YlJTTy2hVoSZSst7HnM4SYgO96XYlmntUfN17sNsj0PzXhunL50p72Pb2mtFGK1HiXNOEN6jL63s
LK1OPPOqddbz0FQ6yTgWqU/+KoQGieF2pYQ9TRQawhKYvUfq5PiUq+yzVFh4cEean80wyNdxMu58
Kd3E1HC69tw/zQWWXDKU50g2XymteR21nub0MeO6NY2takBFN8OUQzLbJaVSYDKlUDBUZeMXymNL
2nmpS0BQwo8ddA0c8OhxCvCt2ZL2KfKrjAqI2LG79lXqaq9RmE6PvgxsxH9QadhzJ1zZs9LhKSZv
i7ijuFrL+W+uy9twUDNPjiH7gqNgX+H7j2qKrOmXvsn1pa4x8eM4RJNfzVEyYVXmtqyh9/DrqV8y
GdNX71MN0RE0j5KIjp+s2hFsN/jd+j3GnPOYgdSaYH5bmbobQhnLTX+fy/K+HSxADZJNXYKEitHR
Q5eE8s0QtBd6Ht6i/1GqEQNaoDTAsbRB9YxROkTYoPEXJHd1qGGvyUrTS80y7W7CMMnX9dAEoSsV
i0KItc6VILvutDZah2mvOblsSRs4HADRck7WeZNRPtgpmCUn9p0QgUwxplcRPd7u10fwf/YiKhPz
X+9F1vVL/ilqPv3sFMUP/70bUf7APWtaGqEThlsfGtfIwBBBMJZ+emG9m2qZf9gKOxRsF3//1Pfd
iAH0atlFsEn5Wnn/b2xHPp6h6Fvj9MQ4n0WefrfFJPR+Dq+nsmzFfj2f5/ahspgW/DXy/Me85PIv
fN/u/Dk1s2CpUNXDoH8hH71/Bcz7RjmWqjg3o0QtCGojBS/6577fvvsCLr/9i+8zuD++k399HQ6y
71+HTUFJvkQXZ33hadWHwfz86xdYJom/fCcfHMyBqHLau3gnymiygN+Z9hfyBCwHeJj6FQ16btM/
ld22iy5bBi8iesMlENBAUVy1Oakb3JMVQ7GAOAYar3bVxTdDFkK9z37zUSwn81/+plxY7z8LZgM+
DPrls1BX+AdAND503PqF0M4Dzw8GirSWfjElxWHrwSzjz1XhH79z4lj/+guAbtcNDFTUDigf9ri5
FYi2l83pzOmHfiRh1+khQTZq3alkVuXaJJ9AwVjWvh7ZAHTDtUgHgxE+nZW9LM1ujYfYUUr8URT5
yvvBbrt6k2aPSqbuB19uAE5Ksbgb1SzeqIkdM5pi5pbT+1cb9a7kyQ8jA71w8vC9bsL53Bv0+NEz
v5jJOmPeEJi/zJRLsuBrH24Ibu+guSUcdFQpQKip3+lJpio0DdJEhhk5xdRRegmNAyVNhAbi6Yzv
KpoEJXrdwZQXVXk7VY9NDPsGcHk15Bei1a7gSsYUoPUEUe8yPXVKdVZXhX3baoYHIhOlgVyZHgUa
EeKK5l4ro2g2SZ9aAr5ZNtfogLQYUu7xrX3sH78hdfkGvt+Wix3/hxtf+3C7IDQ2cTs281neqFt/
Nx/aB3UD6eTcOOLQbtEUVpQ8u9NadfecadeFNz5JOzbxG3nD+WQdH399dy03z/ff519vX4b/7y9Z
LWXPmy2XbJHsaNfLB68merWmROPXr/OzK1N+txx9WPBQ9+c0ZPR4ZoqU3o6fq6XWx9UUD4PNr19J
/PgRf3tL72+Cjx4n3n+t2pFyDlU3voS6043k/JyhwSfjBmf8fb9+wZ+tgAJFbIk7Y/v6iH/PjGw0
zVRVzgORonx+7aXLX7/AzxbA9y/w4bNDYMZeFCjKuem9Tk+cgRHK+Ltai9+9yIdV1h5tg5psXsTu
L+Zq3xq3ivH86/fxs0fS+/fxYXmceFbXdaYrZ3jTDB8InxjXdnxaDhNfX+h/e3d0jD7VRVN8af/v
8i9/KsqpZmfe/r8f/9h8+3PwViz45h/+QNsQRKmr7q2ert+aLuVHv60Ey//5P/3LPwO9tzQI/fd/
vXym88CLmraOPrU8Xj6GfRfV4pfbIwDTzkv9+lK//PyH/9oegQVFLNbQcqF8fnMj/i3WYPoxFRmw
hq6A59S4f/4SmfU/hMC2vJTFkglGTv4u1mBgxnJM0RyyMM5C9ht/fRiX39YbPsd/XCZ/vKVYJW3E
b3o74CxyUxGR/3FVUkMhDS29aaeQKrDmNI5P7z6WP1/vh03Lh0VieQUsTSqCE0Untq6bHxaJDm4c
0KKxO8FuWnEm/8ID8pT68bVet1/IEHg1uE8v01Tsu1K+I2C7rat41ZmQRpj+0JsG7C83663UyLdx
F661pvwswZBzFPvA2WUk9ZoMzhymZ9ELPSES3FbqOaB0jvQVTcwBH6Krh1XGUs/wtXEGWd+NoJ05
L8tHlR5eg3hwBONCi9LPlbIM9nEzrjSKCdnPBdJjnJI9shPtU8cwcd0KM+A4FlYXwiaYGAjrbJam
tEqt+hG7pbrCLMo5VtOGy3gchKMqRbsWNSdPUJEXtMg+I2QddLzLtp1N0AL7apvmxZYA7+zVfnXr
6+lGnaOjFQYqInn+LMkDuR5t/JIl0rkdbZoSQTyt0dY9IEo3Jo9kCWqeWtnPiSxt87Lbt6WMlNxN
V2Ni7eN5ZD8Gyk60yb4yzRdf9ANpk3gb2JLXJdFL21DJyKzLgdOxTYP4LFF/BHqYvIfyRL3d3u7M
LcnHg5ZDC6qV/pgCqDYo663LaguR23QKzb6PaYmnkz29rH0ecc0cXrSR/IRowbZIivfagnNJASIr
M32F6qzdRCo1IWEzhqvOinZTiqqmx7pOFsjYyFXUOIWRPHeavRpkkqYysdYob6GKBfmeDjEgT/2D
RrEhqLuT0RhPTTufk0i7DjM2oJ2fMRHoj+FQ74pp2AVj/ADSjJm3PWzTfjiESnoDFgJGY5w+KHlz
L3zzwfC7dVEbewt3hDTWz4bWwgVswVapzVPBmyfyOZJWmT8TnMNoFbqEsjw1GQ/lwCatqwJc7xNB
pdZqFCiQEPoM85m7YB1H8VPgL1Drpo3XUtdx2VRfpiLeWgynNbV87mr5SZLAVVFkzxw3RoCyXVlP
X+fEv0oyMTs0AB+SeGm4CkosFpJ5G87kyssuJLNGHEbOsldbYOCVyhBJZzb1ozU2+T6KDGbtJVxN
3biJbe2xK5tgDaBpGT4ud0883MgC5lBH9zs2mIp420iLn9CvRwuLTzd16QUB3yUIpzYrOy1xtkAw
XQ2NcQpaBXgV7gnZANRkVz51TTaKUkgNO63upUFGPqt7mpuzSUL8i6M+Oo11ZByqEjQWclHnqEkZ
uLW0AOtg0XtaaNaIhJK8ameG1XnrJ9eFZSgMUjr5gjkOLYQTQ36wai3iTKmVzQ47luYIFcyAUKpm
SwYkXgVRdwBaDLsxKfONmHVAAbO9mkeF1ngtLVdFWxUkBKL0bBLFoKdPaq7mnnfs++UnfZ7ua199
MZNqy/rGxEZkri3w902pdPDR9hYFkDpNQ2eOQsn2TaETYieC56cPHd2CQ4/jBdD/WaODjZXFrWPN
U03ReUWZX5iVyYIo+KXN4SrvYCGXKKisUfug8repWq3w2rjl3B4o8d6EengEFvmQID6q3XJi8NNN
PibPWgwTrolacGC+wZ6c8kBfi8zXckAtIjdK36hWDdltIjJarUELqsQiXXWuLCIMc4I4FNXH2UpO
qlJuE7u5EhWI0RTI2Ij7jEo23WPJ2ynC7wBfcfhIp/7OkMrbTMncjmhb6jV0H66moc1s1pxuP8hG
8ZxrrcT6K32BegB/oaspuGb+7dXYD84UaTIunxKz3/Zx2G8oq5s2LP3hg1/xCkqX3uagHzwOXva+
m+p4D9fhlFNu5KbEfnZ4wUNHK8xbvSoQDWGBgcNXmsqbNN+nzaS6Nfzp1sr1+XH2c4jTHQl6vQuE
Y4KWbPGVbUoZ5msxVYXLMJLcSq93j3gxcL1ZUzS7aTSEPJXCdquhyDrJUK5VK6u9KSuejL4Ew4AC
aU5k6rDCTOY+qaY7OYxXfUTpKGWqd12q3FpdZV+M09jvCimuvcJPsRR0ABhKWX5SESw8ddSqx84o
IRoW9AYkIRc6PiJQGL76qIx2e+Mr+ri2OtzaMQPQ1a8fzx/2ohpZCDJSbDUAkMNINj7wg2hBRbkJ
4vzULkUP47zDtHk11M361y/zUVn483UWPg6AE277j5uA1pyzhLH0KUvTI4HlO1YlmI/ZM8sl6Z4J
f1I9pdueYt/USraNEh7CXnEsJb9gpTpwRGTam1wRhb02Knmlhp3b2RyHA/+NxnpEQW4BbbZOhhyw
Xft7X/eTDcxPPyGCYiaIIh3yGVvF98c2PeuKqLWT/DRkKMnT7ZKFCovfHFbtD4c2mFsmOTVILQTc
yKaaH76HpkvKKUu6/lRSce6Qad7hzNPgElc8N2gLXEorH6UyLa7oo/ImW94N1rDQhoGG+Kp8NccZ
jZNzd4V8Y9/kPJW6ooepilFGKzA06gRkATcGp0iK9qOP4jso3DdGRm/sZOvzNaTel6RNwWfARZ0H
HNiNMFYh3fGrpFU/SWQldCbXLquS4Uy4FdyigsEcQnvmUbRYs4xdNStvkWa+jObizqTCHhfREU4u
A2dzkrayGOKjHEL4mscuZN/EZCG0Y5OQbnDvdyK7rQad54cIKKaFgtoYZbs1xLACL+hWApzGFJvJ
qpSVM/yc3BtnlAWhpgdfxni2xga8Y118siRMgeYgtlOsPaU0ha7yMp8xPdWOKsnerLH1GLnNPDiu
nPmlbFu3FP5mYtwjxrwkkRJ+mlJ9IxuI82YaHpUCcURtqjXcTdRyZbzODCM92Z1whDGPF5XZ/EYq
YOrzo1jw9XrghiSO9HWYuqAO3l91tDIVOX/XnkyhvKh2w7Sh7NOTITF7Yz19DhpOp4S0XWGMnhWl
WIbV9MinMoPaSIixBc0Re50zzMpRL6xHVcvDdZPp1brrZG3H0bAjVU8uuQe1vJILLdviMyi9QUQL
5ZU0PSDSa5jMuRvpEBozbGAwUmknBcrvELUDcFitjWzm3Ge82MsxsxeFCTxVuTOUib3zFJDjF55R
gI2pKeBl8mA8xpaxG3zlM+2ECXZilgE73Rr5eOvb8cHsa7cqVABBE1dI6XSTcqP3/TGJw5sq0q8z
094YU/toJYnmsG+UV0YFETWk46XpmGtZOnMlNcaCTBTSE4b0InFNuKWtPglVehQhPKOqRZ0Kqajt
Z1zo0lhQMl1vZDne2Xm/UgrGcWHvaQnzB8saLsw65iPpUYzSksBRe6suAR5r3DWEsNRB/lQRMsxN
Y6VP/J5d7iXwSACFHMzcWA8FiGecdW6Um3SrRldJKSU7IGGroqGHOQVwUrKhKYyAcwk3Yy/ZV0PV
fgGM4uO8ZOTTxeu27RLXgBuk4PwRArg5rrNIRaKzRJCtKHDBrcYONelwoMB6J9jwUBTUFEvRJexb
JwjhSybSRcZTPByCrSWoIi+bNV7L3N5hVhWCp2bqD5BlgdLWWel1UhXju5U28WBdzJR7mjYu6UEE
1LlCq2EcJdYxA3RsgZe+JbZB3l4EQ3WgwZZdb5tKwGoXrTA191owXJQLoxzfLN9NiVI6gPoLy+Eo
NZwSUsONVRpNOnNhul8a+spMsAhbp2xcG9O6YBxq9g+lLDGBko/YBerV6GuHOBzA5fq+f9Epvek2
uhC08vr5Zuhnr2TfsC0mKmAmw9zWPbsQs8DLb5Li6v1a/ObR9ps79asM+S7np4T2FNtl0gFhAoTa
HCl5dsd+ifKdk/ooOLH8+nn0QUb8uDIsSen3K4MS4vLKM1aGongD1NOP2IwPefDI6PjXL7RkpBHs
aLbPd5//+78IVvJMWiiZUD9JRWof6/uGBlgO9OgRCNAUrMoIdGvkK7c6+KVdWCDfJmN/UZYRKV6w
oUcCsrpjxAW+rpj6ADyUfDNC+qLJ1tWYq5aDheNeioozzQs3Kds3Tj1u2yg3YwAdNm9xCbfRcx5r
D1KYltdBl/T07YbtJtO7Cx3GEBuL1STAQ7HF2+Staj4wYbopIS+jpOw7td1FqoItbdrppX0eEgp0
eWybkIgTJedmwuYZWu5YioesrGno8XdDKZifjxbe6+xllifdTYfgqRrtGpSsj92tUYPffKo/6i3/
+qF+UBgTQ8uj2rfGkzU+h/PrZP0GCPm7f//Dg0OWUvbIQTJBbrkBz0Uo9O43l8Wvrwrjw/WHBpvI
iRJMJ125jDTh8DHJ4fQbZfmDfvnnpUcHG1tSknLGsil7d1ONZjOQKOBd2IqrtJ/aIWNPcheN5m++
ja98zO/X+Ff5SyXxK3jUkglmZ/rjC01xlJM4KZUT25hPPNS823Tte9KqdyL3wcmdhx1w38PrNX74
+3H1Ai30lTu62aq7X3+qyqKzff9Fvl0X7x/4HzaAdh/ZpR2wjLTr3pNdeTXedJvsCorOynbTei02
fM5r4RLScMKVjSVjpZ3yT7/+LfSf/Rbvb/kP0jQBt9RSaj73/8/eeSzHkS3Z9ouiLLSYhkwNRYAA
J2EgCITWOr6+V5C3WCxcPtLKXg96ULO2ug0kmJnhx4/73ms/znvZM+zet64N+6pDeuMGHzXnpLtF
YF1if96Vd9ruA1LTYN5R9+w1qIixchmduZYrnIZdGXRXBKCTaO0+VPZwEZ0l0PbWHjvXrr0v/Ltf
/+nvtLL//WC9ewMFuUNyLyR8L23iwfzutfbrD5LbOKkburGbeKVfHKrg+uXkDXtC62YnPSC8OKSX
yOHw8fTM/hI6D7/+q76uAd9/rD+8ofq2Qfnhi5wgSGgNnb8q3lt27Ky7Igg/lCQ+oMawdTu0iVyx
88C8NDv5E4M079evv319//vl/3qO3lUbSo2wdPUyX8S18oxpOq5CdhkHsfrNobRVlV+9zruqYyam
Mo4rMTD01PY4vYjzbtI/L4rXiKhQa//X/6qf17jv/6r3l0mhoPhrTTpcQFJw87uto5v/vxd4d+dT
ZjiLRJmMl0w7yilzQMtwf/0Kv/lgjO1B/OF7IRS1WRoLD1pVXxDp+rUM+Mf8zafyu/fpXXHrpByn
lJH2l3n7VMhDtOZ/jtbdeoS/Pop3X7ChWpEhd8VymcYZm8oFTJhDhumv36zffLuMd1VJDyNhYTjH
aTBjD7ZKL8v7KwUQv7F0hJvLl5HYu1+/5E8/H+2ryBbANilUf/98CLNSwjrph4tavLWpT0ALQ77g
16/x04/nh9d499Dk2EaEJlbnCyQm5vc3RfGbqcLvXuBdSVyzYlZSIjAvIkWbYXSm5L95m76ej796
8N99j+OEpU+Y8z3mbmBjMzhgjT1zRWCl7sRedDXYxTdt+P9zYbU54X9Za7Z/9Q+PDmAHRerlmDPq
kcEwKSXOOeK17elZOq370b5ece1wdGte4Ui2eSPYt723nerXT821cuDWDhvTI15xVzpx8Ls/76cH
+Q9PhP7+m5O0k0hKTX+RrraDXLDB46j7UnLsLFDdj6V9wNh8fBM/czlr75cjsrvfVC95K0+/+lDe
fe6j0OlxYy30Eu7oEiO62jKux2Pu3loX/aQEg/sk+6FdMrH10cwGv88X/92fYLw79wQgWmo51f0F
lpY94ye30y+aL7nGcXidd7VXnIxACIS36Elx5iC7gq31+uun653+48+G4K/S9O57ko1KoXYlX83W
n31w3HaydXX7zPlANs5+j8jUXi+QPD8SYOYWfh0Y14PduoMX72Hufcqd3/w9W2P8X5/KX4/7+/Re
U7DYDZWUlMZTAz3Qc3f2V389JUfJfiGOzSdgdF/vGOqdZse49xD88BH1QebfJe7WJPynOfjf3t0H
r9UWodz9fVf/f3p1z1v/fcT7X0nQeMNY3Tv5zxf3/Oifi3usFDL2sC25noMAWuVf7jAZySP5Dliz
NLb68iZ5/HNxv1kpVH2TL6p/JkX/qWvU/8BPpsis+0UYGxu/9N2i/peL+/9erJsiykrRhI5GeCjM
+b8XQkOKJDzBWnUlm+xW5B7XrTRtauCZ7aM8RxKjtszPlWVfFiV8INTuT4VlHIox8U3CMau8uhgg
Z1JNuFqF0BPZweDlN6pTnhgYEZL2YRHVR9OqRdfssCeYQu+NS/bhW1JQz0w1i5hCVqlxM2NYRWK/
prXIHpwAPtfUiMeVyMmFDT26OB/GIA5jUCCaSTqK2MOhIGF3TdlAStHiSkQxrmFFRO4WxztswbwC
Cb0z1g44EEA3datjgrUF+Y6jeD9uyb7p4k0yc57eUpmRfY3/JQeYfMDYqTeMRrOFBA8juEwE3ogC
y/TFShDgL1uo8AAKAg9IvF9LNdznW/QwthWvKoGOg9HIj5omTCeSDC07JJvZUdv0HgdWZgt5zzWM
FXkF3nJLM2bIqvq9PnwgtZT1VNbc60Z0VTfSxMiCJLoZrqnShJswuxzcUmCUOKli42DWxa3bDOe6
ToGgL1Xus3kMcNIdtFJ+KNIRzc4mZpyQ0a0MtA0FKPWSJV9GXAdRuV4AKwAJMMBjD2n7mPeCEw7V
xmCuT0NsAj8RZXRY2QCvAfNLtcVcd1WqgERMcdbL+j7t9ZssXBjNTd3kymvkNWph+pNQvTQygUWY
F4BYTp7aCEElFrCvkyspH46KwvKd8gq2g+9MOHTXTaL3tknskSPiSvfUTaNQRk6XDkHTKGdDi1HW
WZXgNERWYpNjVFoLQZsKyMaq7rxibbRxurfOYOq3si6fLZYdXrvQVqqFyvyUWDZWo2ti52qPviwT
SYqYQq9D1DjDzfbHtDxHavhpacbFzwUziDpFd7VefFAbvI9wSgj7SN2l6XUG5tFNNEknad7cJzPW
COtLq0+1W4wd72Gn76MG3wnOpFM/dFcJM2zhpqqMfH1d5jzbGaj/rax+yMKocSBBHbvNT1GyxDmk
vfVUZeItyZVfzHrBuFja9Rr5Uam7dTcR2i74rSgfqzy+JFV1mFOM3BUO8JLVN5P9IcjDYdrrofa2
6sIAE2VS1CAZmIPaajmud7K+nqOm7QKJDaUfJRqB54rO66oBjolggty9qRJ206pct9pTJ0gIHgbr
vrQksnSZickt0Wy9hp5fsaN6vR5WGdMJ8v9FG24odgzqSQcEjg0Ilr46bMJrpetPpqZUwDX6YzUk
t4ZkOLjy79YakYDeDgoX/SS15RZatloYZWBFkuKz0Ut8hb6ZnVK0axDR4LyPTa9ivWILA98c4kmB
kUmyahfcGsxZeDTU8q1qxS+FCQxErfKHFSurJmUKKBcyNjUFpIbYhoaN++gzW9HwRKrBGVQKZUIU
r4uq4GEwGulqUvJXBQq/R8LM69CxCyn0+VaZFnQy5fgJ2YffqOLjkhhnM298Viyse2eeF1Pt1GAe
oo8l7C0MM6VfmwtOCfKg6vbaSgh8h2qA6310tCa8pKBT3UTPdhUY/4MhaPcmjiRemS29pX6QRE1m
dV917soKy4MdMHuNIJ9nHoNro7JutaXbzbmaOGXO1NgAdiTD0MCerwBeNHoEQTjH+4y4VYsU2LiB
49uTyWyTZOPBN3uLrJcETG3XK7cZ7wnnACGFEVnyfW5eF73si6TjUcLYmeALabkHghuaxjSIG0Q7
SZpbkChhx/PrTBPiqaZFh1yLLnGK0xTlxnhUBan0+ECXncbuay6ZtxZ17EZVAtfDLHfkXZk8tm20
n8k2DQUoY4CHcVWzMTE+id2aEItLgNaM6SNSZ1+Imzs5CQNUkC12OH2A1Yy0xYq6F7b6EJ3ZcGBA
xYvfNLT27CpRjd0N2nxSxS51BKUJBoAzWlZfpqrO97U0kTQ734pL5bE1X3yofMeqsXYC2jb0Mcvg
T4P8mlm4kjrDgAFkpN6aQ3D82kb820+pXDB+20/hWv6JDpKf/KGd0uDgaThB6IC+wsW+6yDlPxTJ
0Imt2cCsSCJ/bKcAOX5t5r8FpHMb/KGdYoArw0rCGc+G4R8BG9lI/q0/5zeZoM8Q9Ov0dFhUN8DA
j/dKKxTYxJkmuY+4+GC0Eg3Zyrns5nP5MWkV05O3AMmO8ShnvJGTaNHvG016GzkYbaBp04FwPgXY
KEqKXhx2URV5LKbQhrUVLKaSZR5RgV5qpJ+nEAgUyXfcQcpis5cRe2lsAZhCvVjXKBXvtS0gs5mU
ha85YZ8Zbsiorxwx+Ui+4weO4fLKkEJhY7JM9pAQaCjOUnIocgQ0KmElmWXdcBrPNh6pV9Ahgx/J
PAwlT4XO05HW8+KLc+kJ3XxLo0K0Aw9SLjSXkScrUptA2x61kWeuMNo7UNl43pbq3G2PZdQrQUaG
GkDo7mXZHt0qikbP2B5nhecaWvudai1+vD3wFtF5Xdsm+5FaIEmx4UzzxMCGUEBz5dbztXbMxBFu
1WRmi+nmLSNkFAnh14qz1R5jq0J5ssKhpjAR3XCwtkpFIp63UrrSrYYlWzWjJAXTVt+ardIJW80j
yoyomFXxB8qhstVFttJoiKiUPSUT8+Vt1X2RKaQGv27YKmuy1dhY6p7joVSdbqu/KoU43SqystVm
BaYs1Ex8EFvdhkyzMynkGEFgKxXSudlqvLhV+2Sr+6T9yAGo2g/qdiZko+WaHBKkRVkHeiGct5wf
OgeJuJ0o5Jj4ZHQeu6q/njhy+lwMyNP0q+0skrTko7WdTuV2ToXbiWVxdK0cYUuzPGLX9GkRPqnb
GVco4y3NDPAfjj9eefZmDsRxOxnL7YxspAV1KqdmyPFpbefoqLSfCSxn6N9KMmbFUv8UC4XhNQaQ
TG8pu4ajFGmVxtA6HetLNArGoY6q7mbuKpmja9lo+UqN/UTTTZofczqMmgIY3vDbet5tUMpFUyZX
CdsnS51iB5kksck1L8HiHuPprp0Y6A0ab7EJP0Uo4vVeqSswhDK2bKU27sxGP/bS8prHTeZKmXab
h3F01NfRWwtw64R8SxapimzZ1k0d8SVdawuHr/EF30Bkk84Jp2ck/K2SuhuEf7zF7TnMAGQZ7VTD
7aKpZfsO8E71QLZtyHNzsKV54SdmMnjYFS2svsO3vA6vEbANrlr0Ig7VgdCSAYtFuObHRi5FbxX1
ZhcNaC6RXEK8OkypDFQUMW1a46fU9b4/xaqA/BgX06sohtmHSlRrZKnmgmU6jxEW/3s6fUUKq8wc
f3E6xc9d//yTk4mf+uFkIkxRZ1QJqtf6Gh7y/WRSiPnilg0ynJBCUkK+n0yq9IdkshTnvMJN8Q3m
+Z+TSRUxRKIV+6bc/6c8Be3dJIuTiXA8fgsnpAa+wbQ4Hn88meTtxeu8ycnbMoBVqihwJHV6IM2Q
7KFGuKpjkSKLYDzL5Zk6TeDNEpGJBNEaBbGJQi45k1ryQc1K0lslXFiLYtV2F1G5TWVn5oOv9yFs
KGkHatEryMHC+VK4LNyfOq13CFDghohGu5vpQI30vPTDq5HG3oRDvxeQHS9STdlTX0BKBtFiwZrs
qswRkmLYpXW7ay3r2KWRR9yIv5LPK6DKIh9vJMq2ujem8TLJCPqWVk0wssnPOSZKWRQfQR9ovhGG
g1Mj3g9atGkOzB7knnp3AOcw+mZYA/IXdpaSelmc3hFOUjszt25vrGdIpCq5wGbtT/qWhMAfd1QM
GBKrOfFgllJpU9+uLCX/IidxHSwymqok4qohLOGHNq94zIfZFctJoJik5wx4mpsAYPHKsc4hnBn4
5uZqofKZHsz2Q6z1UPqm/J7LnwAlpaQ9rm5iAoXs0rQOErJiG03X2SrlDw03PUY2NwkKWW9YBYiC
QNjE1XyThHkCEljezDFzHNW0ntJUumWNR10KkVgNUP2cRVc+rEXyBCbQnXLqeWJCNVUS8u2JW08b
8Y24En2H8F915WRYvLjTEcuFys3Qxx/jlL8/IvMJ5gaEZJ2gXFioZJiViuoVAC2rNIMbkbtTRDZW
goB46SXmIwmvI2JnXEKrpKOJH8OluJ1bosUqs0YprJCbG7GTa0qiOHp0he6U8nO50lvcGTI1KKrh
qqrMj5oU8rl3jCqkuUG0Xj9JQ3Lq0+TUJoQfC3gqHE3nYFRlFG1Wt8gkSiskOPR1ECoV6DOLIHEE
f8i1cTZ0yUVMq6cmbRK/ybe0jaR1ZxUa2MQfiiiI7X4+7hpJvJZlcH7atJF6oAxFw74r6/tBGIOq
K89xVflgFcm2KJIOMuhoAXScuOHmKJhNcXxcm+S1G6GQpHMwJfXipiXY0VLfJMD8qxbjumqm3sms
8c7Mch+oXMOMeTyHQuIvooUFobyStPJaHtF3ayQkDzpwjmUM5K11HIhAHap4ZRDDQE+nv+ELCnhP
F+KQYdbGsOWXIv6pHaTwBVOkgX28OL7F2Zy5c6EgJ6+3RzXrPs+476fKBNIxD4iPm5QpjWUFUqnt
YwkXwxqq3MlkUIO2WVoYGoSZdnVWwPwZMfxQweT+XhPBARr3UIVZClhB/TJoPUJLGKqVMj426/Cy
GlOKnA3FZaRM18vAIAv6ENiCXu9Z08kjzpuhJAeaaOb+SO2hbTNr7p1zA8miLPq9VpK67isDmv57
MtBMM4jVViIIHaQFqrJSQkU6t6tnDiTzeWYpqLPdjJiZdiBtFqwZirYmF6EsluHOEgupv5usVlCO
wzwgNdDKPH5sV1Uer7K+3lURzV+dEppZqZnqJwlB3o24PkttdNuFCoF12XxQ1XLwW6EFJSLoR82Y
E5fxq4rOXX9pqqqzs14HxJuqj5mgo6EfgRBK4qoflIovc1aaGI5VlS2PVn2qQ/U5ToHL9SYmHTT3
bxA9mAzElcg4Z5JtURyRRva4mJZsPi91586JxcKxFs5q2d4I4XAszOoT85m3VcDoMoNb6BirMrrR
cqdT5kOM3kmcSCQz6ueE7HY9CfH2yFrsMYSmm+txdsjpJeysk5AuT3ksv62SyG+JtLdsLOA5JK6w
HuRlTl1Va70wam+zbYQsxiIIHnfOj3lsnEUYiK41V8/oZfaxogA1FFjHNslaAtItLrqRYQjSLG4i
gnDDYF12J0NbAakPZ6RVR0sDpsi7UO+MkplYV4l9oKgjtZ0YGhSGBvFLEHzKUPjQZ+6qRR/lFkaY
ibsBRA93KjOzJl4c+IVFSJWyIkFe5y0tChwPkkGAz8VcT55RTafa7NGOm+BIIsm4SqbyzCSiQPoV
Xlkl5vyiozfrn3Vrgt87ZncLNx86SG5nocUBoqXDfTgMnTtMAKfz6pAKGX/jsD4i58d/NoDBzvqV
FCZRBjtd9a+dZd1ToH0R6m9WxD28XGXH7vWeHKhASIzZwTuz5z4H6bG+tbTqc8JBZ3Oxvahif0R4
Hjojc2hoSFJL6E+7j4SRI6GfIlvWAITEWba34FIDzy2d1JSboNOSyUnUDr/TcE0n4pdy/zAWcFMy
Qr/UAW/KMqizl4nF6ImS2TCxDFm6RfyvBlcVV8+wXQiCFOjM5PY9b6gDbO5KrAFtmkZ/GEqugo3O
TKub7/GniR5WpTNwNN0XkjUKhEk65qWlO/BzGf3zpB0jSb7WJbDLQlc3dl+KxX6ViTZDqinZCzNw
ONdkd6jJdTykD4JYYUEqWQdQ5Chw2rRbC5lHQjOvZaBpKFwBnOjV/IJp/iOKj6uuNF7Qb7/MuujX
nf5YZdFjFdW625MSGhb1o1iZO0Vt7yZTPqIEdhR5yRwxj49yOz1H4OkGQ361Mnh3Q3JDChB4lF68
K9WtiEMOp9bH/w6FpG9tN/vUX7TdyWv7U2MsP/W97RaJ35PovEnP+Q+P7HvbLf3BpwyqDEUeVI1t
9fbnfs36g+gO02Dzhj1G0Sx+4Z8DIesPeCHyppnfom+3rdw/2K9hwH0/EFINfLv8Lg2brQw85O9t
96rERSxXiXilQA+3w2JNPV36VEVfSNRZCfoDqFqeki3vK5ks+TTV/PdWNq5gB18NTe1jhrvNCQuj
E3PELT2sy+LHstUCcoJuldI81xZLj854krYIu5wAspUgsl4zOjoaDX9dBI19Lj9AkmjswRJzp2lY
e4lEmkFiptbKRw3MekHk2bpRfolAk1WhcQpC0WKNke2WkpbBu+4GyIEpAWpSZOymLVENgfv1TMRa
WpT3K5FrFtFrmI4LOyOMTaDqNe3wgF8MAyNxba0l+CvxbUBlDQyOdQBUf3BorVikQJhVQk48g/i3
HvoVfbBJHJ8aGATEtd1o0teaD83ExaTuF2MPWJ68w1A9pmJeId4RdlDiGdMgit0NwhJUKspDUPFT
rd9O9XBLBmp7nxNcl28JdnpjHiIi7cRCO5pbaEYtzucoqzWgWDhwNYLwYJCnzkw0HgjhPaDHiq5Z
OyzSl44IvYgovYXNJA4W0vW4B+CXxdORs6HKCeBTtiQ+S5Puv0aoTIDegcGFfr/l9i1bgp84L7uU
SD+8AV5NxN/Q8Z5FEal/07cEwCzd4gD7uZdiLzTSKug1NjTHvkrwNKi12O8rk01nb1isPOUe6m5T
iS19W6IiT+86OuXnfGwmNnOa3FOjxbmwZ7YWqlPIFc6fXGXyzuieY9M6F0PDUKZSXsq4bXCMMYFQ
gN8yL6/4vybRndbuBUMru4Osedtmn7Tu7MBK9BiGBEsp0nCbrfVyNBTjIsSy6fRyze8Q6TWF+DGf
1afSnEmUnMc7BjQxKJiaprzRvqR190bL8Lr2IIdHI3+IdJWvgqKcUYyz1uzkY1sKiZdOveKp2ng9
E4bnkmOwU+P2ycy03lcENSeu3nxaelYNtaqnRNxMXzpTnuwyn2a+OdwbyqQzHTG1onMeCZfoKR/d
MooOJZwxdWacU/B9YdHImPSol2WQVvXNqHA3pSe+r1WMCzoJvTkNNARQRpui/jHcOKUa/8XEKxGt
zU0SQiJXhe40dU+lpkHFW4TqSCrPmrj8qnkLCHQFPRaY29CSCzHuyHYe7WHCU5TGze2wVNE+i0GT
6+UFNNdhLus3gslaQgpHLrPgDduXf8c5384V5u6/Olc6EoSr4ScDHX7u+8ki/QHyaQMobHHrgGB+
UG4of0CoAvn77fT4IWdFJdFdxKkkMgdgRfGVxvDXQIcUdQ4qi75904IY/+Rkkb6qO/+SAm0DHfYf
HGEbvUHnT3k30MFIi+Gv1avruRVp3EZ1gsWuokdSp11s0OGOCwkMgzhx9hCqdRTzgmEF0Ohsn1P2
HpMi7M6sU9hnKUpzl9KQ7rR56C5TFtZf6n4zvueUpzg3Fqbi0pLgghImlhMMF667tuivmhR3nCDq
kAkwmJq4CKWclJewvGSw+r6YQnzLqlu7iiRJOMhRPAUrDOL73lw0HkF2ApOsDee+iw0gmiVJQ8Yg
ZL6kLdUDJrzejpVOfsUNnT9qYl7uIg0KZVmH3fNIkJ8XiyYZna0FeTwlxG6Ix/pmYnCbD0nPTjuq
3XGS1PEqFkp1fKkAw6lHqQzXBe9ulQ0YuftBeFUjK40vsZoPDUW+K9srI2YMYUTSHN/FKaBxcxqw
9q40t8Z0MS02PLYYqSwm/CqfTANAzohL2tW4nSZHXSBNwgZavHxOR7kpPHmygBaH85M+5cozMV1a
hWVML32WlhwpA5DGfqrW502fgw5GTkR8UJwrSSRZQViP0We+SYkjluv6HHbx+qon82MrNH4ZJQfB
YDdQSNyVJ62td0I9YU42pWEJMtzJtNL9csqqGSoi7lP2OEUlEHAyRQk2vh5mOMoLBjZZ81E1ElY3
lnSv0PjvaoE0hFicRluDEbnT006/M/Fc7nuBIOJabPQLPGXR5TQhNkfutepD2InIv8bc+iwYk3BQ
8t6w67m4gtksuG0/ggkU2BN5U940vTuHCehPoSJ/tg7LW6aqHffPVf8U0U+TkWKk9zPjgpORqukZ
gWv6BFWBfPLVWE5dtlZP6zALR7684AwNkg3TqA0fzbWY7ku48t5QzcmdkMz1dTyS1lliYM7dUlXx
4HWdChaVBK6eQaTWuRGwVoLToHuS2kdbjw1YzZWDMU/KDds7M7LFSpde66pe/SYBw2lxZ7D7CZvS
v7X4Wy1Gzv2LWlzlz+VP2IAqP/VDJd585eRa4Zz+xhz+3uPLf9BHoKRGLYcLfcMR/9njm2DULYnb
M501xusNYvxnj2/+QYS3sd0b8I8Z/xB+I5mbRu5vlRiK+5b5BxeZMmyI7/TrqlmQhDLIy5XZR+01
irLiNpFq47HKVfmwTFn2RHKE4Zuw3s6s1ULkE2PMIm5cHwxr6u9iscqDdZWoHlYVeobQt/BdyZkg
lPeSbyn1oyKFJ02z2hsQ2/z8SMypC4TQpHFjKyYwGJ7lFRZ7D2oAk3MGFVSkjymn0CWwhsS+ups/
FXEcHaqGNl8V+tRlxbQw2TZrhubLgyU3Dgniz0tYGIeBJ5IiKUzHMqvI2K0m/Ii9FYKBEq8yZcCL
k2SZY+lNZscJuU8bVKOylB5nUbpuc5M0fa0XaVJh+hUuiU3RRvp9iucoRKE3OsmmcqqYFsxpme3l
1ZqcnpvUdSRFj2K2EKqrtL5alzdahVM/EXsh6PVoPazRoBziWDS8HHUdkVjdPulVy4U6rpKVUKre
SCY5hm/uDMzlANUU9UQe03iztikiqrzLbeAaqy1osMkzsK3k81xShdI7Lrw7wsCZlUw16VWJBIwR
eo+7GFO9b+LuMMjpJ65ds13kcGuRHKQetvVDHDVr74Crjz3GGa2bC6SKhLq0S1UByl0bObM2BkWf
hRsGtX4eqyg9z736CqkZSKtIAFahsT6cWKxkaXSnK8hLjEjBGjkH8pg/yPS/1km1em6Lcn41NtJ1
JZsPYtQRYM3QgrStYKYKg77H4w/7lhYz4zI4qtG56xj0GmVx7BTpVdOqAUf8dDeiL0CFMGZbmjW6
qUK8MiJrVxZVMCraKZ2tcz2JQSwNYF/zSHL0UL+m6/fXKLkq1oTgkb7wLRWawaotZ40xa50J99y3
Of9n9ch1gf9lCD8VcvtZmSTmRrH5QnR6QF71fYPaCtIsOUtV3eH2LaHhXJqMPbcjK/rwopKV4dCX
tbFPktaJBJOap6JIspNEjOuAp5txWm2FimtI7XyKdDnZ/1uMvxVjnAS/Ksas7X+25+SnvhdjZDbq
NtFg4GJ8nY98j7uQFUouIYP6BjD9urH8oRgznmHNhJx5Uxr/SCKjGDNp4XcxGzAJ55P/SVvMeP5v
xfgrTnDDYMjAC03FBEj294ELCk9YRGIqXslfv0Da9l0icnl4adPBG1W6ILEIsx3oT2agkvUQ9mNs
h6zXEK0Zn/sivzOKyUK0KrtD34vobZPPIIT23dicMiGFL6S1hMg1oxvqY4+pR/o0GXMUdPLUHYum
2TcjTcmaXCm9sC+o3cCFbantLGcgm94ZF0a+RmfuygT9GG2jofRuP+mVUwnrNTBusuKS6VZWeoDt
5BFqWQlHniC3qhY+CDHa1nBMcaokiR8B6snTxzxZPk0RyOZUS2+7Fo9z23SOxHCjEBukQmsZLFUl
n8VavYqRmNqiRO6GVqPSGY5mF36premYQA+U2eXdqDO86KgMzwABwGvIwhPaAo/rtPSMdmexp8x0
1659SGTxS8T6lhmL0jjoCO9nQ2C1Q1RFlVu7LDPPSx7FnsS/IRSzc7LWz10KP2cMiRacmMg4sdxo
QUnSXjiz3GzN4p6z8QoKw6dCJ54+M+TTbDZBr2bw0IuitAk48s0uCpjFXGUymm5tWnfDJOEKXcGG
6UQVTtp5Ggnu6U3g6mZ6UxaiylB8Ppndys3cxFIe1o9JrCkO3TmDEyt7aDruN1nWP2rrdJyoMHbf
FW+V2Z5lSYlOcYZcKGZiUvY6pKoBgkIv77qQQUDXRB/kvN2LNYpDxt3WYdKH2iNo9ksZGXdRuARD
Ns0egtLDUsnQohThdVbr7Yrv62n/kf+2Kyt0UepoImmVYZXFaX/Nojg/WXPxQT9V0pZOaTDCprlx
YyWM2SF0b8zrdqnRBjqnjgP0NfL5fzxLQ+PVFTQlMRtHUBDdnTS2AfHaT+oiIaelKNemxhbdsJy+
gixRlgV83Xjx4br7ao+7j8PZW2IIUoBmTAZ/LQPGHG5OsTnZFyWQo+qYaaqfWwSQZDQkajYd0hgX
ftzikiFiRFTDY4+uDdR9YiwvQ1S1H2PMloTmWoXJJKU0buUaMmFkm20h3IhMMG8hfTBPkeaEuAPR
z4RYtwc5fMui+TXULBFYDqIDsTEORjk/dHr7uc+4r9VVdcO5FQhxdkNW4t40C81BUuHWM+m9ikHC
Wy62vgnoAMSLyj+u9iDXCegQ0h04B9UjSnAi3c1YnXTsmAQmhduTsaDoy/Osy24zz5/MkC7LWu75
oMENpMJ+SYRT2cRBnJFXikRdzyQnSnMQZOEuhQ+YmWVkzyaZgOp6UOr+o9S0bqzBMpEhUowFdwol
4W6TNKhwiZOzZiOYWMwWdcEH8tC3abDMAxGNjMyKYQ+lOGIhaACN6tw4sR6LFJxG18ansbbIr2gS
y58LHZx7hoyWjpHx30s3qTwEwLFmg3QHGiQA+WdQIHsy0EHmyiLL1Gnis4WSJ8Bi7tqXoR2vEHO5
Xap+EJOIXeDSntbM0MH5lZ6a8RSKyCaaWbJ8KRPvtCF8hfHFt3PkYkh8MdkL447p8OwIDWnNRKsS
jUXwBqT1NEGXaCajE6vDeTLK4yxguiuy3FEjE77OYPe6uUMph/BEDCxjuGb/+1GU632I1leHkexl
aU79m0sBCE91qwBucpK1vVJFpqpRutuY9XUyXkJ9/cB+FU5afxPKw6FtRltvGITPDEvXlbxEvfUU
Qdqzgx3dripXqrDiW1p/5Irtm4wKHAv1VFOLW1QrdDh5+KQQFUGepKbsoTZeS1teQRTdSKt5ssxl
BI/GZl5fp4OoZw6rw9iBQ8dMXUi2TAttCECmXiu54Gf5ci1b5ptCdFwJJKVjv921psAOmczriZik
pa+ve8O8nxNgfIVGCMVcaJY3p3L+mCnhAqpxfEu74RjP4kM+lIx4q1NsdcwR2+QWFT5CjfZNi0CK
DVJ9iWdca+l6n0ky5KYxe6ACe12p3bRCCHRStJ4Evf04N/MRxDZinqEwkMgxwJXYdpEVEM8Mb6bo
qPabLURd9mGDNA4JSLOoO73rsocxFyZUdAhhfGHtJ0LNTC8Xkz0yGKwjU7G6cxV/UUdlcAm9Jf2V
/Fhr/R/2zmO3kWxL169S6HkkwpvBbaBp5SivkjInAcqF9z6evr8tkyXDzDp1KKB5gcMaFJCSwmxu
s8xvxhOlRPaRcMGbeSjB0JsPcagoHq2amNSpoX8GFtvl0KczQJ3XWaieZol6Dviom7SZjvZSdUfv
Z1aj7GZJw0llYpaksn+V6OJNUiO96gfpz7zPLuOAunCXarM8ho1hD91JG2HwhM7XxZgS58dN2JyV
oEbmBsCoPT2VCZ8h6/TTRNFa/2+Ip6rIBd/niibKZbJqGooo3VkfAMJVYSv6gMH2iXKRTG6MRXta
TGEVTJ315Xm1yg6CeTat94IjY4ls5l628A8MbD9W/jNt+D8wc50y7W8C3HpNqT9eN9WG2i9/+TPI
lb8RxlqILqimhucAGf/PigNlYYEu1wHnCXM2yq5/VRxkC901jNsAgGEVwI9eKw7WN2oNFtV6jT6k
pZr/CGauaZ8qDrD2oA6Cc1d0Un2ZR38L5pNsSYvKPs5OGmK2cRViixkeK7j+qvOaEPaUs6Wtp0ls
HBt5cQqN606n+jov1eSyVaCyJUpyVKjl93jIDuIqPQ+SYFZLKk7MobvCiHjFyommqdUtPa310BiP
jigHXo9h+oCNUI9dtVp108jMzgxvXCiJDrgAfbMG2bCZqiPEGdfhiuoqQp82Yo1amyq3KNFP+hYj
yQVitbayT1ZQBjjEmrW3jBQJsK385F2YPPkYuk+ehkIj0RI2h4XlHJhPzofakwui++SI6DjUdI/K
MKi+h50LUq7VEnXRNm04EhSFh1aVmuEUMZsKSAf6YTPnybKHw7Qd58WTlQ9m09j60Ci6bXDHm3Rx
em0J75+aYrX95AaELVDu4odndTgFhTaeQdQ/VtRXiqla1RBiMBYqRhdFFYCMmdteqVgPSeW4X2NF
1IIYSdtuH5TyrMWqqO8MFLsxarUxMSpjFUhesM5pFKHrLk2yulmhYkX1GQMkW0RhpaOct/iim1gk
pW5xbGOZpGrlJJG6PSWoiTeTPQ9rJc9BFRGrpSYrb2WslxzcZFSsmACREXpYe67inZg+9c8izi9i
zJusVDiWysvOqM7LGgBMT7sQs6eE817G/MmxK9QycYOyE01Fif0xVbK5jl2Uhm0UmLClnmM9BOnO
xVYKY/HvJTZTVmPPcmynkA48HrPkxIabCAr/OK30vapXr8cuW7XYVulJeoyKJyAqQGLYWoVudlxh
czVqxoKk64BMZpmb8g/VCBd0h1e5Vt96GUqswgDTswChlso0SJSljaEWymq16GxjiOXDzAuPS1M9
K8B616N0ZWDJFdP3QwY2o0SR7FdojqE0MnEw8QIGT24QX5PGXGWyf15j9uXmxpGG+ZeKCZgctiDo
BuWowx6s5SGmDoZhEcZhLgZiYG2npY/7FMZi1JoPO4zGsgomhj2UD6WlIqnVn5fCk8z1WuPMMspl
YHb+senqOPOpyUkZoxhHDISFQ6BmGh5ndGwmRl+cyHAGO4Up1Tj6fgwCf1oIYmEOw3CAaUg7F8y4
RgTpnfWCitjTT23j2JppsBTrcGD6QVvMc3dJNjcsJM39ARhw1QmKo500lxgPEgNpZD2CBok0ISZU
T9RIQZKUfHBkeSuluB0pK1fXz3VBqZRAqU/Cnm+c6vlpCO+y0hMUhCBi5kTCEK6scEFwuKpha8Jp
nBqExjL50pzZwbelUiF0GjieLkJPKaxPVdA//aHCzD44QSjwSIMfqoC6TcziOBfE0a5I7nJBJVVH
aUZ63c1CQTMFLnBmxPZ+JgiopaCipoKU6gp6qgSmIBOEVdU3oD3CYUWVF4Qo4QvNipta0FwHQXiV
kvG4UbRVDxPWFJRYyYbBmCPS2gc+dMKwPTfhz9aOeSBxAttSEy8we8vBr3YrqN70qwX9NhFEXEdQ
clVBzgXOWSzCZjjKBHHX1IKTKCquWrPBsczvLz3TYL4jOp7C+m3t6MQVNGCoOuhYwwwmkE4h6Akn
SkEbHgWB2DeIKf9T3HoqbhnUgn599sOcTpH//3zwiz/7efDTT8DwUKFFKyBDwmvo58GvfaOw9XLo
E7a9nPpA+IkQHIvClkrxy7HfYYn4d6yBcGSDGEZB6p+Utiz5fWlLdHzRGKNEpjr8j0cRWKM3oiXA
U3uzKKrkNFUQhl9VagN+aGgCgCzYeXaqA9KS1sAEP6w7Ons/xmz0l2RaF1iMA+i1bocWK9S88fZK
OO1FHqToi1OxbXTrWK6VQqyemEITCthuxsFBGuEv1JzU0s+9Y0lyI+HFVk/Zrk+qob6XRJXZcLp7
nRNs7lO+bRxSuMwODntdyJ064Uoi/ijlzJhlvjZi/WW2sxqCC3D3Ets0yjxlU962NGyR9h2Wsmrf
Sr2y8LtawQXO27Os+jiF1019BqyFUXTfO1u6iushnoaRcqEZ9Y1H5XHp2JC1Fep8Jx6d/zn4dc4E
IyrnqA6uwWBkQB0pidgULAKsRjIB1gM8iVw58D0fHF+vygeJbDzodbLUwPlVOp7uAvhXStK0BwmI
GDm/7ewlcnnTUHTPenDTqcAOgiF0QqrccHuBFYLivCvV6qQcg2sD2GFEe2hGwRQkomGeSjwsMMdu
L/EDLKxr7FVGqfEWEPIvqkA7bnLpeHzCOMqByk4F7tEo7GQ/RGBzYghUJICiU8nooAhV1AUMCTIc
mObD0IfHEQpcZeHFK79o5LkN5NKsaLx3lLQcwJh2BshYdpKTHO1doMIFRjZ5qi5BiBLrgOYsRdaZ
D7G9jCy/nIUC9Wm2bj83BBIUzj6oz0HdK73uTxewaAxo1JSbEzlLMbyUnGJZApfvMYqYYPhKCoiw
Qy/Qp3o3DhMTQGoiGSjwq5K7ZKG50y5rD2Xgq77AsfZ1eRtK5bnZGqfUM/e9kEqCqYZLHQhsUut7
joIBQTSaVzUe6nLi/Qm/7YGOoUSZitDVEIjaVmBrbUC2aVgA/VbzA9fKr9GGr2Zx1V1JDshc/hTO
n0DragK2K6E0q6kmChJK9phUUjINsnxFknYS6ej810NPOws8cEPwOu8FRNhCxZm1UtrQ+QJ16oIk
7mrk5yOt7Ne1m4czaHjQtwX0WIvC6waZ4Di40mqElG0BUmat4RMBbNmurXqZVnSTjI7+fa+o7lTL
5MMBbVM9xdk+CQNtNoKFhhiIOHpaEGSBkw5SPNdBA5rT4AlEDZraBVUd9TTlmWsXunYgDY+RDGRP
AomdWdVcE9Bs37fmtp6hsW89YvBKhm7pj+Uof3cAdstdfJwPA+IAIL6NSvLn5gBuaUiKc7+p1rE+
Jlg57dvZeKA3Dqm2IhDkPeR7G2J5aQ+PalX+8KTmsMvqM3T0VnUbRgu8FmYjsHTNQYZBEUh1LCHU
SdhEIr4Bx17W9WMuJQnoxU4wZa11UJQ/6BfIALxhEakCEd93tnlQNwK4bkg2CiP6DbtuQXhWouIK
qL6GaIWUMqK9bMiHlUDee1XTLPyxPagFKl8Fnm/6/ZpaFGVQgdyviyqe5wLNX+nI5iV4vVMgJ/Tv
L2qjoPQiwCQ9fEBcOgm/U6Nk0WUsCdtcxSX1+6x3j7NYE7qgLnI7knfhusjS586F4+p7Wj/YUxNe
hGhYnbs5bEdPKRZ4xcc3ZVcFiNW2RxK5JGwcsbCN8Noy4aeYbRct2FaxeVX92z4Fb9LowaLt0gM2
9PNBz2ChIDMy4wA4A/Gj0uk0Zi0ks6VP4W7aVpoOexJMhp0e+K6pT6Mixsm2PQsMnb4lHAIXFWoE
bUtCdS/mb9v2wjBDe29Mm1vEPUDH56U7UVPVn5phIU29UXp0dOBD+DwHSzAwZ+mQ3Zoaa7uILRu5
Bluaxj0IR/A16bFcOFTysuJGsROB1weSnww9yD6cwia+LSuzjD3byFMZPwu5XsR1dts4lHlyJhKJ
3GKgkT5R+MonHHfltNOQ26572VuAsGJM28Dch5+153g6/FncRFk0uIY1envlD9FZx5k4rUOau4EB
Dh2tdA9LhoHpZoPBa0KBTRfIplwaMTMFYYIVWYZCitVhcd7Bm4rMKxzClxiT3huZcRp6+UOPTAIG
2OENrEsiUwA46BqkR4pGsApDYcX5jzqwle7JirJfx3kJMVVt5pFAWhVxGO9XY3GlqSz8ONWuJSxV
66C+74p44bjhFYe9fBiY0JA4//erwDshg790xmhPk6puYuEZKjKYhpJyt+fCh7XSAVsTgfmiPdPO
VMu6C/pMmiUl1nCFAKsMmX2uuEkxN4SCc4p5yzzP8fRo48bdl8thbSKuxffZqguaNZd9CuXKdqWD
wPPWJXrqHkX4SR/m2NZSb0ut/DSLWtpQjuzNcfS4y0MAUPi6ftflAMHrwjyVG/PPTDcBLcX93uhp
j6HcWeyxFORUFQV1u0c+3LQIx2uziiZyNjD9QqUGtzugMTsq382qPUaGJ5iPhP2TUmLX9gcQn6FF
OmdK4VpO1RUmo7Q8AjdEBSY/DATABzfT5TDiPNtoBg64crQXepiSIyjJeSdwoYXqptNMQIPgW977
HrLdhe2VCzRw5GmWtO0sk/E2jaChDJJ5TYleAZHrGtOkkC79sruCfAhzN3CmWRcD2FUQoWjsGnZX
Bgdd9y9qE/9dovn9xmtwKJGdK/g/p17cOVN0T8hpcglfXEgSU42mYe9J8Qwxmn2JyIkFGcpUl6vb
3EtAuHKeM1ocIeFeYSJULOhiHZBiKTcfTZkmIAzkmZUIGrgTPVqCwI3CwF07lIcOJ/lksIy7qrWW
hY0XbOopB26qpWgntfq0N6NrL0nwbu1LdWqTlYRSQh/xVra9IwIDHaaMlE2UJjzIDVJsXCbCYzXI
KPti/46yx3dPQtKF2sulUkK5yBvp3EpoXahJtq873XVPzIUN9ggvPs/SeVFjR4IiDOIxUcHr6IgV
2F2Jd1+mH9pQp217EI2+Ip6y7h7B1tC6ops6hz+5kNvmJm9Zun6pnMVeKpJFbaWZQT1PjbCcIJRz
AU0JFVZL0Qgve/bpMl31eokNrKkfKHZ9RzuGVmhQXxe9zx7UyFdjjHXBEF8Cck9mXcWWasm3yI4y
+SkSw+TAwzqLm6O8KhepjKoz1RQSV4yQmLXhg0Ns7LcmTPM+fRiT8mB0sIrxqPaoanoT4IyNIdJV
3gIzr4jyrIitzy+Ymb7TWYhlBTxkYy3lvnw0fUI6K+u/awkxXxuSI9PNpfyzjyb5DDPbNZD427Bu
TnS9OEgCdPA9+kdYO3NSagU2itZ57yvz3gCF4RbZRV85ewC6ofhIoErCU1TqpygrwADSQDK78Rxv
5aOyz/abIJ/GhtxifBsqw7TwLDU6i9PRvBkwwUZGVqJVcBYbdd7OBqHAYuTSs8L0f+rPBkXf3+Sg
DYpxDxtSUP7qNQVVMLW1FZlcUiXdwxHorxQUFzgDHzdUph3HlJGb/pmFauY3AiKRbBryK8f8tfZs
fBPAOAAbJtUNaCDKP8lCwVF86GBwY3DNMs+g6GDh5A8dDKqNcgFQqDkeY5TWaFT9AEKJsmkE4lNu
49lQxoKaG0yHzF0Fpd3NDKWrpmXanuKmtm+hkUIMp3r0DYtZJQWH0LhWgwVIjf73hSxH9y1BIh7O
LceK1CWESeoqGwllXdn0pkklxFXk6w60qFrpN07hUU31HX3hih6gI42LWJekedH5cBjw07Y8CQvS
PPwTzbgf+ZBdtT6pVVZXuJ6Y5p9lUe+nqLPUjnTtpsOhb1rgpYNVG/lHMC5+VJlN2OtYp6Vm3MW0
OecJL4ZqR2AuoUggBZp9TwY8dfRQgwpfkzIWcbdnO93VoCIR79XdQtdH1LBCDdX5Loiht9j3hY/n
NwrBR1UdX3akuFPbM+ZGZJ9ngXNfVM4plA/sWSHhgzYO67nbAT7OW9Bx6Z1bZ9/dAoPJLL2jnAG0
JCq9eZN21l5lJade7uwFfoWhkfcjVvHQymMbVw4TJEGXZ3ed4sDAG+pZMpSYCFGHmw164izoGWCG
plhHdQVuTncxBADNFeQlsUS3kMvuwHOcPU81zoexfQz08AEr0kst8GBTjzeJN2IkLhDSfEmOXMKm
6YAZqDLJmtoX5pmJr4Hv9I+UY7MZ5X204Fx52pSgWbARv9Y941yvBxc6UHSpe+pjo5otvXbx5wZx
vK41Nwmt6iqjUUnzhdgDRzC3qcMlhIrvmU6qoeYN+h2GjBO5BdFJARIng8Ezx2ghW/jLABheFrVP
5zPCeqzJ+dYQt8JcyzApgkBML0Z7YQZVtXQrQguipwPhODQrqTtOAJucW1i6dClFao4yWoiuSHRx
N5frntbiWOF40TDjDBDQU3tkEg8V32Gi5t68K8eLzCu5a2pz4rYLV24uRls7CDq0Aiw1hs1auHRD
45A6cBPdAUO4sSloTSwzv5WVrEQj0Z2WXd9TAgj2gKkg3CP5e3IqhTPJitKpLGdYm8hLRcaqtZIl
Z48mxjDRWvshCYsjMtd2Ai8zn1PK2De9YZipDZpBHCpXWWEcuELTjdmYULesb6vGIVMuFbr/I/pu
VJ7UQz2NMMwBdevtx6rja7Mo6q5VGy+xeSlVfvAnw+DWJ2pted3cDAxtYbqJnF5a5DfZTK/zkQO2
jIXhjJ1YpxSlAlCFReCfakXvfcewal7FTKGJ7uvucV4BO0ERcWrD4pGpwfqW4134hUw64hj9mRxL
B0jnBdq8twAtEtzHNJttsyr2G0t2SR2CvgaWI2txMqsGDV3LGP09sy+WcqipN1Eny8EqxueQfSb2
EQ4yrTvZa5qQxtZQwm5CO8cZ526kG8WcqpHlXcq1FVffVbf1OKG1kYYDiZjp/oiMwNdXsgqeZRI7
fZP/p2T7TAAVNcxfH5d/4qfabGKAij/7eV7a30xNUCspmGIc/7Zk+3ReQrWjVOrQJn3LANW/ObKC
RZauO0+4Q07Z1/NS+6ZSyzUBhssWTFAw5f+AASpOw3f9frq9QqDLVi0FoJIuOrlvara9LHltWaac
luJgALzqVQY6G8nkzbicPl/wrUOqIgtJ6A83QsZM18k4ZVWV9Q/HsoL+V2GGen4sN4ZzhbGoZE4T
Kx7GPbrIVN20Om30/apyxwtE+ZDxMBX9OrQt73uehRiMo7hyqFiCDkKntD8l1j7XhqyF4j14VnXY
RmGl/WjZyG0Ej4q2RcIIAFmrtwEAKCnGTTmulHmQ55k6J0lqkKGSPHwqg8olMI4GZy6gmPKsSu+M
WO+OLT2PT/QGsvtUyQHGLDK316Zx26CNKkxXraDLtBO5VTBjbePwpKyjDogUxji+c6op8oOBg2ta
eAuYJ5cW7qcpDq+GsHpVkQJBBC0AXuIunARBimTfHYYCf03a3ABQZvFQPPq2f06aeaxgJtto7UUs
nJA6vQy/WxGkGmGjsZKsvETX0zAP4gBEtJNQNxxVdMElSXvUwwrlKdeXj9O6QIy6dYtJEEvY03Y2
9ujOcZXSsRpVu515wagu69S6GhTpBteaYoZVE6i/uvZUyLAaPjYe3qlzgrGA+py4BJqLSmSWV6Ve
a/3MtFP/vEIsa94AeYaUK/c3OsBPRlHFp6mKSPV0qURKBM2zwqztA19SlOPfzzFV9Bc+TDEhYaTY
4HcFZFf0J97M5WIoC8/r7fK4mifrjgLNxXhhTcBKgVhJaTHj7+HNYY3NoS9MjAN9oc3pqU3/1vpa
oBv+eg50/HBbIaR1TEMEu4r9gW+BhVzXeJWfHbuqdzDEfj+N8LoEbaRTqbUiZ160LsIjqsmB5try
yrNK90DhOzKjAtUbCw8AF+qDrY4/6j5zFpVKO6Su84Vrjz8sAxfA0KX4QUPxmna5RRRZDFOrotvY
4zuGGhwVNMPv5wggLTsFGLE7TgvddsHCO3ujhkqBqi51mjmTooZSGzhAUJN0j4LJLENYYJLJ+bzr
vCMV2TSQfWjWtWDkkiREhbgtjrve0ZaFJ0B+mnflddkeEgarprdlmpT5Uo6YaJZTUH2Rw4vff8Xv
N5EXuXMZiSjdAfeiOR82EWeErZYnbnkst0m4ZCNAErqUU0SY/LmRQbHWi7+zRtysdf/mnh++TamH
CNhGXnVceNp3w0USBMgoGGNrT0+aVVbQBvdMhJgt+MpGTDJOEXM4GjELRUvaOMoC+0YOSKVpkz9y
Vi/yolipmXkmu+Od4RU/kg43uiIt8mco139SWINv4Ndn8vfmdr0hgeVvXg9kJM/hwOoE06ScilAo
/6uHqnBWmzJGodAEBIrqrwTW4ScOtAKBjXuBXL0eyPY3B7Cc4vAj4E46ae8/OJA1+WMCyz3gg5ki
XcbGSlE+TLi4LmsZkVn5pA6zG0SojKUZadKhim0x5Vclh3PEmgOM6hz3EZbLGaqSeIzpB2VmIASV
0o0IdMc4KktE+HQ7whe4M5dt11zEdp+vylECPiHr9FbvlDaiIZN0EKTQ8x3Nbt9x7UVgIYaekzc1
lYtmiDMkU6vTr7q03NMDP71kl22mXp7fmXjnZU1+VSp6To0dmSXTK+7iwYlmWUX1tui6vT7ve+rz
mZ+eyRo90FCnP6iZh67ZOfO6k91p0km4USnCdzMuYPHUa6vx7tzE7hbqgMygN+TFPvpNCTIC0jmK
v/Gpg3wjUscgEfC+BCI8WNbMDegkeBKVstQdTqG/liQS2n0VmGe+ATKpDqiK+dFNoGqXdebkMylU
H/LI6Ofu6F2VZBoBbK0GHSp0mpU9kKT3JPsp3Hcfw2CE1mSonqb6PUm9w3B0LpWQrdcYRYtYlS9z
K1QnI19C7ef1NHap56q1sR6aCut2q7qBpMt+iTcgEjCIVunyqR3rCs7jwVngULeWErxOD4YBB3BQ
HI8y/HoZnr09BoetIN5rYXXemGD6ewpjk7GkSGrB0w/NmApCHs8sWliTQpIaZNgc1aKhWsdVhGZn
mcyDtLJPHDUflnFqq5PWDPcVRFKRHS4f1KKVJ85oeWeSaHiNgXHnwLs6Lgb1MYYMZSIAAgsMoWTn
OPbhiiGYA5YlwsO0NvD0SUlQDrwoO/ERo0eFxj5BVx01PdNhWxxoWEYgWiqFOkSpHsNSTamBj0QW
AeeM0iBRrxh4MPYUf6nD/zBz/88oQsu9bHBDVf2U+AQF+8pjcOM0zOjkwUlEZkJxs9sE+UwgMvoB
ncgzxc4fdR9Ysd8vm6K3pynRyVSuS23fjIv93EwO+trASlI7GZTohGy9nzoxpWE5C6/lzr0yEqna
qyMHp3bJuiprD7tpRT1yc+IpyaZ7WhRJOGlk+TwZ6gO5C5ZFFJ4HgTc3m/h7J5e30B+zqRKhRzjQ
J7DLqJmVJmFIJqe0XxhcQ5cO2hilc1PmQG+cIaL+bR2honrHWa/Nqnq4zjUVZryCr1dFNprVI27P
OCtH7iiDBZOPu7i79Rnruanl7jQ1g4KyVH6jpfnKATtt2tkihJZO8ODe1XK3sErRY427Ygq7LYO/
12DVHBXTwcEHPB2M+1pQUgqUSxI7PCpc6u5BnsC7I0QI/eqHHRaHcFuulGj8U8E2nOdDFVhH87Zz
VqXQyeaBZ97YdnjaRisbRgJKtPJ55Wg/htrJT2Cix9MAGa0DKRqk/SzpqPrT3GojBHTht/t5dG6b
qYGbAV06aB1ute9aXGUsfWMvsfR56RbNLNSkeD9J1LNQprVsIzlA/aSCJ5lZ0RQXK4Sg6JkhCm6d
gCEH9N9l8QwrBjr8HrBIlBYnriHfIRf54g71/8E5+/KIwvxjntKOG86ah3I4f6ioV/x02RA/Pc1o
Yl9m/94vvZ5lmy/0Bykwd74c8of/91/rezSZZ0FVl8FdLUrGTz8TRpvP2bT28eR+erCnp/7tdeI1
92juuYNmUSwWSCWb+Prp819/xBlSAs8/lhRMS3RVJp8VmGSihDdj9KtR+P0LPg/n73/n1w//dgzg
Pz8/07MN1M/x/Jv35wXfvr5q6GyeqHs8fUhx3r0+FQXQD+TyIIhehuf/fhA+zQSsL/+dkeA674aC
kokNi1l7flNyhXdDIexrgMFbAua+g2NgQPr/EMf+O6sBQ0+EVpjyTx/t4xjg7uMg+uU4ZKJ8mC47
ORQiBubB/tnCeD8dqLI5GuEyqeHTh6j+3XRgZZCVW5Bkn0t6/8cbw6c1wRf0/O1sNwiCxQEKkXd8
9/aqzNuLIqT8vHHs6kRQyei3nAjmN4gxT8XRpykvb1gTtF/Q49jZjUE88paDYH9D61ulgEzHVXzE
Wnl3TMrfyH8dIc20q1vC87a9zWqgG63whuCSN28JFAKg+pNhq7u6HOiFbzsTrG8aewIL/yVg+rgv
MghPNC3A27s6E5437O1mgiomO6fDL5aDkEWzYV7v7CB8Knr982DB+UZUaIDZ+NWewHKwkR1la9zR
mSBkObbeGF8oji+D8Ol0UJHO43igjrejg6Btfzrg0WjQHgG1+bwxEoy/Px3gkMqqTIdtZ0+H7eME
dF2ABznIcv3idFAFJxYRGYUtk1m3gwHj1uk05CDSByJDMRLi8ymJ0vEA1TWSqOfjeAcH4Sv2BAsu
laG+JJIiN32/HAieBaYMAszT8bGr0YKgWW+5PQLTA4LHIfFSPvg4FCKLsg3+EybZO7ko9K23R5xt
SBKxSQOx8fT5FDwjMQUCEqecnd0ety+vEDxj2qU44h3frwb2RdpMlvYCJd29LUHZuprAFBC9QR2Y
zce317+BPCGaBnjz9NnRZfCyPrcLmtn5kaEkd/jVMgC2qyCktqvLQNk+fSIchLJjMBDPg/AxXlSM
bwb7paFQdhGfXT0bBBZ7y7PBwPALbp2Dosfrq77fGKgpMAik08+7z+5tDNr2mSTLn0SRdv/Lovg0
HywqrqDPrV0dA2X7ugrpg6xyOiAm/7oHvpsIiqg+OSbs9F2NnPWvGATH0uEZKObzGPCq7waB9gN1
WJaKs7O749aRkmZ805AnpsD2vPmJ3e/dIBAuiiQLkM1zlL57W8LLg213Tqowv1DLeikufdwSBN6I
XVNg1nY1WNh+XzS/8R3TbtN/UVIQjUl+Rql1V2eCwFltd0ISNVJgQ0X2pRv3ufXACSlEZkGW7ehM
EP4/2w2C5nxzwMeRTb+kkLzquz2BVhQjAD1L29UU8mWKbrMn6Fg7qSi7vy6Hj6cDR6Sqi8K8kHnn
s6tho1CW23I+QBcUcsz0u395UEIiZEk4uxotvBQAt5kP5jfacWTMDMPr9/1xUWDMTtH5ZcB376A0
to8WBHGU4Bg4wi8HQUOoWUE7aEe3R3X77dFCnhFXBwg3mweBg9IxdQs+DjxW8dnVodg+txYNKV4Q
aarNQ4FeO0kGxhmiLM0utHuL4qUqvs3OQH9WNlHyMn/VnyWoQCmGg0J/3Tl2cyi23h9oRrAzCN72
S0pFQPZxkwTrRByt7Oz+sH0gTWAARunndPjUkWF/QKAKZy1hGLObM2HrQFpjEOAl6mQLzzsD3/f7
mQC2jzhaZhfd0UEwtj4pyCYoKprEkb/oxQiAo0YJAm3V3d4ZnuO6bTZJ/OxE/w2ju6cjUUSK7+YD
mhTIHVNq2dlA+qUmus0g2N9Y9WIYXsKnT4uCOoNQ0EB/8fmzq0vjK4pv1F/FtP9FJCk2SRx36VLu
6kkhZFO2TKw0wmkZQ5uX2tvn4huhhaCrYeW4ozNBsM23HARiSMj1IB1fNsmPOwPFNxOoCznHrhbf
tO2XA1ZyaLeTPr6kDJ9KLiKyEv9RqxWfXa02vMCNttskxbeN2d1Lf4ZXfXdSiLI8YgsGags7uihe
ymLbDMIThs0yaFx+eHvOSQVgA+2rlzLtro7B9hvDU54Ng/b1TT+tCaInFXsCZCF3dBD0rUNITRdk
KFFa+0UIKaryDmQ5RDl2OmQQtvVbHxSgtygv2c9b4KbaPD9ksNgbdnqP3D6atuhC4F5hmL8CdgiC
vChPC0/pnUwxX2DaW+yRAvmoCdmbV/oYO87Hg8JkiHDK3tUQUuibbLcoBMyJth3F+Zflv2GTFFk2
28OubpKfBJr+OS4eiCvrXoOP94vkUiQTpFXmC75y98qQxlegoeFMcRgKucT364CFYtGnAvX2r28G
/8IQ/SQoT/0gvn+iJgcP1SYG869+4ZUv+Pnnb4jHT6Tbd78pqMrPN/+Luvzf75nLT5XmNz99rTw/
3enl719e8fPN393s9b1e/3EveCjX5R1CBE/U6JcHPV4ncJv/J+Z/9+u3lGFBmxYlj9d/20yz/rkJ
/P7q+CU8vF7oL062oF7+9aqfOdz/2sWT9X1Wvl7ozcWZM1tffIKlzqYHJ2/a+trTdbxu+Uqq12u9
eXb2/e2vjxZv9ekrJcIgoPmCi6d1uf5jmlX1pluwkre+xewh/uM4KzeOPwnU1tefx3/MspLJ83qt
N+PPYbT19RflQ7XJvl1s5VtffBk/pOnrdd48+Fcs170muc3i+/rz5QW6eetH30/yhzJYx6+X+uvp
BWZ2+8sjr/96mTeX/ooVe/hQbhhz0RHa+qkPg9TbsBEoX7FWj9bRhj1MoLS3fuyjdVU9bBqTr1ig
R1n1x/+k3kP8sGlkvmKJrtb3bMCv4/BmtnzFEl2tcVXacO2vWKLi2nm2aXcXMIGtv9bVQ3qf3QWb
di/BV/6C65d3D/evF/pr3EVPe/uLZzz763XeXPsrlukq2zgmX7FKuXT9UD4MG578K1bq8TrfMNEF
x2TrAT9+aNefY0cDB9cvuPhJuWYLeL3Qm6/zK5boaby+e9gQO4qO2dbDcho3yabgTuAct774eUDo
WAX3G0ZGtHe2vv7F+q4kJUjrDWep6Bp8wQ3SPyYPiHRvusFXLNWLtbhBma7L+40bmSBkfMlbzIIH
b9NLfMWqFS+xYAXcBdXdpnt8xfIV9zjI1kWz6bQSQkFfMkpHTVD9cXIbVPmm9/iKxSzeY7WuHzZd
/yvWM9ev139M1uXtelPMIErmXzFS3GOKE8aGzVp0C77qDmUzvl7srz1VUFO2v4G/3pgTCnLs9hen
hrFxaL5kMQdVhANi8/qcbwbmS9ZyFq83RQ+iG7j9wBCYJJvmzJes37+zBv+NDt+/VMO5EGWWDeew
aNJvPTSXD/5609AImNT2F/+tc+q243L5O0+c7S9OgSjZVJcTyJWtR+b3BgXbPvz3LN6wz4ti9NYP
/hsV598/9aay7E/k8Odi7au646Y/e1+LFr9xFz+sy//+XwAAAP//</cx:binary>
              </cx:geoCache>
            </cx:geography>
          </cx:layoutPr>
        </cx:series>
      </cx:plotAreaRegion>
    </cx:plotArea>
  </cx:chart>
  <cx:spPr>
    <a:solidFill>
      <a:schemeClr val="tx2">
        <a:lumMod val="10000"/>
        <a:lumOff val="90000"/>
      </a:schemeClr>
    </a:solidFill>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s://chandoo.org/wp/"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320040</xdr:colOff>
      <xdr:row>0</xdr:row>
      <xdr:rowOff>0</xdr:rowOff>
    </xdr:from>
    <xdr:to>
      <xdr:col>21</xdr:col>
      <xdr:colOff>571500</xdr:colOff>
      <xdr:row>29</xdr:row>
      <xdr:rowOff>0</xdr:rowOff>
    </xdr:to>
    <xdr:sp macro="" textlink="">
      <xdr:nvSpPr>
        <xdr:cNvPr id="4" name="Rectangle 3">
          <a:extLst>
            <a:ext uri="{FF2B5EF4-FFF2-40B4-BE49-F238E27FC236}">
              <a16:creationId xmlns:a16="http://schemas.microsoft.com/office/drawing/2014/main" id="{4074EFA7-1BBD-4E74-8108-4116F0B303BE}"/>
            </a:ext>
          </a:extLst>
        </xdr:cNvPr>
        <xdr:cNvSpPr/>
      </xdr:nvSpPr>
      <xdr:spPr>
        <a:xfrm>
          <a:off x="1866900" y="0"/>
          <a:ext cx="11567160" cy="5303520"/>
        </a:xfrm>
        <a:prstGeom prst="rect">
          <a:avLst/>
        </a:prstGeom>
        <a:solidFill>
          <a:schemeClr val="accent1">
            <a:lumMod val="60000"/>
            <a:lumOff val="4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0</xdr:row>
      <xdr:rowOff>15240</xdr:rowOff>
    </xdr:from>
    <xdr:to>
      <xdr:col>2</xdr:col>
      <xdr:colOff>320040</xdr:colOff>
      <xdr:row>29</xdr:row>
      <xdr:rowOff>15240</xdr:rowOff>
    </xdr:to>
    <xdr:sp macro="" textlink="">
      <xdr:nvSpPr>
        <xdr:cNvPr id="3" name="Rectangle 2">
          <a:extLst>
            <a:ext uri="{FF2B5EF4-FFF2-40B4-BE49-F238E27FC236}">
              <a16:creationId xmlns:a16="http://schemas.microsoft.com/office/drawing/2014/main" id="{10B9981D-A35B-9381-9B50-F3C2455E46B1}"/>
            </a:ext>
          </a:extLst>
        </xdr:cNvPr>
        <xdr:cNvSpPr/>
      </xdr:nvSpPr>
      <xdr:spPr>
        <a:xfrm>
          <a:off x="7620" y="15240"/>
          <a:ext cx="1859280" cy="5303520"/>
        </a:xfrm>
        <a:prstGeom prst="rect">
          <a:avLst/>
        </a:prstGeom>
        <a:solidFill>
          <a:schemeClr val="accent3"/>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205740</xdr:colOff>
      <xdr:row>1</xdr:row>
      <xdr:rowOff>180340</xdr:rowOff>
    </xdr:from>
    <xdr:to>
      <xdr:col>1</xdr:col>
      <xdr:colOff>1196340</xdr:colOff>
      <xdr:row>4</xdr:row>
      <xdr:rowOff>172720</xdr:rowOff>
    </xdr:to>
    <xdr:sp macro="" textlink="Pivots!G4">
      <xdr:nvSpPr>
        <xdr:cNvPr id="6" name="TextBox 5">
          <a:extLst>
            <a:ext uri="{FF2B5EF4-FFF2-40B4-BE49-F238E27FC236}">
              <a16:creationId xmlns:a16="http://schemas.microsoft.com/office/drawing/2014/main" id="{7B36EC2C-48EC-FEDC-26B2-23795DC296A8}"/>
            </a:ext>
          </a:extLst>
        </xdr:cNvPr>
        <xdr:cNvSpPr txBox="1"/>
      </xdr:nvSpPr>
      <xdr:spPr>
        <a:xfrm>
          <a:off x="205740" y="363220"/>
          <a:ext cx="126492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CF6C18-8E92-4095-9B63-0D0488A95AC3}" type="TxLink">
            <a:rPr lang="en-US" sz="1800" b="1" i="0" u="none" strike="noStrike">
              <a:gradFill>
                <a:gsLst>
                  <a:gs pos="300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rPr>
            <a:pPr/>
            <a:t>2,400</a:t>
          </a:fld>
          <a:endParaRPr lang="en-US" sz="1800" b="1">
            <a:gradFill>
              <a:gsLst>
                <a:gs pos="3000">
                  <a:schemeClr val="bg1"/>
                </a:gs>
                <a:gs pos="100000">
                  <a:schemeClr val="bg1">
                    <a:lumMod val="65000"/>
                  </a:schemeClr>
                </a:gs>
              </a:gsLst>
              <a:lin ang="5400000" scaled="1"/>
            </a:gradFill>
            <a:effectLst>
              <a:outerShdw blurRad="50800" dist="38100" dir="5400000" algn="t" rotWithShape="0">
                <a:prstClr val="black">
                  <a:alpha val="40000"/>
                </a:prstClr>
              </a:outerShdw>
            </a:effectLst>
          </a:endParaRPr>
        </a:p>
      </xdr:txBody>
    </xdr:sp>
    <xdr:clientData/>
  </xdr:twoCellAnchor>
  <xdr:twoCellAnchor>
    <xdr:from>
      <xdr:col>0</xdr:col>
      <xdr:colOff>205740</xdr:colOff>
      <xdr:row>5</xdr:row>
      <xdr:rowOff>175260</xdr:rowOff>
    </xdr:from>
    <xdr:to>
      <xdr:col>1</xdr:col>
      <xdr:colOff>1196340</xdr:colOff>
      <xdr:row>8</xdr:row>
      <xdr:rowOff>167640</xdr:rowOff>
    </xdr:to>
    <xdr:sp macro="" textlink="Pivots!H4">
      <xdr:nvSpPr>
        <xdr:cNvPr id="2" name="TextBox 1">
          <a:extLst>
            <a:ext uri="{FF2B5EF4-FFF2-40B4-BE49-F238E27FC236}">
              <a16:creationId xmlns:a16="http://schemas.microsoft.com/office/drawing/2014/main" id="{5A1AC158-4E47-489F-8DBE-13531F2583E0}"/>
            </a:ext>
          </a:extLst>
        </xdr:cNvPr>
        <xdr:cNvSpPr txBox="1"/>
      </xdr:nvSpPr>
      <xdr:spPr>
        <a:xfrm>
          <a:off x="205740" y="1089660"/>
          <a:ext cx="126492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325EE6-7669-4857-BCE0-D32355942740}" type="TxLink">
            <a:rPr lang="en-US" sz="1800" b="1" i="0" u="none" strike="noStrike">
              <a:gradFill>
                <a:gsLst>
                  <a:gs pos="300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11,997</a:t>
          </a:fld>
          <a:endParaRPr lang="en-US" sz="1800" b="1" i="0" u="none" strike="noStrike">
            <a:gradFill>
              <a:gsLst>
                <a:gs pos="300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205740</xdr:colOff>
      <xdr:row>9</xdr:row>
      <xdr:rowOff>177800</xdr:rowOff>
    </xdr:from>
    <xdr:to>
      <xdr:col>1</xdr:col>
      <xdr:colOff>1196340</xdr:colOff>
      <xdr:row>12</xdr:row>
      <xdr:rowOff>170180</xdr:rowOff>
    </xdr:to>
    <xdr:sp macro="" textlink="Pivots!I4">
      <xdr:nvSpPr>
        <xdr:cNvPr id="5" name="TextBox 4">
          <a:extLst>
            <a:ext uri="{FF2B5EF4-FFF2-40B4-BE49-F238E27FC236}">
              <a16:creationId xmlns:a16="http://schemas.microsoft.com/office/drawing/2014/main" id="{7CFA3465-B45E-497D-B864-3EB9FE306222}"/>
            </a:ext>
          </a:extLst>
        </xdr:cNvPr>
        <xdr:cNvSpPr txBox="1"/>
      </xdr:nvSpPr>
      <xdr:spPr>
        <a:xfrm>
          <a:off x="205740" y="1823720"/>
          <a:ext cx="126492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35B0769-90E3-478F-AB37-AE3D445F861D}" type="TxLink">
            <a:rPr lang="en-US" sz="1800" b="1" i="0" u="none" strike="noStrike">
              <a:gradFill>
                <a:gsLst>
                  <a:gs pos="300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$649.0k</a:t>
          </a:fld>
          <a:endParaRPr lang="en-US" sz="1800" b="1" i="0" u="none" strike="noStrike">
            <a:gradFill>
              <a:gsLst>
                <a:gs pos="300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205740</xdr:colOff>
      <xdr:row>13</xdr:row>
      <xdr:rowOff>172720</xdr:rowOff>
    </xdr:from>
    <xdr:to>
      <xdr:col>1</xdr:col>
      <xdr:colOff>1196340</xdr:colOff>
      <xdr:row>16</xdr:row>
      <xdr:rowOff>165100</xdr:rowOff>
    </xdr:to>
    <xdr:sp macro="" textlink="Pivots!J4">
      <xdr:nvSpPr>
        <xdr:cNvPr id="7" name="TextBox 6">
          <a:extLst>
            <a:ext uri="{FF2B5EF4-FFF2-40B4-BE49-F238E27FC236}">
              <a16:creationId xmlns:a16="http://schemas.microsoft.com/office/drawing/2014/main" id="{A2BD3533-62E4-4FC0-A40D-EA80C0572F51}"/>
            </a:ext>
          </a:extLst>
        </xdr:cNvPr>
        <xdr:cNvSpPr txBox="1"/>
      </xdr:nvSpPr>
      <xdr:spPr>
        <a:xfrm>
          <a:off x="205740" y="2550160"/>
          <a:ext cx="126492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AE2693A-ED9A-469D-9107-84FB50F5B28B}" type="TxLink">
            <a:rPr lang="en-US" sz="1800" b="1" i="0" u="none" strike="noStrike">
              <a:gradFill>
                <a:gsLst>
                  <a:gs pos="300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4.0</a:t>
          </a:fld>
          <a:endParaRPr lang="en-US" sz="1800" b="1" i="0" u="none" strike="noStrike">
            <a:gradFill>
              <a:gsLst>
                <a:gs pos="300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205740</xdr:colOff>
      <xdr:row>18</xdr:row>
      <xdr:rowOff>45720</xdr:rowOff>
    </xdr:from>
    <xdr:to>
      <xdr:col>1</xdr:col>
      <xdr:colOff>1196340</xdr:colOff>
      <xdr:row>21</xdr:row>
      <xdr:rowOff>38100</xdr:rowOff>
    </xdr:to>
    <xdr:sp macro="" textlink="Pivots!K4">
      <xdr:nvSpPr>
        <xdr:cNvPr id="8" name="TextBox 7">
          <a:extLst>
            <a:ext uri="{FF2B5EF4-FFF2-40B4-BE49-F238E27FC236}">
              <a16:creationId xmlns:a16="http://schemas.microsoft.com/office/drawing/2014/main" id="{BB066C5E-51BB-46AB-BFE8-F6A00EC4184A}"/>
            </a:ext>
          </a:extLst>
        </xdr:cNvPr>
        <xdr:cNvSpPr txBox="1"/>
      </xdr:nvSpPr>
      <xdr:spPr>
        <a:xfrm>
          <a:off x="205740" y="3337560"/>
          <a:ext cx="126492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8BA26F6-87F6-407C-8B83-C39A69DE9979}" type="TxLink">
            <a:rPr lang="en-US" sz="1800" b="1" i="0" u="none" strike="noStrike">
              <a:gradFill>
                <a:gsLst>
                  <a:gs pos="300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2.3</a:t>
          </a:fld>
          <a:endParaRPr lang="en-US" sz="1800" b="1" i="0" u="none" strike="noStrike">
            <a:gradFill>
              <a:gsLst>
                <a:gs pos="3000">
                  <a:schemeClr val="bg1"/>
                </a:gs>
                <a:gs pos="100000">
                  <a:schemeClr val="bg1">
                    <a:lumMod val="6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205740</xdr:colOff>
      <xdr:row>0</xdr:row>
      <xdr:rowOff>175260</xdr:rowOff>
    </xdr:from>
    <xdr:to>
      <xdr:col>1</xdr:col>
      <xdr:colOff>792480</xdr:colOff>
      <xdr:row>2</xdr:row>
      <xdr:rowOff>0</xdr:rowOff>
    </xdr:to>
    <xdr:sp macro="" textlink="">
      <xdr:nvSpPr>
        <xdr:cNvPr id="9" name="TextBox 8">
          <a:extLst>
            <a:ext uri="{FF2B5EF4-FFF2-40B4-BE49-F238E27FC236}">
              <a16:creationId xmlns:a16="http://schemas.microsoft.com/office/drawing/2014/main" id="{8425044F-D641-5295-1DE6-7DEB96940D23}"/>
            </a:ext>
          </a:extLst>
        </xdr:cNvPr>
        <xdr:cNvSpPr txBox="1"/>
      </xdr:nvSpPr>
      <xdr:spPr>
        <a:xfrm>
          <a:off x="205740" y="175260"/>
          <a:ext cx="86106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419" sz="1200" b="1">
              <a:solidFill>
                <a:schemeClr val="bg1"/>
              </a:solidFill>
            </a:rPr>
            <a:t>🛒</a:t>
          </a:r>
          <a:r>
            <a:rPr lang="en-US" sz="1200" b="1">
              <a:solidFill>
                <a:schemeClr val="bg1"/>
              </a:solidFill>
            </a:rPr>
            <a:t>Orders</a:t>
          </a:r>
        </a:p>
      </xdr:txBody>
    </xdr:sp>
    <xdr:clientData/>
  </xdr:twoCellAnchor>
  <xdr:twoCellAnchor>
    <xdr:from>
      <xdr:col>0</xdr:col>
      <xdr:colOff>205740</xdr:colOff>
      <xdr:row>4</xdr:row>
      <xdr:rowOff>170180</xdr:rowOff>
    </xdr:from>
    <xdr:to>
      <xdr:col>1</xdr:col>
      <xdr:colOff>883920</xdr:colOff>
      <xdr:row>5</xdr:row>
      <xdr:rowOff>177800</xdr:rowOff>
    </xdr:to>
    <xdr:sp macro="" textlink="">
      <xdr:nvSpPr>
        <xdr:cNvPr id="10" name="TextBox 9">
          <a:extLst>
            <a:ext uri="{FF2B5EF4-FFF2-40B4-BE49-F238E27FC236}">
              <a16:creationId xmlns:a16="http://schemas.microsoft.com/office/drawing/2014/main" id="{80C7833C-1924-4D62-A7BC-905AD2A3C579}"/>
            </a:ext>
          </a:extLst>
        </xdr:cNvPr>
        <xdr:cNvSpPr txBox="1"/>
      </xdr:nvSpPr>
      <xdr:spPr>
        <a:xfrm>
          <a:off x="205740" y="901700"/>
          <a:ext cx="9525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s-419" sz="1200" b="1">
              <a:solidFill>
                <a:schemeClr val="bg1"/>
              </a:solidFill>
              <a:latin typeface="+mn-lt"/>
              <a:ea typeface="+mn-ea"/>
              <a:cs typeface="+mn-cs"/>
            </a:rPr>
            <a:t>👕</a:t>
          </a:r>
          <a:r>
            <a:rPr lang="en-US" sz="1200" b="1">
              <a:solidFill>
                <a:schemeClr val="bg1"/>
              </a:solidFill>
              <a:latin typeface="+mn-lt"/>
              <a:ea typeface="+mn-ea"/>
              <a:cs typeface="+mn-cs"/>
            </a:rPr>
            <a:t>Quantity</a:t>
          </a:r>
        </a:p>
      </xdr:txBody>
    </xdr:sp>
    <xdr:clientData/>
  </xdr:twoCellAnchor>
  <xdr:twoCellAnchor>
    <xdr:from>
      <xdr:col>0</xdr:col>
      <xdr:colOff>205740</xdr:colOff>
      <xdr:row>8</xdr:row>
      <xdr:rowOff>165100</xdr:rowOff>
    </xdr:from>
    <xdr:to>
      <xdr:col>1</xdr:col>
      <xdr:colOff>861060</xdr:colOff>
      <xdr:row>9</xdr:row>
      <xdr:rowOff>180340</xdr:rowOff>
    </xdr:to>
    <xdr:sp macro="" textlink="">
      <xdr:nvSpPr>
        <xdr:cNvPr id="11" name="TextBox 10">
          <a:extLst>
            <a:ext uri="{FF2B5EF4-FFF2-40B4-BE49-F238E27FC236}">
              <a16:creationId xmlns:a16="http://schemas.microsoft.com/office/drawing/2014/main" id="{69CFB09D-79AA-45D2-81B0-46E58C7DBDD0}"/>
            </a:ext>
          </a:extLst>
        </xdr:cNvPr>
        <xdr:cNvSpPr txBox="1"/>
      </xdr:nvSpPr>
      <xdr:spPr>
        <a:xfrm>
          <a:off x="205740" y="1628140"/>
          <a:ext cx="9296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419" sz="1200" b="1">
              <a:solidFill>
                <a:schemeClr val="bg1"/>
              </a:solidFill>
              <a:latin typeface="+mn-lt"/>
              <a:ea typeface="+mn-ea"/>
              <a:cs typeface="+mn-cs"/>
            </a:rPr>
            <a:t>💰</a:t>
          </a:r>
          <a:r>
            <a:rPr lang="en-US" sz="1200" b="1">
              <a:solidFill>
                <a:schemeClr val="bg1"/>
              </a:solidFill>
              <a:latin typeface="+mn-lt"/>
              <a:ea typeface="+mn-ea"/>
              <a:cs typeface="+mn-cs"/>
            </a:rPr>
            <a:t>Amount</a:t>
          </a:r>
        </a:p>
      </xdr:txBody>
    </xdr:sp>
    <xdr:clientData/>
  </xdr:twoCellAnchor>
  <xdr:twoCellAnchor>
    <xdr:from>
      <xdr:col>0</xdr:col>
      <xdr:colOff>205740</xdr:colOff>
      <xdr:row>12</xdr:row>
      <xdr:rowOff>167640</xdr:rowOff>
    </xdr:from>
    <xdr:to>
      <xdr:col>1</xdr:col>
      <xdr:colOff>1013460</xdr:colOff>
      <xdr:row>13</xdr:row>
      <xdr:rowOff>175260</xdr:rowOff>
    </xdr:to>
    <xdr:sp macro="" textlink="">
      <xdr:nvSpPr>
        <xdr:cNvPr id="12" name="TextBox 11">
          <a:extLst>
            <a:ext uri="{FF2B5EF4-FFF2-40B4-BE49-F238E27FC236}">
              <a16:creationId xmlns:a16="http://schemas.microsoft.com/office/drawing/2014/main" id="{0AB663BA-8406-4E7A-9A9D-CE87A216B55E}"/>
            </a:ext>
          </a:extLst>
        </xdr:cNvPr>
        <xdr:cNvSpPr txBox="1"/>
      </xdr:nvSpPr>
      <xdr:spPr>
        <a:xfrm>
          <a:off x="205740" y="2362200"/>
          <a:ext cx="10820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419" sz="1200" b="1">
              <a:solidFill>
                <a:schemeClr val="bg1"/>
              </a:solidFill>
              <a:latin typeface="+mn-lt"/>
              <a:ea typeface="+mn-ea"/>
              <a:cs typeface="+mn-cs"/>
            </a:rPr>
            <a:t>⭐</a:t>
          </a:r>
          <a:r>
            <a:rPr lang="en-US" sz="1200" b="1">
              <a:solidFill>
                <a:schemeClr val="bg1"/>
              </a:solidFill>
              <a:latin typeface="+mn-lt"/>
              <a:ea typeface="+mn-ea"/>
              <a:cs typeface="+mn-cs"/>
            </a:rPr>
            <a:t>Avg. Rating</a:t>
          </a:r>
        </a:p>
      </xdr:txBody>
    </xdr:sp>
    <xdr:clientData/>
  </xdr:twoCellAnchor>
  <xdr:twoCellAnchor>
    <xdr:from>
      <xdr:col>0</xdr:col>
      <xdr:colOff>205740</xdr:colOff>
      <xdr:row>16</xdr:row>
      <xdr:rowOff>162560</xdr:rowOff>
    </xdr:from>
    <xdr:to>
      <xdr:col>1</xdr:col>
      <xdr:colOff>1264920</xdr:colOff>
      <xdr:row>18</xdr:row>
      <xdr:rowOff>48260</xdr:rowOff>
    </xdr:to>
    <xdr:sp macro="" textlink="">
      <xdr:nvSpPr>
        <xdr:cNvPr id="13" name="TextBox 12">
          <a:extLst>
            <a:ext uri="{FF2B5EF4-FFF2-40B4-BE49-F238E27FC236}">
              <a16:creationId xmlns:a16="http://schemas.microsoft.com/office/drawing/2014/main" id="{B64E5B27-A0E0-40B5-9219-51A3E1DF5413}"/>
            </a:ext>
          </a:extLst>
        </xdr:cNvPr>
        <xdr:cNvSpPr txBox="1"/>
      </xdr:nvSpPr>
      <xdr:spPr>
        <a:xfrm>
          <a:off x="205740" y="3088640"/>
          <a:ext cx="13335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419" sz="1200" b="1">
              <a:solidFill>
                <a:schemeClr val="bg1"/>
              </a:solidFill>
              <a:latin typeface="+mn-lt"/>
              <a:ea typeface="+mn-ea"/>
              <a:cs typeface="+mn-cs"/>
            </a:rPr>
            <a:t>🗓️</a:t>
          </a:r>
          <a:r>
            <a:rPr lang="en-US" sz="1200" b="1">
              <a:solidFill>
                <a:schemeClr val="bg1"/>
              </a:solidFill>
              <a:latin typeface="+mn-lt"/>
              <a:ea typeface="+mn-ea"/>
              <a:cs typeface="+mn-cs"/>
            </a:rPr>
            <a:t>Days to Deliver</a:t>
          </a:r>
        </a:p>
      </xdr:txBody>
    </xdr:sp>
    <xdr:clientData/>
  </xdr:twoCellAnchor>
  <xdr:twoCellAnchor>
    <xdr:from>
      <xdr:col>3</xdr:col>
      <xdr:colOff>144780</xdr:colOff>
      <xdr:row>0</xdr:row>
      <xdr:rowOff>68580</xdr:rowOff>
    </xdr:from>
    <xdr:to>
      <xdr:col>9</xdr:col>
      <xdr:colOff>518160</xdr:colOff>
      <xdr:row>12</xdr:row>
      <xdr:rowOff>53340</xdr:rowOff>
    </xdr:to>
    <xdr:graphicFrame macro="">
      <xdr:nvGraphicFramePr>
        <xdr:cNvPr id="14" name="Chart 13">
          <a:extLst>
            <a:ext uri="{FF2B5EF4-FFF2-40B4-BE49-F238E27FC236}">
              <a16:creationId xmlns:a16="http://schemas.microsoft.com/office/drawing/2014/main" id="{DDF58C3A-A42B-473D-AE2F-961531C37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xdr:colOff>
      <xdr:row>0</xdr:row>
      <xdr:rowOff>99060</xdr:rowOff>
    </xdr:from>
    <xdr:to>
      <xdr:col>15</xdr:col>
      <xdr:colOff>236220</xdr:colOff>
      <xdr:row>12</xdr:row>
      <xdr:rowOff>91440</xdr:rowOff>
    </xdr:to>
    <xdr:sp macro="" textlink="">
      <xdr:nvSpPr>
        <xdr:cNvPr id="20" name="Rectangle 19">
          <a:extLst>
            <a:ext uri="{FF2B5EF4-FFF2-40B4-BE49-F238E27FC236}">
              <a16:creationId xmlns:a16="http://schemas.microsoft.com/office/drawing/2014/main" id="{24D17D55-8A71-6C6A-978E-5628EF0C1A13}"/>
            </a:ext>
          </a:extLst>
        </xdr:cNvPr>
        <xdr:cNvSpPr/>
      </xdr:nvSpPr>
      <xdr:spPr>
        <a:xfrm>
          <a:off x="6233160" y="99060"/>
          <a:ext cx="3208020" cy="218694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10</xdr:col>
          <xdr:colOff>198119</xdr:colOff>
          <xdr:row>2</xdr:row>
          <xdr:rowOff>137160</xdr:rowOff>
        </xdr:from>
        <xdr:to>
          <xdr:col>15</xdr:col>
          <xdr:colOff>47625</xdr:colOff>
          <xdr:row>10</xdr:row>
          <xdr:rowOff>76200</xdr:rowOff>
        </xdr:to>
        <xdr:pic>
          <xdr:nvPicPr>
            <xdr:cNvPr id="22" name="Picture 21">
              <a:extLst>
                <a:ext uri="{FF2B5EF4-FFF2-40B4-BE49-F238E27FC236}">
                  <a16:creationId xmlns:a16="http://schemas.microsoft.com/office/drawing/2014/main" id="{6C4E6158-C4EC-A93F-12E3-0E7881354E88}"/>
                </a:ext>
              </a:extLst>
            </xdr:cNvPr>
            <xdr:cNvPicPr>
              <a:picLocks noChangeAspect="1" noChangeArrowheads="1"/>
              <a:extLst>
                <a:ext uri="{84589F7E-364E-4C9E-8A38-B11213B215E9}">
                  <a14:cameraTool cellRange="Sheet1!$H$4:$L$9" spid="_x0000_s1068"/>
                </a:ext>
              </a:extLst>
            </xdr:cNvPicPr>
          </xdr:nvPicPr>
          <xdr:blipFill>
            <a:blip xmlns:r="http://schemas.openxmlformats.org/officeDocument/2006/relationships" r:embed="rId2"/>
            <a:srcRect/>
            <a:stretch>
              <a:fillRect/>
            </a:stretch>
          </xdr:blipFill>
          <xdr:spPr bwMode="auto">
            <a:xfrm>
              <a:off x="6360794" y="499110"/>
              <a:ext cx="2897506" cy="13868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434340</xdr:colOff>
      <xdr:row>0</xdr:row>
      <xdr:rowOff>53340</xdr:rowOff>
    </xdr:from>
    <xdr:to>
      <xdr:col>21</xdr:col>
      <xdr:colOff>304800</xdr:colOff>
      <xdr:row>12</xdr:row>
      <xdr:rowOff>129540</xdr:rowOff>
    </xdr:to>
    <xdr:graphicFrame macro="">
      <xdr:nvGraphicFramePr>
        <xdr:cNvPr id="23" name="Chart 22">
          <a:extLst>
            <a:ext uri="{FF2B5EF4-FFF2-40B4-BE49-F238E27FC236}">
              <a16:creationId xmlns:a16="http://schemas.microsoft.com/office/drawing/2014/main" id="{92C50EB4-33E9-4F5D-B139-E3380FC6E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137160</xdr:colOff>
      <xdr:row>13</xdr:row>
      <xdr:rowOff>0</xdr:rowOff>
    </xdr:from>
    <xdr:to>
      <xdr:col>9</xdr:col>
      <xdr:colOff>510540</xdr:colOff>
      <xdr:row>28</xdr:row>
      <xdr:rowOff>95250</xdr:rowOff>
    </xdr:to>
    <xdr:graphicFrame macro="">
      <xdr:nvGraphicFramePr>
        <xdr:cNvPr id="24" name="Chart 23">
          <a:extLst>
            <a:ext uri="{FF2B5EF4-FFF2-40B4-BE49-F238E27FC236}">
              <a16:creationId xmlns:a16="http://schemas.microsoft.com/office/drawing/2014/main" id="{BD0A1011-9216-444B-8E39-4A51E9621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60960</xdr:colOff>
      <xdr:row>12</xdr:row>
      <xdr:rowOff>175260</xdr:rowOff>
    </xdr:from>
    <xdr:to>
      <xdr:col>15</xdr:col>
      <xdr:colOff>198120</xdr:colOff>
      <xdr:row>27</xdr:row>
      <xdr:rowOff>175260</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ADF0C833-30EE-4D2E-8937-15AF235D4C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217920" y="2369820"/>
              <a:ext cx="318516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411480</xdr:colOff>
      <xdr:row>17</xdr:row>
      <xdr:rowOff>22860</xdr:rowOff>
    </xdr:from>
    <xdr:to>
      <xdr:col>15</xdr:col>
      <xdr:colOff>137160</xdr:colOff>
      <xdr:row>23</xdr:row>
      <xdr:rowOff>160020</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0A90BDB9-22F9-4FCE-927A-B9263E97F1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397240" y="3131820"/>
              <a:ext cx="944880" cy="12344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419100</xdr:colOff>
      <xdr:row>13</xdr:row>
      <xdr:rowOff>15240</xdr:rowOff>
    </xdr:from>
    <xdr:to>
      <xdr:col>21</xdr:col>
      <xdr:colOff>327660</xdr:colOff>
      <xdr:row>28</xdr:row>
      <xdr:rowOff>15240</xdr:rowOff>
    </xdr:to>
    <xdr:graphicFrame macro="">
      <xdr:nvGraphicFramePr>
        <xdr:cNvPr id="28" name="Chart 27">
          <a:extLst>
            <a:ext uri="{FF2B5EF4-FFF2-40B4-BE49-F238E27FC236}">
              <a16:creationId xmlns:a16="http://schemas.microsoft.com/office/drawing/2014/main" id="{F9D56583-8823-438A-BCEE-6ABC43B19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38100</xdr:colOff>
      <xdr:row>20</xdr:row>
      <xdr:rowOff>24765</xdr:rowOff>
    </xdr:from>
    <xdr:to>
      <xdr:col>1</xdr:col>
      <xdr:colOff>1019175</xdr:colOff>
      <xdr:row>30</xdr:row>
      <xdr:rowOff>0</xdr:rowOff>
    </xdr:to>
    <mc:AlternateContent xmlns:mc="http://schemas.openxmlformats.org/markup-compatibility/2006" xmlns:a14="http://schemas.microsoft.com/office/drawing/2010/main">
      <mc:Choice Requires="a14">
        <xdr:graphicFrame macro="">
          <xdr:nvGraphicFramePr>
            <xdr:cNvPr id="29" name="Order Mode">
              <a:extLst>
                <a:ext uri="{FF2B5EF4-FFF2-40B4-BE49-F238E27FC236}">
                  <a16:creationId xmlns:a16="http://schemas.microsoft.com/office/drawing/2014/main" id="{28955401-2C59-4A8C-A87D-3B2AC81300E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38100" y="3644265"/>
              <a:ext cx="1257300" cy="17849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1017270</xdr:colOff>
      <xdr:row>27</xdr:row>
      <xdr:rowOff>57150</xdr:rowOff>
    </xdr:from>
    <xdr:to>
      <xdr:col>4</xdr:col>
      <xdr:colOff>9525</xdr:colOff>
      <xdr:row>36</xdr:row>
      <xdr:rowOff>38100</xdr:rowOff>
    </xdr:to>
    <mc:AlternateContent xmlns:mc="http://schemas.openxmlformats.org/markup-compatibility/2006" xmlns:a14="http://schemas.microsoft.com/office/drawing/2010/main">
      <mc:Choice Requires="a14">
        <xdr:graphicFrame macro="">
          <xdr:nvGraphicFramePr>
            <xdr:cNvPr id="30" name="Gender Value">
              <a:extLst>
                <a:ext uri="{FF2B5EF4-FFF2-40B4-BE49-F238E27FC236}">
                  <a16:creationId xmlns:a16="http://schemas.microsoft.com/office/drawing/2014/main" id="{04FE5243-939A-4CBC-BA87-17DF1F6E0A15}"/>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293495" y="4943475"/>
              <a:ext cx="1221105"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333375</xdr:colOff>
      <xdr:row>0</xdr:row>
      <xdr:rowOff>161925</xdr:rowOff>
    </xdr:from>
    <xdr:to>
      <xdr:col>14</xdr:col>
      <xdr:colOff>581025</xdr:colOff>
      <xdr:row>2</xdr:row>
      <xdr:rowOff>28575</xdr:rowOff>
    </xdr:to>
    <xdr:sp macro="" textlink="">
      <xdr:nvSpPr>
        <xdr:cNvPr id="15" name="TextBox 14">
          <a:extLst>
            <a:ext uri="{FF2B5EF4-FFF2-40B4-BE49-F238E27FC236}">
              <a16:creationId xmlns:a16="http://schemas.microsoft.com/office/drawing/2014/main" id="{EB434E89-D5FF-3277-5105-ADE0D21B867D}"/>
            </a:ext>
          </a:extLst>
        </xdr:cNvPr>
        <xdr:cNvSpPr txBox="1"/>
      </xdr:nvSpPr>
      <xdr:spPr>
        <a:xfrm>
          <a:off x="6496050" y="161925"/>
          <a:ext cx="26860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How do they like to buy?</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1"/>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lton Mendieta Flores" refreshedDate="46160.698957986111" createdVersion="8" refreshedVersion="8" minRefreshableVersion="3" recordCount="2400" xr:uid="{A3EDF65A-5C69-4A96-9B4B-0FE84290C536}">
  <cacheSource type="worksheet">
    <worksheetSource name="orders"/>
  </cacheSource>
  <cacheFields count="16">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1611340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d v="2025-01-01T00:00:00"/>
    <d v="2025-01-06T00:00:00"/>
    <x v="0"/>
    <x v="0"/>
    <n v="4"/>
    <x v="0"/>
    <x v="0"/>
    <x v="0"/>
    <x v="0"/>
    <x v="0"/>
  </r>
  <r>
    <x v="1"/>
    <x v="1"/>
    <x v="1"/>
    <n v="30.6"/>
    <n v="61.2"/>
    <d v="2025-01-01T00:00:00"/>
    <d v="2025-01-03T00:00:00"/>
    <x v="1"/>
    <x v="0"/>
    <n v="4"/>
    <x v="0"/>
    <x v="1"/>
    <x v="1"/>
    <x v="0"/>
    <x v="1"/>
  </r>
  <r>
    <x v="2"/>
    <x v="2"/>
    <x v="2"/>
    <n v="109.4"/>
    <n v="328.20000000000005"/>
    <d v="2025-01-01T00:00:00"/>
    <d v="2025-01-04T00:00:00"/>
    <x v="2"/>
    <x v="0"/>
    <n v="3"/>
    <x v="0"/>
    <x v="2"/>
    <x v="2"/>
    <x v="0"/>
    <x v="2"/>
  </r>
  <r>
    <x v="3"/>
    <x v="3"/>
    <x v="3"/>
    <n v="37.700000000000003"/>
    <n v="263.90000000000003"/>
    <d v="2025-01-01T00:00:00"/>
    <d v="2025-01-02T00:00:00"/>
    <x v="2"/>
    <x v="0"/>
    <n v="4"/>
    <x v="0"/>
    <x v="2"/>
    <x v="3"/>
    <x v="0"/>
    <x v="2"/>
  </r>
  <r>
    <x v="4"/>
    <x v="4"/>
    <x v="2"/>
    <n v="56.7"/>
    <n v="170.10000000000002"/>
    <d v="2025-01-01T00:00:00"/>
    <d v="2025-01-04T00:00:00"/>
    <x v="2"/>
    <x v="0"/>
    <n v="5"/>
    <x v="0"/>
    <x v="3"/>
    <x v="2"/>
    <x v="0"/>
    <x v="2"/>
  </r>
  <r>
    <x v="5"/>
    <x v="1"/>
    <x v="4"/>
    <n v="83.5"/>
    <n v="1002"/>
    <d v="2025-01-01T00:00:00"/>
    <d v="2025-01-04T00:00:00"/>
    <x v="1"/>
    <x v="1"/>
    <n v="4"/>
    <x v="0"/>
    <x v="3"/>
    <x v="2"/>
    <x v="0"/>
    <x v="1"/>
  </r>
  <r>
    <x v="6"/>
    <x v="5"/>
    <x v="0"/>
    <n v="55.3"/>
    <n v="55.3"/>
    <d v="2025-01-01T00:00:00"/>
    <d v="2025-01-02T00:00:00"/>
    <x v="2"/>
    <x v="0"/>
    <n v="4"/>
    <x v="0"/>
    <x v="3"/>
    <x v="3"/>
    <x v="0"/>
    <x v="2"/>
  </r>
  <r>
    <x v="7"/>
    <x v="6"/>
    <x v="1"/>
    <n v="40.299999999999997"/>
    <n v="80.599999999999994"/>
    <d v="2025-01-01T00:00:00"/>
    <d v="2025-01-02T00:00:00"/>
    <x v="1"/>
    <x v="2"/>
    <n v="5"/>
    <x v="0"/>
    <x v="3"/>
    <x v="3"/>
    <x v="0"/>
    <x v="1"/>
  </r>
  <r>
    <x v="8"/>
    <x v="7"/>
    <x v="5"/>
    <n v="35.700000000000003"/>
    <n v="392.70000000000005"/>
    <d v="2025-01-01T00:00:00"/>
    <d v="2025-01-02T00:00:00"/>
    <x v="2"/>
    <x v="0"/>
    <n v="4"/>
    <x v="0"/>
    <x v="3"/>
    <x v="3"/>
    <x v="0"/>
    <x v="2"/>
  </r>
  <r>
    <x v="9"/>
    <x v="8"/>
    <x v="3"/>
    <n v="22.4"/>
    <n v="156.79999999999998"/>
    <d v="2025-01-01T00:00:00"/>
    <d v="2025-01-04T00:00:00"/>
    <x v="1"/>
    <x v="0"/>
    <n v="3"/>
    <x v="0"/>
    <x v="3"/>
    <x v="2"/>
    <x v="0"/>
    <x v="1"/>
  </r>
  <r>
    <x v="10"/>
    <x v="9"/>
    <x v="1"/>
    <n v="54.4"/>
    <n v="108.8"/>
    <d v="2025-01-01T00:00:00"/>
    <d v="2025-01-07T00:00:00"/>
    <x v="2"/>
    <x v="0"/>
    <n v="4"/>
    <x v="0"/>
    <x v="3"/>
    <x v="4"/>
    <x v="0"/>
    <x v="2"/>
  </r>
  <r>
    <x v="11"/>
    <x v="9"/>
    <x v="1"/>
    <n v="49"/>
    <n v="98"/>
    <d v="2025-01-01T00:00:00"/>
    <d v="2025-01-03T00:00:00"/>
    <x v="2"/>
    <x v="2"/>
    <n v="3"/>
    <x v="0"/>
    <x v="3"/>
    <x v="1"/>
    <x v="0"/>
    <x v="2"/>
  </r>
  <r>
    <x v="12"/>
    <x v="5"/>
    <x v="3"/>
    <n v="118.6"/>
    <n v="830.19999999999993"/>
    <d v="2025-01-01T00:00:00"/>
    <d v="2025-01-05T00:00:00"/>
    <x v="2"/>
    <x v="1"/>
    <n v="4"/>
    <x v="0"/>
    <x v="4"/>
    <x v="5"/>
    <x v="0"/>
    <x v="2"/>
  </r>
  <r>
    <x v="13"/>
    <x v="6"/>
    <x v="6"/>
    <n v="88.4"/>
    <n v="2386.8000000000002"/>
    <d v="2025-01-01T00:00:00"/>
    <d v="2025-01-08T00:00:00"/>
    <x v="1"/>
    <x v="3"/>
    <n v="4"/>
    <x v="0"/>
    <x v="5"/>
    <x v="6"/>
    <x v="0"/>
    <x v="1"/>
  </r>
  <r>
    <x v="14"/>
    <x v="10"/>
    <x v="0"/>
    <n v="66.7"/>
    <n v="66.7"/>
    <d v="2025-01-01T00:00:00"/>
    <d v="2025-01-04T00:00:00"/>
    <x v="1"/>
    <x v="0"/>
    <n v="4"/>
    <x v="0"/>
    <x v="6"/>
    <x v="2"/>
    <x v="0"/>
    <x v="1"/>
  </r>
  <r>
    <x v="15"/>
    <x v="9"/>
    <x v="7"/>
    <n v="30.9"/>
    <n v="309"/>
    <d v="2025-01-01T00:00:00"/>
    <d v="2025-01-02T00:00:00"/>
    <x v="1"/>
    <x v="1"/>
    <n v="5"/>
    <x v="0"/>
    <x v="6"/>
    <x v="3"/>
    <x v="0"/>
    <x v="1"/>
  </r>
  <r>
    <x v="16"/>
    <x v="4"/>
    <x v="2"/>
    <n v="31.1"/>
    <n v="93.300000000000011"/>
    <d v="2025-01-01T00:00:00"/>
    <d v="2025-01-02T00:00:00"/>
    <x v="2"/>
    <x v="0"/>
    <n v="3"/>
    <x v="0"/>
    <x v="6"/>
    <x v="3"/>
    <x v="0"/>
    <x v="2"/>
  </r>
  <r>
    <x v="17"/>
    <x v="7"/>
    <x v="2"/>
    <n v="36.6"/>
    <n v="109.80000000000001"/>
    <d v="2025-01-01T00:00:00"/>
    <d v="2025-01-04T00:00:00"/>
    <x v="2"/>
    <x v="0"/>
    <n v="4"/>
    <x v="0"/>
    <x v="7"/>
    <x v="2"/>
    <x v="0"/>
    <x v="2"/>
  </r>
  <r>
    <x v="18"/>
    <x v="6"/>
    <x v="8"/>
    <n v="51.1"/>
    <n v="408.8"/>
    <d v="2025-01-01T00:00:00"/>
    <d v="2025-01-04T00:00:00"/>
    <x v="2"/>
    <x v="2"/>
    <n v="1"/>
    <x v="0"/>
    <x v="7"/>
    <x v="2"/>
    <x v="0"/>
    <x v="2"/>
  </r>
  <r>
    <x v="19"/>
    <x v="9"/>
    <x v="0"/>
    <n v="25.2"/>
    <n v="25.2"/>
    <d v="2025-01-01T00:00:00"/>
    <d v="2025-01-02T00:00:00"/>
    <x v="2"/>
    <x v="1"/>
    <n v="5"/>
    <x v="0"/>
    <x v="8"/>
    <x v="3"/>
    <x v="0"/>
    <x v="2"/>
  </r>
  <r>
    <x v="20"/>
    <x v="9"/>
    <x v="9"/>
    <n v="43.8"/>
    <n v="219"/>
    <d v="2025-01-01T00:00:00"/>
    <d v="2025-01-04T00:00:00"/>
    <x v="2"/>
    <x v="2"/>
    <n v="4"/>
    <x v="0"/>
    <x v="8"/>
    <x v="2"/>
    <x v="0"/>
    <x v="2"/>
  </r>
  <r>
    <x v="21"/>
    <x v="8"/>
    <x v="4"/>
    <n v="46.7"/>
    <n v="560.40000000000009"/>
    <d v="2025-01-01T00:00:00"/>
    <d v="2025-01-02T00:00:00"/>
    <x v="2"/>
    <x v="1"/>
    <n v="3"/>
    <x v="0"/>
    <x v="8"/>
    <x v="3"/>
    <x v="0"/>
    <x v="2"/>
  </r>
  <r>
    <x v="22"/>
    <x v="3"/>
    <x v="10"/>
    <n v="79.900000000000006"/>
    <n v="1518.1000000000001"/>
    <d v="2025-01-01T00:00:00"/>
    <d v="2025-01-02T00:00:00"/>
    <x v="1"/>
    <x v="0"/>
    <n v="5"/>
    <x v="0"/>
    <x v="8"/>
    <x v="3"/>
    <x v="0"/>
    <x v="1"/>
  </r>
  <r>
    <x v="23"/>
    <x v="11"/>
    <x v="8"/>
    <n v="26.4"/>
    <n v="211.2"/>
    <d v="2025-01-01T00:00:00"/>
    <d v="2025-01-02T00:00:00"/>
    <x v="2"/>
    <x v="3"/>
    <n v="4"/>
    <x v="0"/>
    <x v="8"/>
    <x v="3"/>
    <x v="0"/>
    <x v="2"/>
  </r>
  <r>
    <x v="24"/>
    <x v="12"/>
    <x v="8"/>
    <n v="88.8"/>
    <n v="710.4"/>
    <d v="2025-01-01T00:00:00"/>
    <d v="2025-01-02T00:00:00"/>
    <x v="2"/>
    <x v="4"/>
    <n v="4"/>
    <x v="0"/>
    <x v="8"/>
    <x v="3"/>
    <x v="0"/>
    <x v="2"/>
  </r>
  <r>
    <x v="25"/>
    <x v="0"/>
    <x v="7"/>
    <n v="17.5"/>
    <n v="175"/>
    <d v="2025-01-01T00:00:00"/>
    <d v="2025-01-02T00:00:00"/>
    <x v="2"/>
    <x v="2"/>
    <n v="4"/>
    <x v="0"/>
    <x v="9"/>
    <x v="3"/>
    <x v="0"/>
    <x v="2"/>
  </r>
  <r>
    <x v="26"/>
    <x v="1"/>
    <x v="11"/>
    <n v="38.700000000000003"/>
    <n v="348.3"/>
    <d v="2025-01-01T00:00:00"/>
    <d v="2025-01-04T00:00:00"/>
    <x v="1"/>
    <x v="1"/>
    <n v="4"/>
    <x v="0"/>
    <x v="10"/>
    <x v="2"/>
    <x v="0"/>
    <x v="1"/>
  </r>
  <r>
    <x v="27"/>
    <x v="13"/>
    <x v="12"/>
    <n v="57.2"/>
    <n v="228.8"/>
    <d v="2025-01-01T00:00:00"/>
    <d v="2025-01-03T00:00:00"/>
    <x v="0"/>
    <x v="1"/>
    <n v="5"/>
    <x v="0"/>
    <x v="11"/>
    <x v="1"/>
    <x v="0"/>
    <x v="0"/>
  </r>
  <r>
    <x v="28"/>
    <x v="6"/>
    <x v="9"/>
    <n v="50.9"/>
    <n v="254.5"/>
    <d v="2025-01-01T00:00:00"/>
    <d v="2025-01-07T00:00:00"/>
    <x v="0"/>
    <x v="1"/>
    <n v="5"/>
    <x v="0"/>
    <x v="12"/>
    <x v="4"/>
    <x v="0"/>
    <x v="0"/>
  </r>
  <r>
    <x v="29"/>
    <x v="14"/>
    <x v="3"/>
    <n v="41"/>
    <n v="287"/>
    <d v="2025-01-01T00:00:00"/>
    <d v="2025-01-05T00:00:00"/>
    <x v="2"/>
    <x v="1"/>
    <n v="4"/>
    <x v="0"/>
    <x v="13"/>
    <x v="5"/>
    <x v="0"/>
    <x v="2"/>
  </r>
  <r>
    <x v="30"/>
    <x v="8"/>
    <x v="3"/>
    <n v="19.100000000000001"/>
    <n v="133.70000000000002"/>
    <d v="2025-01-01T00:00:00"/>
    <d v="2025-01-05T00:00:00"/>
    <x v="1"/>
    <x v="0"/>
    <n v="5"/>
    <x v="0"/>
    <x v="14"/>
    <x v="5"/>
    <x v="0"/>
    <x v="1"/>
  </r>
  <r>
    <x v="31"/>
    <x v="2"/>
    <x v="9"/>
    <n v="166.1"/>
    <n v="830.5"/>
    <d v="2025-01-01T00:00:00"/>
    <d v="2025-01-04T00:00:00"/>
    <x v="1"/>
    <x v="0"/>
    <n v="4"/>
    <x v="0"/>
    <x v="15"/>
    <x v="2"/>
    <x v="0"/>
    <x v="1"/>
  </r>
  <r>
    <x v="32"/>
    <x v="4"/>
    <x v="2"/>
    <n v="29.9"/>
    <n v="89.699999999999989"/>
    <d v="2025-01-01T00:00:00"/>
    <d v="2025-01-02T00:00:00"/>
    <x v="1"/>
    <x v="3"/>
    <n v="4"/>
    <x v="0"/>
    <x v="3"/>
    <x v="3"/>
    <x v="0"/>
    <x v="1"/>
  </r>
  <r>
    <x v="33"/>
    <x v="10"/>
    <x v="13"/>
    <n v="21.7"/>
    <n v="130.19999999999999"/>
    <d v="2025-01-01T00:00:00"/>
    <d v="2025-01-03T00:00:00"/>
    <x v="3"/>
    <x v="2"/>
    <n v="5"/>
    <x v="0"/>
    <x v="3"/>
    <x v="1"/>
    <x v="0"/>
    <x v="3"/>
  </r>
  <r>
    <x v="34"/>
    <x v="11"/>
    <x v="1"/>
    <n v="32"/>
    <n v="64"/>
    <d v="2025-01-01T00:00:00"/>
    <d v="2025-01-04T00:00:00"/>
    <x v="1"/>
    <x v="0"/>
    <n v="5"/>
    <x v="0"/>
    <x v="3"/>
    <x v="2"/>
    <x v="0"/>
    <x v="1"/>
  </r>
  <r>
    <x v="35"/>
    <x v="8"/>
    <x v="1"/>
    <n v="15.8"/>
    <n v="31.6"/>
    <d v="2025-01-01T00:00:00"/>
    <d v="2025-01-02T00:00:00"/>
    <x v="1"/>
    <x v="4"/>
    <n v="5"/>
    <x v="0"/>
    <x v="3"/>
    <x v="3"/>
    <x v="0"/>
    <x v="1"/>
  </r>
  <r>
    <x v="36"/>
    <x v="2"/>
    <x v="14"/>
    <n v="203.1"/>
    <n v="3452.7"/>
    <d v="2025-01-01T00:00:00"/>
    <d v="2025-01-05T00:00:00"/>
    <x v="1"/>
    <x v="3"/>
    <n v="3"/>
    <x v="0"/>
    <x v="3"/>
    <x v="5"/>
    <x v="0"/>
    <x v="1"/>
  </r>
  <r>
    <x v="37"/>
    <x v="7"/>
    <x v="15"/>
    <n v="39"/>
    <n v="507"/>
    <d v="2025-01-01T00:00:00"/>
    <d v="2025-01-07T00:00:00"/>
    <x v="1"/>
    <x v="0"/>
    <n v="5"/>
    <x v="0"/>
    <x v="3"/>
    <x v="4"/>
    <x v="0"/>
    <x v="1"/>
  </r>
  <r>
    <x v="38"/>
    <x v="10"/>
    <x v="0"/>
    <n v="26.5"/>
    <n v="26.5"/>
    <d v="2025-01-02T00:00:00"/>
    <d v="2025-01-03T00:00:00"/>
    <x v="1"/>
    <x v="2"/>
    <n v="4"/>
    <x v="0"/>
    <x v="3"/>
    <x v="3"/>
    <x v="0"/>
    <x v="1"/>
  </r>
  <r>
    <x v="39"/>
    <x v="5"/>
    <x v="0"/>
    <n v="43.1"/>
    <n v="43.1"/>
    <d v="2025-01-02T00:00:00"/>
    <d v="2025-01-03T00:00:00"/>
    <x v="2"/>
    <x v="2"/>
    <n v="3"/>
    <x v="0"/>
    <x v="3"/>
    <x v="3"/>
    <x v="0"/>
    <x v="2"/>
  </r>
  <r>
    <x v="40"/>
    <x v="1"/>
    <x v="2"/>
    <n v="139"/>
    <n v="417"/>
    <d v="2025-01-02T00:00:00"/>
    <d v="2025-01-03T00:00:00"/>
    <x v="2"/>
    <x v="4"/>
    <n v="5"/>
    <x v="0"/>
    <x v="3"/>
    <x v="3"/>
    <x v="0"/>
    <x v="2"/>
  </r>
  <r>
    <x v="41"/>
    <x v="12"/>
    <x v="0"/>
    <n v="80.7"/>
    <n v="80.7"/>
    <d v="2025-01-02T00:00:00"/>
    <d v="2025-01-03T00:00:00"/>
    <x v="1"/>
    <x v="0"/>
    <n v="5"/>
    <x v="0"/>
    <x v="16"/>
    <x v="3"/>
    <x v="0"/>
    <x v="1"/>
  </r>
  <r>
    <x v="42"/>
    <x v="4"/>
    <x v="1"/>
    <n v="54.5"/>
    <n v="109"/>
    <d v="2025-01-02T00:00:00"/>
    <d v="2025-01-04T00:00:00"/>
    <x v="1"/>
    <x v="1"/>
    <n v="3"/>
    <x v="0"/>
    <x v="6"/>
    <x v="1"/>
    <x v="0"/>
    <x v="1"/>
  </r>
  <r>
    <x v="43"/>
    <x v="6"/>
    <x v="2"/>
    <n v="68.599999999999994"/>
    <n v="205.79999999999998"/>
    <d v="2025-01-02T00:00:00"/>
    <d v="2025-01-02T00:00:00"/>
    <x v="2"/>
    <x v="0"/>
    <n v="3"/>
    <x v="0"/>
    <x v="8"/>
    <x v="7"/>
    <x v="0"/>
    <x v="2"/>
  </r>
  <r>
    <x v="44"/>
    <x v="2"/>
    <x v="12"/>
    <n v="135.9"/>
    <n v="543.6"/>
    <d v="2025-01-02T00:00:00"/>
    <d v="2025-01-03T00:00:00"/>
    <x v="2"/>
    <x v="2"/>
    <n v="5"/>
    <x v="0"/>
    <x v="8"/>
    <x v="3"/>
    <x v="0"/>
    <x v="2"/>
  </r>
  <r>
    <x v="45"/>
    <x v="2"/>
    <x v="12"/>
    <n v="70.900000000000006"/>
    <n v="283.60000000000002"/>
    <d v="2025-01-02T00:00:00"/>
    <d v="2025-01-03T00:00:00"/>
    <x v="2"/>
    <x v="0"/>
    <n v="4"/>
    <x v="0"/>
    <x v="17"/>
    <x v="3"/>
    <x v="0"/>
    <x v="2"/>
  </r>
  <r>
    <x v="46"/>
    <x v="1"/>
    <x v="9"/>
    <n v="63.7"/>
    <n v="318.5"/>
    <d v="2025-01-02T00:00:00"/>
    <d v="2025-01-03T00:00:00"/>
    <x v="1"/>
    <x v="1"/>
    <n v="3"/>
    <x v="0"/>
    <x v="9"/>
    <x v="3"/>
    <x v="0"/>
    <x v="1"/>
  </r>
  <r>
    <x v="47"/>
    <x v="13"/>
    <x v="0"/>
    <n v="29.7"/>
    <n v="29.7"/>
    <d v="2025-01-02T00:00:00"/>
    <d v="2025-01-04T00:00:00"/>
    <x v="2"/>
    <x v="1"/>
    <n v="4"/>
    <x v="0"/>
    <x v="11"/>
    <x v="1"/>
    <x v="0"/>
    <x v="2"/>
  </r>
  <r>
    <x v="48"/>
    <x v="4"/>
    <x v="2"/>
    <n v="26.8"/>
    <n v="80.400000000000006"/>
    <d v="2025-01-02T00:00:00"/>
    <d v="2025-01-11T00:00:00"/>
    <x v="2"/>
    <x v="1"/>
    <n v="5"/>
    <x v="0"/>
    <x v="11"/>
    <x v="8"/>
    <x v="0"/>
    <x v="2"/>
  </r>
  <r>
    <x v="49"/>
    <x v="14"/>
    <x v="0"/>
    <n v="27"/>
    <n v="27"/>
    <d v="2025-01-02T00:00:00"/>
    <d v="2025-01-04T00:00:00"/>
    <x v="2"/>
    <x v="0"/>
    <n v="4"/>
    <x v="0"/>
    <x v="18"/>
    <x v="1"/>
    <x v="0"/>
    <x v="2"/>
  </r>
  <r>
    <x v="50"/>
    <x v="8"/>
    <x v="0"/>
    <n v="41.4"/>
    <n v="41.4"/>
    <d v="2025-01-02T00:00:00"/>
    <d v="2025-01-03T00:00:00"/>
    <x v="1"/>
    <x v="1"/>
    <n v="5"/>
    <x v="0"/>
    <x v="19"/>
    <x v="3"/>
    <x v="0"/>
    <x v="1"/>
  </r>
  <r>
    <x v="51"/>
    <x v="8"/>
    <x v="1"/>
    <n v="24.3"/>
    <n v="48.6"/>
    <d v="2025-01-02T00:00:00"/>
    <d v="2025-01-05T00:00:00"/>
    <x v="2"/>
    <x v="1"/>
    <n v="4"/>
    <x v="0"/>
    <x v="19"/>
    <x v="2"/>
    <x v="0"/>
    <x v="2"/>
  </r>
  <r>
    <x v="52"/>
    <x v="8"/>
    <x v="2"/>
    <n v="41.7"/>
    <n v="125.10000000000001"/>
    <d v="2025-01-02T00:00:00"/>
    <d v="2025-01-04T00:00:00"/>
    <x v="1"/>
    <x v="0"/>
    <n v="5"/>
    <x v="0"/>
    <x v="20"/>
    <x v="1"/>
    <x v="0"/>
    <x v="1"/>
  </r>
  <r>
    <x v="53"/>
    <x v="0"/>
    <x v="1"/>
    <n v="18"/>
    <n v="36"/>
    <d v="2025-01-02T00:00:00"/>
    <d v="2025-01-03T00:00:00"/>
    <x v="2"/>
    <x v="0"/>
    <n v="5"/>
    <x v="0"/>
    <x v="21"/>
    <x v="3"/>
    <x v="0"/>
    <x v="2"/>
  </r>
  <r>
    <x v="54"/>
    <x v="7"/>
    <x v="2"/>
    <n v="91.3"/>
    <n v="273.89999999999998"/>
    <d v="2025-01-02T00:00:00"/>
    <d v="2025-01-05T00:00:00"/>
    <x v="1"/>
    <x v="2"/>
    <n v="5"/>
    <x v="0"/>
    <x v="3"/>
    <x v="2"/>
    <x v="0"/>
    <x v="1"/>
  </r>
  <r>
    <x v="55"/>
    <x v="8"/>
    <x v="8"/>
    <n v="19.3"/>
    <n v="154.4"/>
    <d v="2025-01-02T00:00:00"/>
    <d v="2025-01-03T00:00:00"/>
    <x v="1"/>
    <x v="0"/>
    <n v="4"/>
    <x v="0"/>
    <x v="3"/>
    <x v="3"/>
    <x v="0"/>
    <x v="1"/>
  </r>
  <r>
    <x v="56"/>
    <x v="12"/>
    <x v="15"/>
    <n v="63.2"/>
    <n v="821.6"/>
    <d v="2025-01-02T00:00:00"/>
    <d v="2025-01-03T00:00:00"/>
    <x v="2"/>
    <x v="0"/>
    <n v="4"/>
    <x v="0"/>
    <x v="3"/>
    <x v="3"/>
    <x v="0"/>
    <x v="2"/>
  </r>
  <r>
    <x v="57"/>
    <x v="10"/>
    <x v="11"/>
    <n v="33.299999999999997"/>
    <n v="299.7"/>
    <d v="2025-01-03T00:00:00"/>
    <d v="2025-01-11T00:00:00"/>
    <x v="2"/>
    <x v="0"/>
    <n v="5"/>
    <x v="0"/>
    <x v="3"/>
    <x v="9"/>
    <x v="0"/>
    <x v="2"/>
  </r>
  <r>
    <x v="58"/>
    <x v="7"/>
    <x v="1"/>
    <n v="64.2"/>
    <n v="128.4"/>
    <d v="2025-01-03T00:00:00"/>
    <d v="2025-01-04T00:00:00"/>
    <x v="1"/>
    <x v="0"/>
    <n v="5"/>
    <x v="0"/>
    <x v="3"/>
    <x v="3"/>
    <x v="0"/>
    <x v="1"/>
  </r>
  <r>
    <x v="59"/>
    <x v="9"/>
    <x v="2"/>
    <n v="23.1"/>
    <n v="69.300000000000011"/>
    <d v="2025-01-03T00:00:00"/>
    <d v="2025-01-06T00:00:00"/>
    <x v="2"/>
    <x v="1"/>
    <n v="5"/>
    <x v="0"/>
    <x v="3"/>
    <x v="2"/>
    <x v="0"/>
    <x v="2"/>
  </r>
  <r>
    <x v="60"/>
    <x v="15"/>
    <x v="1"/>
    <n v="71.099999999999994"/>
    <n v="142.19999999999999"/>
    <d v="2025-01-03T00:00:00"/>
    <d v="2025-01-05T00:00:00"/>
    <x v="2"/>
    <x v="3"/>
    <n v="3"/>
    <x v="0"/>
    <x v="3"/>
    <x v="1"/>
    <x v="0"/>
    <x v="2"/>
  </r>
  <r>
    <x v="61"/>
    <x v="0"/>
    <x v="1"/>
    <n v="11.5"/>
    <n v="23"/>
    <d v="2025-01-03T00:00:00"/>
    <d v="2025-01-04T00:00:00"/>
    <x v="2"/>
    <x v="0"/>
    <n v="4"/>
    <x v="0"/>
    <x v="3"/>
    <x v="3"/>
    <x v="0"/>
    <x v="2"/>
  </r>
  <r>
    <x v="62"/>
    <x v="15"/>
    <x v="10"/>
    <n v="69.2"/>
    <n v="1314.8"/>
    <d v="2025-01-03T00:00:00"/>
    <d v="2025-01-08T00:00:00"/>
    <x v="2"/>
    <x v="0"/>
    <n v="4"/>
    <x v="0"/>
    <x v="3"/>
    <x v="0"/>
    <x v="0"/>
    <x v="2"/>
  </r>
  <r>
    <x v="63"/>
    <x v="0"/>
    <x v="0"/>
    <n v="26.8"/>
    <n v="26.8"/>
    <d v="2025-01-03T00:00:00"/>
    <d v="2025-01-04T00:00:00"/>
    <x v="1"/>
    <x v="2"/>
    <n v="2"/>
    <x v="0"/>
    <x v="3"/>
    <x v="3"/>
    <x v="0"/>
    <x v="1"/>
  </r>
  <r>
    <x v="64"/>
    <x v="16"/>
    <x v="2"/>
    <n v="31.2"/>
    <n v="93.6"/>
    <d v="2025-01-03T00:00:00"/>
    <d v="2025-01-06T00:00:00"/>
    <x v="2"/>
    <x v="0"/>
    <n v="4"/>
    <x v="0"/>
    <x v="3"/>
    <x v="2"/>
    <x v="0"/>
    <x v="2"/>
  </r>
  <r>
    <x v="65"/>
    <x v="12"/>
    <x v="1"/>
    <n v="113.2"/>
    <n v="226.4"/>
    <d v="2025-01-03T00:00:00"/>
    <d v="2025-01-04T00:00:00"/>
    <x v="2"/>
    <x v="4"/>
    <n v="4"/>
    <x v="0"/>
    <x v="3"/>
    <x v="3"/>
    <x v="0"/>
    <x v="2"/>
  </r>
  <r>
    <x v="66"/>
    <x v="10"/>
    <x v="8"/>
    <n v="21"/>
    <n v="168"/>
    <d v="2025-01-03T00:00:00"/>
    <d v="2025-01-04T00:00:00"/>
    <x v="1"/>
    <x v="0"/>
    <n v="4"/>
    <x v="0"/>
    <x v="6"/>
    <x v="3"/>
    <x v="0"/>
    <x v="1"/>
  </r>
  <r>
    <x v="67"/>
    <x v="1"/>
    <x v="1"/>
    <n v="89.1"/>
    <n v="178.2"/>
    <d v="2025-01-03T00:00:00"/>
    <d v="2025-01-04T00:00:00"/>
    <x v="2"/>
    <x v="2"/>
    <n v="5"/>
    <x v="0"/>
    <x v="6"/>
    <x v="3"/>
    <x v="0"/>
    <x v="2"/>
  </r>
  <r>
    <x v="68"/>
    <x v="1"/>
    <x v="0"/>
    <n v="97.7"/>
    <n v="97.7"/>
    <d v="2025-01-03T00:00:00"/>
    <d v="2025-01-05T00:00:00"/>
    <x v="2"/>
    <x v="0"/>
    <n v="3"/>
    <x v="0"/>
    <x v="6"/>
    <x v="1"/>
    <x v="0"/>
    <x v="2"/>
  </r>
  <r>
    <x v="69"/>
    <x v="15"/>
    <x v="12"/>
    <n v="97.7"/>
    <n v="390.8"/>
    <d v="2025-01-03T00:00:00"/>
    <d v="2025-01-05T00:00:00"/>
    <x v="1"/>
    <x v="3"/>
    <n v="4"/>
    <x v="0"/>
    <x v="6"/>
    <x v="1"/>
    <x v="0"/>
    <x v="1"/>
  </r>
  <r>
    <x v="70"/>
    <x v="17"/>
    <x v="2"/>
    <n v="47.4"/>
    <n v="142.19999999999999"/>
    <d v="2025-01-03T00:00:00"/>
    <d v="2025-01-06T00:00:00"/>
    <x v="1"/>
    <x v="3"/>
    <n v="5"/>
    <x v="0"/>
    <x v="8"/>
    <x v="2"/>
    <x v="0"/>
    <x v="1"/>
  </r>
  <r>
    <x v="71"/>
    <x v="7"/>
    <x v="0"/>
    <n v="89.6"/>
    <n v="89.6"/>
    <d v="2025-01-03T00:00:00"/>
    <d v="2025-01-06T00:00:00"/>
    <x v="2"/>
    <x v="0"/>
    <n v="5"/>
    <x v="0"/>
    <x v="8"/>
    <x v="2"/>
    <x v="0"/>
    <x v="2"/>
  </r>
  <r>
    <x v="72"/>
    <x v="10"/>
    <x v="16"/>
    <n v="28.4"/>
    <n v="511.2"/>
    <d v="2025-01-03T00:00:00"/>
    <d v="2025-01-06T00:00:00"/>
    <x v="2"/>
    <x v="3"/>
    <n v="5"/>
    <x v="0"/>
    <x v="17"/>
    <x v="2"/>
    <x v="0"/>
    <x v="2"/>
  </r>
  <r>
    <x v="73"/>
    <x v="0"/>
    <x v="1"/>
    <n v="17.899999999999999"/>
    <n v="35.799999999999997"/>
    <d v="2025-01-03T00:00:00"/>
    <d v="2025-01-04T00:00:00"/>
    <x v="2"/>
    <x v="0"/>
    <n v="5"/>
    <x v="0"/>
    <x v="9"/>
    <x v="3"/>
    <x v="0"/>
    <x v="2"/>
  </r>
  <r>
    <x v="74"/>
    <x v="9"/>
    <x v="1"/>
    <n v="48.4"/>
    <n v="96.8"/>
    <d v="2025-01-03T00:00:00"/>
    <d v="2025-01-06T00:00:00"/>
    <x v="1"/>
    <x v="1"/>
    <n v="4"/>
    <x v="0"/>
    <x v="9"/>
    <x v="2"/>
    <x v="0"/>
    <x v="1"/>
  </r>
  <r>
    <x v="75"/>
    <x v="12"/>
    <x v="12"/>
    <n v="44.4"/>
    <n v="177.6"/>
    <d v="2025-01-03T00:00:00"/>
    <d v="2025-01-04T00:00:00"/>
    <x v="3"/>
    <x v="1"/>
    <n v="3"/>
    <x v="0"/>
    <x v="11"/>
    <x v="3"/>
    <x v="0"/>
    <x v="3"/>
  </r>
  <r>
    <x v="76"/>
    <x v="2"/>
    <x v="8"/>
    <n v="103.7"/>
    <n v="829.6"/>
    <d v="2025-01-03T00:00:00"/>
    <d v="2025-01-04T00:00:00"/>
    <x v="2"/>
    <x v="0"/>
    <n v="3"/>
    <x v="0"/>
    <x v="19"/>
    <x v="3"/>
    <x v="0"/>
    <x v="2"/>
  </r>
  <r>
    <x v="77"/>
    <x v="5"/>
    <x v="12"/>
    <n v="58.6"/>
    <n v="234.4"/>
    <d v="2025-01-03T00:00:00"/>
    <d v="2025-01-05T00:00:00"/>
    <x v="1"/>
    <x v="3"/>
    <n v="4"/>
    <x v="0"/>
    <x v="19"/>
    <x v="1"/>
    <x v="0"/>
    <x v="1"/>
  </r>
  <r>
    <x v="78"/>
    <x v="9"/>
    <x v="12"/>
    <n v="54.8"/>
    <n v="219.2"/>
    <d v="2025-01-03T00:00:00"/>
    <d v="2025-01-07T00:00:00"/>
    <x v="2"/>
    <x v="2"/>
    <n v="3"/>
    <x v="0"/>
    <x v="13"/>
    <x v="5"/>
    <x v="0"/>
    <x v="2"/>
  </r>
  <r>
    <x v="79"/>
    <x v="12"/>
    <x v="2"/>
    <n v="78.8"/>
    <n v="236.39999999999998"/>
    <d v="2025-01-03T00:00:00"/>
    <d v="2025-01-09T00:00:00"/>
    <x v="2"/>
    <x v="4"/>
    <n v="3"/>
    <x v="0"/>
    <x v="21"/>
    <x v="4"/>
    <x v="0"/>
    <x v="2"/>
  </r>
  <r>
    <x v="80"/>
    <x v="18"/>
    <x v="9"/>
    <n v="36.799999999999997"/>
    <n v="184"/>
    <d v="2025-01-03T00:00:00"/>
    <d v="2025-01-06T00:00:00"/>
    <x v="1"/>
    <x v="4"/>
    <n v="3"/>
    <x v="0"/>
    <x v="22"/>
    <x v="2"/>
    <x v="0"/>
    <x v="1"/>
  </r>
  <r>
    <x v="81"/>
    <x v="6"/>
    <x v="13"/>
    <n v="50.6"/>
    <n v="303.60000000000002"/>
    <d v="2025-01-03T00:00:00"/>
    <d v="2025-01-05T00:00:00"/>
    <x v="2"/>
    <x v="3"/>
    <n v="4"/>
    <x v="0"/>
    <x v="3"/>
    <x v="1"/>
    <x v="0"/>
    <x v="2"/>
  </r>
  <r>
    <x v="82"/>
    <x v="15"/>
    <x v="2"/>
    <n v="36.799999999999997"/>
    <n v="110.39999999999999"/>
    <d v="2025-01-03T00:00:00"/>
    <d v="2025-01-03T00:00:00"/>
    <x v="1"/>
    <x v="2"/>
    <n v="3"/>
    <x v="0"/>
    <x v="3"/>
    <x v="7"/>
    <x v="0"/>
    <x v="1"/>
  </r>
  <r>
    <x v="83"/>
    <x v="8"/>
    <x v="11"/>
    <n v="41.8"/>
    <n v="376.2"/>
    <d v="2025-01-04T00:00:00"/>
    <d v="2025-01-10T00:00:00"/>
    <x v="2"/>
    <x v="3"/>
    <n v="4"/>
    <x v="0"/>
    <x v="3"/>
    <x v="4"/>
    <x v="0"/>
    <x v="2"/>
  </r>
  <r>
    <x v="84"/>
    <x v="18"/>
    <x v="0"/>
    <n v="77.3"/>
    <n v="77.3"/>
    <d v="2025-01-04T00:00:00"/>
    <d v="2025-01-05T00:00:00"/>
    <x v="1"/>
    <x v="4"/>
    <n v="2"/>
    <x v="0"/>
    <x v="3"/>
    <x v="3"/>
    <x v="0"/>
    <x v="1"/>
  </r>
  <r>
    <x v="85"/>
    <x v="8"/>
    <x v="12"/>
    <n v="19.8"/>
    <n v="79.2"/>
    <d v="2025-01-04T00:00:00"/>
    <d v="2025-01-10T00:00:00"/>
    <x v="1"/>
    <x v="1"/>
    <n v="5"/>
    <x v="0"/>
    <x v="3"/>
    <x v="4"/>
    <x v="0"/>
    <x v="1"/>
  </r>
  <r>
    <x v="86"/>
    <x v="13"/>
    <x v="12"/>
    <n v="15.5"/>
    <n v="62"/>
    <d v="2025-01-04T00:00:00"/>
    <d v="2025-01-05T00:00:00"/>
    <x v="2"/>
    <x v="1"/>
    <n v="5"/>
    <x v="0"/>
    <x v="3"/>
    <x v="3"/>
    <x v="0"/>
    <x v="2"/>
  </r>
  <r>
    <x v="87"/>
    <x v="12"/>
    <x v="0"/>
    <n v="46.8"/>
    <n v="46.8"/>
    <d v="2025-01-04T00:00:00"/>
    <d v="2025-01-08T00:00:00"/>
    <x v="1"/>
    <x v="0"/>
    <n v="5"/>
    <x v="0"/>
    <x v="3"/>
    <x v="5"/>
    <x v="0"/>
    <x v="1"/>
  </r>
  <r>
    <x v="88"/>
    <x v="9"/>
    <x v="11"/>
    <n v="28.6"/>
    <n v="257.40000000000003"/>
    <d v="2025-01-04T00:00:00"/>
    <d v="2025-01-08T00:00:00"/>
    <x v="1"/>
    <x v="0"/>
    <n v="5"/>
    <x v="0"/>
    <x v="3"/>
    <x v="5"/>
    <x v="0"/>
    <x v="1"/>
  </r>
  <r>
    <x v="89"/>
    <x v="2"/>
    <x v="0"/>
    <n v="97.7"/>
    <n v="97.7"/>
    <d v="2025-01-04T00:00:00"/>
    <d v="2025-01-07T00:00:00"/>
    <x v="2"/>
    <x v="1"/>
    <n v="4"/>
    <x v="0"/>
    <x v="3"/>
    <x v="2"/>
    <x v="0"/>
    <x v="2"/>
  </r>
  <r>
    <x v="90"/>
    <x v="9"/>
    <x v="9"/>
    <n v="54.7"/>
    <n v="273.5"/>
    <d v="2025-01-04T00:00:00"/>
    <d v="2025-01-07T00:00:00"/>
    <x v="0"/>
    <x v="0"/>
    <n v="5"/>
    <x v="0"/>
    <x v="23"/>
    <x v="2"/>
    <x v="0"/>
    <x v="0"/>
  </r>
  <r>
    <x v="91"/>
    <x v="2"/>
    <x v="13"/>
    <n v="130.5"/>
    <n v="783"/>
    <d v="2025-01-04T00:00:00"/>
    <d v="2025-01-06T00:00:00"/>
    <x v="2"/>
    <x v="0"/>
    <n v="3"/>
    <x v="0"/>
    <x v="23"/>
    <x v="1"/>
    <x v="0"/>
    <x v="2"/>
  </r>
  <r>
    <x v="92"/>
    <x v="11"/>
    <x v="1"/>
    <n v="50.4"/>
    <n v="100.8"/>
    <d v="2025-01-04T00:00:00"/>
    <d v="2025-01-06T00:00:00"/>
    <x v="1"/>
    <x v="2"/>
    <n v="5"/>
    <x v="0"/>
    <x v="6"/>
    <x v="1"/>
    <x v="0"/>
    <x v="1"/>
  </r>
  <r>
    <x v="93"/>
    <x v="6"/>
    <x v="15"/>
    <n v="61.5"/>
    <n v="799.5"/>
    <d v="2025-01-04T00:00:00"/>
    <d v="2025-01-05T00:00:00"/>
    <x v="0"/>
    <x v="3"/>
    <n v="3"/>
    <x v="0"/>
    <x v="11"/>
    <x v="3"/>
    <x v="0"/>
    <x v="0"/>
  </r>
  <r>
    <x v="94"/>
    <x v="9"/>
    <x v="12"/>
    <n v="30.1"/>
    <n v="120.4"/>
    <d v="2025-01-04T00:00:00"/>
    <d v="2025-01-05T00:00:00"/>
    <x v="2"/>
    <x v="0"/>
    <n v="5"/>
    <x v="0"/>
    <x v="21"/>
    <x v="3"/>
    <x v="0"/>
    <x v="2"/>
  </r>
  <r>
    <x v="95"/>
    <x v="2"/>
    <x v="9"/>
    <n v="74.8"/>
    <n v="374"/>
    <d v="2025-01-04T00:00:00"/>
    <d v="2025-01-05T00:00:00"/>
    <x v="2"/>
    <x v="1"/>
    <n v="4"/>
    <x v="0"/>
    <x v="1"/>
    <x v="3"/>
    <x v="0"/>
    <x v="2"/>
  </r>
  <r>
    <x v="96"/>
    <x v="16"/>
    <x v="2"/>
    <n v="64.900000000000006"/>
    <n v="194.70000000000002"/>
    <d v="2025-01-04T00:00:00"/>
    <d v="2025-01-11T00:00:00"/>
    <x v="1"/>
    <x v="0"/>
    <n v="4"/>
    <x v="0"/>
    <x v="2"/>
    <x v="6"/>
    <x v="0"/>
    <x v="1"/>
  </r>
  <r>
    <x v="97"/>
    <x v="9"/>
    <x v="1"/>
    <n v="50.5"/>
    <n v="101"/>
    <d v="2025-01-04T00:00:00"/>
    <d v="2025-01-06T00:00:00"/>
    <x v="1"/>
    <x v="1"/>
    <n v="4"/>
    <x v="0"/>
    <x v="22"/>
    <x v="1"/>
    <x v="0"/>
    <x v="1"/>
  </r>
  <r>
    <x v="98"/>
    <x v="11"/>
    <x v="3"/>
    <n v="63"/>
    <n v="441"/>
    <d v="2025-01-04T00:00:00"/>
    <d v="2025-01-07T00:00:00"/>
    <x v="1"/>
    <x v="3"/>
    <n v="5"/>
    <x v="0"/>
    <x v="3"/>
    <x v="2"/>
    <x v="0"/>
    <x v="1"/>
  </r>
  <r>
    <x v="99"/>
    <x v="2"/>
    <x v="2"/>
    <n v="93.6"/>
    <n v="280.79999999999995"/>
    <d v="2025-01-04T00:00:00"/>
    <d v="2025-01-17T00:00:00"/>
    <x v="2"/>
    <x v="0"/>
    <n v="5"/>
    <x v="0"/>
    <x v="3"/>
    <x v="10"/>
    <x v="0"/>
    <x v="2"/>
  </r>
  <r>
    <x v="100"/>
    <x v="5"/>
    <x v="17"/>
    <n v="41.4"/>
    <n v="1242"/>
    <d v="2025-01-04T00:00:00"/>
    <d v="2025-01-08T00:00:00"/>
    <x v="1"/>
    <x v="2"/>
    <n v="5"/>
    <x v="0"/>
    <x v="3"/>
    <x v="5"/>
    <x v="0"/>
    <x v="1"/>
  </r>
  <r>
    <x v="101"/>
    <x v="2"/>
    <x v="1"/>
    <n v="160"/>
    <n v="320"/>
    <d v="2025-01-05T00:00:00"/>
    <d v="2025-01-06T00:00:00"/>
    <x v="1"/>
    <x v="2"/>
    <n v="5"/>
    <x v="0"/>
    <x v="5"/>
    <x v="3"/>
    <x v="1"/>
    <x v="1"/>
  </r>
  <r>
    <x v="102"/>
    <x v="19"/>
    <x v="5"/>
    <n v="10.5"/>
    <n v="115.5"/>
    <d v="2025-01-05T00:00:00"/>
    <d v="2025-01-08T00:00:00"/>
    <x v="2"/>
    <x v="4"/>
    <n v="4"/>
    <x v="0"/>
    <x v="8"/>
    <x v="2"/>
    <x v="1"/>
    <x v="2"/>
  </r>
  <r>
    <x v="103"/>
    <x v="10"/>
    <x v="1"/>
    <n v="53"/>
    <n v="106"/>
    <d v="2025-01-05T00:00:00"/>
    <d v="2025-01-05T00:00:00"/>
    <x v="1"/>
    <x v="2"/>
    <n v="2"/>
    <x v="0"/>
    <x v="17"/>
    <x v="7"/>
    <x v="1"/>
    <x v="1"/>
  </r>
  <r>
    <x v="104"/>
    <x v="8"/>
    <x v="2"/>
    <n v="18.5"/>
    <n v="55.5"/>
    <d v="2025-01-05T00:00:00"/>
    <d v="2025-01-10T00:00:00"/>
    <x v="2"/>
    <x v="1"/>
    <n v="5"/>
    <x v="0"/>
    <x v="11"/>
    <x v="0"/>
    <x v="1"/>
    <x v="2"/>
  </r>
  <r>
    <x v="105"/>
    <x v="16"/>
    <x v="2"/>
    <n v="84.5"/>
    <n v="253.5"/>
    <d v="2025-01-05T00:00:00"/>
    <d v="2025-01-07T00:00:00"/>
    <x v="2"/>
    <x v="4"/>
    <n v="3"/>
    <x v="0"/>
    <x v="13"/>
    <x v="1"/>
    <x v="1"/>
    <x v="2"/>
  </r>
  <r>
    <x v="106"/>
    <x v="15"/>
    <x v="3"/>
    <n v="31.2"/>
    <n v="218.4"/>
    <d v="2025-01-05T00:00:00"/>
    <d v="2025-01-05T00:00:00"/>
    <x v="2"/>
    <x v="2"/>
    <n v="5"/>
    <x v="0"/>
    <x v="3"/>
    <x v="7"/>
    <x v="1"/>
    <x v="2"/>
  </r>
  <r>
    <x v="107"/>
    <x v="8"/>
    <x v="16"/>
    <n v="32.6"/>
    <n v="586.80000000000007"/>
    <d v="2025-01-05T00:00:00"/>
    <d v="2025-01-06T00:00:00"/>
    <x v="1"/>
    <x v="1"/>
    <n v="3"/>
    <x v="0"/>
    <x v="3"/>
    <x v="3"/>
    <x v="1"/>
    <x v="1"/>
  </r>
  <r>
    <x v="108"/>
    <x v="10"/>
    <x v="12"/>
    <n v="45.4"/>
    <n v="181.6"/>
    <d v="2025-01-05T00:00:00"/>
    <d v="2025-01-07T00:00:00"/>
    <x v="1"/>
    <x v="1"/>
    <n v="4"/>
    <x v="0"/>
    <x v="3"/>
    <x v="1"/>
    <x v="1"/>
    <x v="1"/>
  </r>
  <r>
    <x v="109"/>
    <x v="2"/>
    <x v="4"/>
    <n v="120"/>
    <n v="1440"/>
    <d v="2025-01-05T00:00:00"/>
    <d v="2025-01-06T00:00:00"/>
    <x v="2"/>
    <x v="2"/>
    <n v="2"/>
    <x v="0"/>
    <x v="3"/>
    <x v="3"/>
    <x v="1"/>
    <x v="2"/>
  </r>
  <r>
    <x v="110"/>
    <x v="0"/>
    <x v="12"/>
    <n v="18.899999999999999"/>
    <n v="75.599999999999994"/>
    <d v="2025-01-05T00:00:00"/>
    <d v="2025-01-07T00:00:00"/>
    <x v="1"/>
    <x v="0"/>
    <n v="5"/>
    <x v="0"/>
    <x v="3"/>
    <x v="1"/>
    <x v="1"/>
    <x v="1"/>
  </r>
  <r>
    <x v="111"/>
    <x v="4"/>
    <x v="0"/>
    <n v="32"/>
    <n v="32"/>
    <d v="2025-01-05T00:00:00"/>
    <d v="2025-01-07T00:00:00"/>
    <x v="2"/>
    <x v="4"/>
    <n v="4"/>
    <x v="0"/>
    <x v="3"/>
    <x v="1"/>
    <x v="1"/>
    <x v="2"/>
  </r>
  <r>
    <x v="112"/>
    <x v="7"/>
    <x v="1"/>
    <n v="37.299999999999997"/>
    <n v="74.599999999999994"/>
    <d v="2025-01-05T00:00:00"/>
    <d v="2025-01-06T00:00:00"/>
    <x v="1"/>
    <x v="2"/>
    <n v="4"/>
    <x v="0"/>
    <x v="3"/>
    <x v="3"/>
    <x v="1"/>
    <x v="1"/>
  </r>
  <r>
    <x v="113"/>
    <x v="18"/>
    <x v="0"/>
    <n v="119.8"/>
    <n v="119.8"/>
    <d v="2025-01-05T00:00:00"/>
    <d v="2025-01-06T00:00:00"/>
    <x v="1"/>
    <x v="1"/>
    <n v="3"/>
    <x v="0"/>
    <x v="3"/>
    <x v="3"/>
    <x v="1"/>
    <x v="1"/>
  </r>
  <r>
    <x v="114"/>
    <x v="10"/>
    <x v="1"/>
    <n v="26.4"/>
    <n v="52.8"/>
    <d v="2025-01-05T00:00:00"/>
    <d v="2025-01-08T00:00:00"/>
    <x v="1"/>
    <x v="2"/>
    <n v="4"/>
    <x v="0"/>
    <x v="3"/>
    <x v="2"/>
    <x v="1"/>
    <x v="1"/>
  </r>
  <r>
    <x v="115"/>
    <x v="6"/>
    <x v="13"/>
    <n v="76.5"/>
    <n v="459"/>
    <d v="2025-01-05T00:00:00"/>
    <d v="2025-01-06T00:00:00"/>
    <x v="2"/>
    <x v="1"/>
    <n v="3"/>
    <x v="0"/>
    <x v="3"/>
    <x v="3"/>
    <x v="1"/>
    <x v="2"/>
  </r>
  <r>
    <x v="116"/>
    <x v="4"/>
    <x v="7"/>
    <n v="45.7"/>
    <n v="457"/>
    <d v="2025-01-05T00:00:00"/>
    <d v="2025-01-06T00:00:00"/>
    <x v="2"/>
    <x v="2"/>
    <n v="4"/>
    <x v="0"/>
    <x v="24"/>
    <x v="3"/>
    <x v="1"/>
    <x v="2"/>
  </r>
  <r>
    <x v="117"/>
    <x v="1"/>
    <x v="4"/>
    <n v="92.6"/>
    <n v="1111.1999999999998"/>
    <d v="2025-01-05T00:00:00"/>
    <d v="2025-01-07T00:00:00"/>
    <x v="2"/>
    <x v="2"/>
    <n v="4"/>
    <x v="0"/>
    <x v="25"/>
    <x v="1"/>
    <x v="1"/>
    <x v="2"/>
  </r>
  <r>
    <x v="118"/>
    <x v="6"/>
    <x v="13"/>
    <n v="60.1"/>
    <n v="360.6"/>
    <d v="2025-01-05T00:00:00"/>
    <d v="2025-01-06T00:00:00"/>
    <x v="1"/>
    <x v="1"/>
    <n v="4"/>
    <x v="0"/>
    <x v="23"/>
    <x v="3"/>
    <x v="1"/>
    <x v="1"/>
  </r>
  <r>
    <x v="119"/>
    <x v="1"/>
    <x v="2"/>
    <n v="73"/>
    <n v="219"/>
    <d v="2025-01-05T00:00:00"/>
    <d v="2025-01-06T00:00:00"/>
    <x v="2"/>
    <x v="3"/>
    <n v="3"/>
    <x v="0"/>
    <x v="6"/>
    <x v="3"/>
    <x v="1"/>
    <x v="2"/>
  </r>
  <r>
    <x v="120"/>
    <x v="6"/>
    <x v="2"/>
    <n v="44.3"/>
    <n v="132.89999999999998"/>
    <d v="2025-01-05T00:00:00"/>
    <d v="2025-01-09T00:00:00"/>
    <x v="0"/>
    <x v="2"/>
    <n v="5"/>
    <x v="0"/>
    <x v="6"/>
    <x v="5"/>
    <x v="1"/>
    <x v="0"/>
  </r>
  <r>
    <x v="121"/>
    <x v="6"/>
    <x v="2"/>
    <n v="63.3"/>
    <n v="189.89999999999998"/>
    <d v="2025-01-05T00:00:00"/>
    <d v="2025-01-06T00:00:00"/>
    <x v="1"/>
    <x v="2"/>
    <n v="4"/>
    <x v="0"/>
    <x v="6"/>
    <x v="3"/>
    <x v="1"/>
    <x v="1"/>
  </r>
  <r>
    <x v="122"/>
    <x v="12"/>
    <x v="0"/>
    <n v="66.8"/>
    <n v="66.8"/>
    <d v="2025-01-05T00:00:00"/>
    <d v="2025-01-06T00:00:00"/>
    <x v="2"/>
    <x v="1"/>
    <n v="4"/>
    <x v="0"/>
    <x v="6"/>
    <x v="3"/>
    <x v="1"/>
    <x v="2"/>
  </r>
  <r>
    <x v="123"/>
    <x v="2"/>
    <x v="1"/>
    <n v="59.7"/>
    <n v="119.4"/>
    <d v="2025-01-05T00:00:00"/>
    <d v="2025-01-06T00:00:00"/>
    <x v="2"/>
    <x v="0"/>
    <n v="4"/>
    <x v="0"/>
    <x v="7"/>
    <x v="3"/>
    <x v="1"/>
    <x v="2"/>
  </r>
  <r>
    <x v="124"/>
    <x v="1"/>
    <x v="13"/>
    <n v="92"/>
    <n v="552"/>
    <d v="2025-01-05T00:00:00"/>
    <d v="2025-01-07T00:00:00"/>
    <x v="1"/>
    <x v="0"/>
    <n v="2"/>
    <x v="0"/>
    <x v="7"/>
    <x v="1"/>
    <x v="1"/>
    <x v="1"/>
  </r>
  <r>
    <x v="125"/>
    <x v="7"/>
    <x v="1"/>
    <n v="87.6"/>
    <n v="175.2"/>
    <d v="2025-01-05T00:00:00"/>
    <d v="2025-01-07T00:00:00"/>
    <x v="1"/>
    <x v="1"/>
    <n v="3"/>
    <x v="0"/>
    <x v="8"/>
    <x v="1"/>
    <x v="1"/>
    <x v="1"/>
  </r>
  <r>
    <x v="126"/>
    <x v="6"/>
    <x v="2"/>
    <n v="84.5"/>
    <n v="253.5"/>
    <d v="2025-01-05T00:00:00"/>
    <d v="2025-01-06T00:00:00"/>
    <x v="2"/>
    <x v="1"/>
    <n v="3"/>
    <x v="0"/>
    <x v="8"/>
    <x v="3"/>
    <x v="1"/>
    <x v="2"/>
  </r>
  <r>
    <x v="127"/>
    <x v="1"/>
    <x v="1"/>
    <n v="116.3"/>
    <n v="232.6"/>
    <d v="2025-01-06T00:00:00"/>
    <d v="2025-01-08T00:00:00"/>
    <x v="1"/>
    <x v="2"/>
    <n v="5"/>
    <x v="0"/>
    <x v="8"/>
    <x v="1"/>
    <x v="1"/>
    <x v="1"/>
  </r>
  <r>
    <x v="128"/>
    <x v="6"/>
    <x v="9"/>
    <n v="52.7"/>
    <n v="263.5"/>
    <d v="2025-01-06T00:00:00"/>
    <d v="2025-01-10T00:00:00"/>
    <x v="1"/>
    <x v="0"/>
    <n v="4"/>
    <x v="0"/>
    <x v="8"/>
    <x v="5"/>
    <x v="1"/>
    <x v="1"/>
  </r>
  <r>
    <x v="129"/>
    <x v="16"/>
    <x v="2"/>
    <n v="34.200000000000003"/>
    <n v="102.60000000000001"/>
    <d v="2025-01-06T00:00:00"/>
    <d v="2025-01-07T00:00:00"/>
    <x v="1"/>
    <x v="0"/>
    <n v="5"/>
    <x v="0"/>
    <x v="26"/>
    <x v="3"/>
    <x v="1"/>
    <x v="1"/>
  </r>
  <r>
    <x v="130"/>
    <x v="9"/>
    <x v="0"/>
    <n v="23.3"/>
    <n v="23.3"/>
    <d v="2025-01-06T00:00:00"/>
    <d v="2025-01-15T00:00:00"/>
    <x v="3"/>
    <x v="2"/>
    <n v="5"/>
    <x v="0"/>
    <x v="9"/>
    <x v="8"/>
    <x v="1"/>
    <x v="3"/>
  </r>
  <r>
    <x v="131"/>
    <x v="0"/>
    <x v="18"/>
    <n v="25.9"/>
    <n v="673.4"/>
    <d v="2025-01-06T00:00:00"/>
    <d v="2025-01-09T00:00:00"/>
    <x v="2"/>
    <x v="4"/>
    <n v="3"/>
    <x v="0"/>
    <x v="9"/>
    <x v="2"/>
    <x v="1"/>
    <x v="2"/>
  </r>
  <r>
    <x v="132"/>
    <x v="6"/>
    <x v="19"/>
    <n v="54.9"/>
    <n v="1592.1"/>
    <d v="2025-01-06T00:00:00"/>
    <d v="2025-01-07T00:00:00"/>
    <x v="1"/>
    <x v="1"/>
    <n v="5"/>
    <x v="0"/>
    <x v="9"/>
    <x v="3"/>
    <x v="1"/>
    <x v="1"/>
  </r>
  <r>
    <x v="133"/>
    <x v="5"/>
    <x v="2"/>
    <n v="75.8"/>
    <n v="227.39999999999998"/>
    <d v="2025-01-06T00:00:00"/>
    <d v="2025-01-11T00:00:00"/>
    <x v="3"/>
    <x v="1"/>
    <n v="4"/>
    <x v="0"/>
    <x v="18"/>
    <x v="0"/>
    <x v="1"/>
    <x v="3"/>
  </r>
  <r>
    <x v="134"/>
    <x v="1"/>
    <x v="11"/>
    <n v="44.9"/>
    <n v="404.09999999999997"/>
    <d v="2025-01-06T00:00:00"/>
    <d v="2025-01-09T00:00:00"/>
    <x v="2"/>
    <x v="2"/>
    <n v="5"/>
    <x v="0"/>
    <x v="2"/>
    <x v="2"/>
    <x v="1"/>
    <x v="2"/>
  </r>
  <r>
    <x v="135"/>
    <x v="11"/>
    <x v="1"/>
    <n v="48.8"/>
    <n v="97.6"/>
    <d v="2025-01-06T00:00:00"/>
    <d v="2025-01-08T00:00:00"/>
    <x v="2"/>
    <x v="3"/>
    <n v="4"/>
    <x v="0"/>
    <x v="27"/>
    <x v="1"/>
    <x v="1"/>
    <x v="2"/>
  </r>
  <r>
    <x v="136"/>
    <x v="15"/>
    <x v="0"/>
    <n v="20.3"/>
    <n v="20.3"/>
    <d v="2025-01-06T00:00:00"/>
    <d v="2025-01-07T00:00:00"/>
    <x v="2"/>
    <x v="0"/>
    <n v="5"/>
    <x v="0"/>
    <x v="22"/>
    <x v="3"/>
    <x v="1"/>
    <x v="2"/>
  </r>
  <r>
    <x v="137"/>
    <x v="5"/>
    <x v="3"/>
    <n v="36.4"/>
    <n v="254.79999999999998"/>
    <d v="2025-01-06T00:00:00"/>
    <d v="2025-01-09T00:00:00"/>
    <x v="2"/>
    <x v="0"/>
    <n v="3"/>
    <x v="0"/>
    <x v="3"/>
    <x v="2"/>
    <x v="1"/>
    <x v="2"/>
  </r>
  <r>
    <x v="138"/>
    <x v="0"/>
    <x v="0"/>
    <n v="19"/>
    <n v="19"/>
    <d v="2025-01-06T00:00:00"/>
    <d v="2025-01-11T00:00:00"/>
    <x v="2"/>
    <x v="1"/>
    <n v="5"/>
    <x v="0"/>
    <x v="3"/>
    <x v="0"/>
    <x v="1"/>
    <x v="2"/>
  </r>
  <r>
    <x v="139"/>
    <x v="8"/>
    <x v="0"/>
    <n v="17.8"/>
    <n v="17.8"/>
    <d v="2025-01-06T00:00:00"/>
    <d v="2025-01-06T00:00:00"/>
    <x v="1"/>
    <x v="0"/>
    <n v="4"/>
    <x v="0"/>
    <x v="3"/>
    <x v="7"/>
    <x v="1"/>
    <x v="1"/>
  </r>
  <r>
    <x v="140"/>
    <x v="2"/>
    <x v="13"/>
    <n v="139.6"/>
    <n v="837.59999999999991"/>
    <d v="2025-01-06T00:00:00"/>
    <d v="2025-01-09T00:00:00"/>
    <x v="1"/>
    <x v="0"/>
    <n v="4"/>
    <x v="0"/>
    <x v="3"/>
    <x v="2"/>
    <x v="1"/>
    <x v="1"/>
  </r>
  <r>
    <x v="141"/>
    <x v="9"/>
    <x v="0"/>
    <n v="31.7"/>
    <n v="31.7"/>
    <d v="2025-01-06T00:00:00"/>
    <d v="2025-01-06T00:00:00"/>
    <x v="0"/>
    <x v="0"/>
    <n v="4"/>
    <x v="0"/>
    <x v="3"/>
    <x v="7"/>
    <x v="1"/>
    <x v="0"/>
  </r>
  <r>
    <x v="142"/>
    <x v="8"/>
    <x v="8"/>
    <n v="26.3"/>
    <n v="210.4"/>
    <d v="2025-01-06T00:00:00"/>
    <d v="2025-01-09T00:00:00"/>
    <x v="2"/>
    <x v="4"/>
    <n v="2"/>
    <x v="0"/>
    <x v="3"/>
    <x v="2"/>
    <x v="1"/>
    <x v="2"/>
  </r>
  <r>
    <x v="143"/>
    <x v="4"/>
    <x v="1"/>
    <n v="47.8"/>
    <n v="95.6"/>
    <d v="2025-01-06T00:00:00"/>
    <d v="2025-01-07T00:00:00"/>
    <x v="0"/>
    <x v="0"/>
    <n v="4"/>
    <x v="0"/>
    <x v="3"/>
    <x v="3"/>
    <x v="1"/>
    <x v="0"/>
  </r>
  <r>
    <x v="144"/>
    <x v="9"/>
    <x v="2"/>
    <n v="69.400000000000006"/>
    <n v="208.20000000000002"/>
    <d v="2025-01-06T00:00:00"/>
    <d v="2025-01-10T00:00:00"/>
    <x v="2"/>
    <x v="0"/>
    <n v="4"/>
    <x v="0"/>
    <x v="3"/>
    <x v="5"/>
    <x v="1"/>
    <x v="2"/>
  </r>
  <r>
    <x v="145"/>
    <x v="18"/>
    <x v="4"/>
    <n v="25.8"/>
    <n v="309.60000000000002"/>
    <d v="2025-01-06T00:00:00"/>
    <d v="2025-01-07T00:00:00"/>
    <x v="1"/>
    <x v="4"/>
    <n v="2"/>
    <x v="0"/>
    <x v="3"/>
    <x v="3"/>
    <x v="1"/>
    <x v="1"/>
  </r>
  <r>
    <x v="146"/>
    <x v="0"/>
    <x v="12"/>
    <n v="26.4"/>
    <n v="105.6"/>
    <d v="2025-01-06T00:00:00"/>
    <d v="2025-01-07T00:00:00"/>
    <x v="1"/>
    <x v="1"/>
    <n v="5"/>
    <x v="0"/>
    <x v="3"/>
    <x v="3"/>
    <x v="1"/>
    <x v="1"/>
  </r>
  <r>
    <x v="147"/>
    <x v="8"/>
    <x v="12"/>
    <n v="15.7"/>
    <n v="62.8"/>
    <d v="2025-01-06T00:00:00"/>
    <d v="2025-01-07T00:00:00"/>
    <x v="1"/>
    <x v="2"/>
    <n v="4"/>
    <x v="0"/>
    <x v="3"/>
    <x v="3"/>
    <x v="1"/>
    <x v="1"/>
  </r>
  <r>
    <x v="148"/>
    <x v="8"/>
    <x v="0"/>
    <n v="39.700000000000003"/>
    <n v="39.700000000000003"/>
    <d v="2025-01-06T00:00:00"/>
    <d v="2025-01-10T00:00:00"/>
    <x v="1"/>
    <x v="0"/>
    <n v="4"/>
    <x v="0"/>
    <x v="3"/>
    <x v="5"/>
    <x v="1"/>
    <x v="1"/>
  </r>
  <r>
    <x v="149"/>
    <x v="10"/>
    <x v="12"/>
    <n v="31.1"/>
    <n v="124.4"/>
    <d v="2025-01-06T00:00:00"/>
    <d v="2025-01-08T00:00:00"/>
    <x v="2"/>
    <x v="2"/>
    <n v="3"/>
    <x v="0"/>
    <x v="3"/>
    <x v="1"/>
    <x v="1"/>
    <x v="2"/>
  </r>
  <r>
    <x v="150"/>
    <x v="13"/>
    <x v="20"/>
    <n v="23.4"/>
    <n v="351"/>
    <d v="2025-01-06T00:00:00"/>
    <d v="2025-01-15T00:00:00"/>
    <x v="1"/>
    <x v="0"/>
    <n v="4"/>
    <x v="0"/>
    <x v="3"/>
    <x v="8"/>
    <x v="1"/>
    <x v="1"/>
  </r>
  <r>
    <x v="151"/>
    <x v="1"/>
    <x v="12"/>
    <n v="57.1"/>
    <n v="228.4"/>
    <d v="2025-01-07T00:00:00"/>
    <d v="2025-01-08T00:00:00"/>
    <x v="1"/>
    <x v="2"/>
    <n v="4"/>
    <x v="0"/>
    <x v="25"/>
    <x v="3"/>
    <x v="1"/>
    <x v="1"/>
  </r>
  <r>
    <x v="152"/>
    <x v="2"/>
    <x v="9"/>
    <n v="89.9"/>
    <n v="449.5"/>
    <d v="2025-01-07T00:00:00"/>
    <d v="2025-01-07T00:00:00"/>
    <x v="2"/>
    <x v="0"/>
    <n v="1"/>
    <x v="0"/>
    <x v="23"/>
    <x v="7"/>
    <x v="1"/>
    <x v="2"/>
  </r>
  <r>
    <x v="153"/>
    <x v="10"/>
    <x v="3"/>
    <n v="48.1"/>
    <n v="336.7"/>
    <d v="2025-01-07T00:00:00"/>
    <d v="2025-01-09T00:00:00"/>
    <x v="2"/>
    <x v="1"/>
    <n v="5"/>
    <x v="0"/>
    <x v="6"/>
    <x v="1"/>
    <x v="1"/>
    <x v="2"/>
  </r>
  <r>
    <x v="154"/>
    <x v="8"/>
    <x v="1"/>
    <n v="29.3"/>
    <n v="58.6"/>
    <d v="2025-01-07T00:00:00"/>
    <d v="2025-01-07T00:00:00"/>
    <x v="2"/>
    <x v="1"/>
    <n v="3"/>
    <x v="0"/>
    <x v="6"/>
    <x v="7"/>
    <x v="1"/>
    <x v="2"/>
  </r>
  <r>
    <x v="155"/>
    <x v="8"/>
    <x v="12"/>
    <n v="28.8"/>
    <n v="115.2"/>
    <d v="2025-01-07T00:00:00"/>
    <d v="2025-01-08T00:00:00"/>
    <x v="2"/>
    <x v="0"/>
    <n v="2"/>
    <x v="0"/>
    <x v="6"/>
    <x v="3"/>
    <x v="1"/>
    <x v="2"/>
  </r>
  <r>
    <x v="156"/>
    <x v="10"/>
    <x v="9"/>
    <n v="40.5"/>
    <n v="202.5"/>
    <d v="2025-01-07T00:00:00"/>
    <d v="2025-01-11T00:00:00"/>
    <x v="2"/>
    <x v="3"/>
    <n v="4"/>
    <x v="0"/>
    <x v="6"/>
    <x v="5"/>
    <x v="1"/>
    <x v="2"/>
  </r>
  <r>
    <x v="157"/>
    <x v="18"/>
    <x v="21"/>
    <n v="65.099999999999994"/>
    <n v="911.39999999999986"/>
    <d v="2025-01-07T00:00:00"/>
    <d v="2025-01-08T00:00:00"/>
    <x v="2"/>
    <x v="4"/>
    <n v="4"/>
    <x v="0"/>
    <x v="7"/>
    <x v="3"/>
    <x v="1"/>
    <x v="2"/>
  </r>
  <r>
    <x v="158"/>
    <x v="8"/>
    <x v="12"/>
    <n v="40.299999999999997"/>
    <n v="161.19999999999999"/>
    <d v="2025-01-07T00:00:00"/>
    <d v="2025-01-12T00:00:00"/>
    <x v="2"/>
    <x v="2"/>
    <n v="4"/>
    <x v="0"/>
    <x v="7"/>
    <x v="0"/>
    <x v="1"/>
    <x v="2"/>
  </r>
  <r>
    <x v="159"/>
    <x v="6"/>
    <x v="9"/>
    <n v="51.8"/>
    <n v="259"/>
    <d v="2025-01-07T00:00:00"/>
    <d v="2025-01-08T00:00:00"/>
    <x v="1"/>
    <x v="2"/>
    <n v="5"/>
    <x v="0"/>
    <x v="8"/>
    <x v="3"/>
    <x v="1"/>
    <x v="1"/>
  </r>
  <r>
    <x v="160"/>
    <x v="6"/>
    <x v="2"/>
    <n v="61.3"/>
    <n v="183.89999999999998"/>
    <d v="2025-01-07T00:00:00"/>
    <d v="2025-01-08T00:00:00"/>
    <x v="2"/>
    <x v="3"/>
    <n v="4"/>
    <x v="0"/>
    <x v="8"/>
    <x v="3"/>
    <x v="1"/>
    <x v="2"/>
  </r>
  <r>
    <x v="161"/>
    <x v="2"/>
    <x v="12"/>
    <n v="122.5"/>
    <n v="490"/>
    <d v="2025-01-07T00:00:00"/>
    <d v="2025-01-08T00:00:00"/>
    <x v="1"/>
    <x v="0"/>
    <n v="4"/>
    <x v="0"/>
    <x v="8"/>
    <x v="3"/>
    <x v="1"/>
    <x v="1"/>
  </r>
  <r>
    <x v="162"/>
    <x v="0"/>
    <x v="11"/>
    <n v="12.5"/>
    <n v="112.5"/>
    <d v="2025-01-07T00:00:00"/>
    <d v="2025-01-08T00:00:00"/>
    <x v="0"/>
    <x v="1"/>
    <n v="5"/>
    <x v="0"/>
    <x v="8"/>
    <x v="3"/>
    <x v="1"/>
    <x v="0"/>
  </r>
  <r>
    <x v="163"/>
    <x v="15"/>
    <x v="8"/>
    <n v="37.5"/>
    <n v="300"/>
    <d v="2025-01-07T00:00:00"/>
    <d v="2025-01-08T00:00:00"/>
    <x v="2"/>
    <x v="0"/>
    <n v="4"/>
    <x v="0"/>
    <x v="9"/>
    <x v="3"/>
    <x v="1"/>
    <x v="2"/>
  </r>
  <r>
    <x v="164"/>
    <x v="6"/>
    <x v="2"/>
    <n v="40"/>
    <n v="120"/>
    <d v="2025-01-07T00:00:00"/>
    <d v="2025-01-10T00:00:00"/>
    <x v="1"/>
    <x v="0"/>
    <n v="2"/>
    <x v="0"/>
    <x v="11"/>
    <x v="2"/>
    <x v="1"/>
    <x v="1"/>
  </r>
  <r>
    <x v="165"/>
    <x v="17"/>
    <x v="8"/>
    <n v="38.5"/>
    <n v="308"/>
    <d v="2025-01-07T00:00:00"/>
    <d v="2025-01-12T00:00:00"/>
    <x v="2"/>
    <x v="2"/>
    <n v="3"/>
    <x v="0"/>
    <x v="11"/>
    <x v="0"/>
    <x v="1"/>
    <x v="2"/>
  </r>
  <r>
    <x v="166"/>
    <x v="2"/>
    <x v="1"/>
    <n v="86.4"/>
    <n v="172.8"/>
    <d v="2025-01-07T00:00:00"/>
    <d v="2025-01-09T00:00:00"/>
    <x v="2"/>
    <x v="0"/>
    <n v="4"/>
    <x v="0"/>
    <x v="18"/>
    <x v="1"/>
    <x v="1"/>
    <x v="2"/>
  </r>
  <r>
    <x v="167"/>
    <x v="10"/>
    <x v="0"/>
    <n v="50.7"/>
    <n v="50.7"/>
    <d v="2025-01-07T00:00:00"/>
    <d v="2025-01-11T00:00:00"/>
    <x v="2"/>
    <x v="1"/>
    <n v="4"/>
    <x v="0"/>
    <x v="18"/>
    <x v="5"/>
    <x v="1"/>
    <x v="2"/>
  </r>
  <r>
    <x v="168"/>
    <x v="10"/>
    <x v="1"/>
    <n v="61"/>
    <n v="122"/>
    <d v="2025-01-07T00:00:00"/>
    <d v="2025-01-18T00:00:00"/>
    <x v="2"/>
    <x v="4"/>
    <n v="3"/>
    <x v="0"/>
    <x v="18"/>
    <x v="11"/>
    <x v="1"/>
    <x v="2"/>
  </r>
  <r>
    <x v="169"/>
    <x v="4"/>
    <x v="1"/>
    <n v="19.899999999999999"/>
    <n v="39.799999999999997"/>
    <d v="2025-01-07T00:00:00"/>
    <d v="2025-01-10T00:00:00"/>
    <x v="2"/>
    <x v="1"/>
    <n v="4"/>
    <x v="0"/>
    <x v="28"/>
    <x v="2"/>
    <x v="1"/>
    <x v="2"/>
  </r>
  <r>
    <x v="170"/>
    <x v="5"/>
    <x v="0"/>
    <n v="78.3"/>
    <n v="78.3"/>
    <d v="2025-01-07T00:00:00"/>
    <d v="2025-01-07T00:00:00"/>
    <x v="2"/>
    <x v="0"/>
    <n v="5"/>
    <x v="0"/>
    <x v="1"/>
    <x v="7"/>
    <x v="1"/>
    <x v="2"/>
  </r>
  <r>
    <x v="171"/>
    <x v="0"/>
    <x v="10"/>
    <n v="10.4"/>
    <n v="197.6"/>
    <d v="2025-01-07T00:00:00"/>
    <d v="2025-01-09T00:00:00"/>
    <x v="1"/>
    <x v="0"/>
    <n v="5"/>
    <x v="0"/>
    <x v="2"/>
    <x v="1"/>
    <x v="1"/>
    <x v="1"/>
  </r>
  <r>
    <x v="172"/>
    <x v="10"/>
    <x v="0"/>
    <n v="36.1"/>
    <n v="36.1"/>
    <d v="2025-01-07T00:00:00"/>
    <d v="2025-01-10T00:00:00"/>
    <x v="1"/>
    <x v="3"/>
    <n v="5"/>
    <x v="0"/>
    <x v="3"/>
    <x v="2"/>
    <x v="1"/>
    <x v="1"/>
  </r>
  <r>
    <x v="173"/>
    <x v="14"/>
    <x v="1"/>
    <n v="17.3"/>
    <n v="34.6"/>
    <d v="2025-01-07T00:00:00"/>
    <d v="2025-01-09T00:00:00"/>
    <x v="2"/>
    <x v="1"/>
    <n v="5"/>
    <x v="0"/>
    <x v="3"/>
    <x v="1"/>
    <x v="1"/>
    <x v="2"/>
  </r>
  <r>
    <x v="174"/>
    <x v="10"/>
    <x v="1"/>
    <n v="30.5"/>
    <n v="61"/>
    <d v="2025-01-07T00:00:00"/>
    <d v="2025-01-08T00:00:00"/>
    <x v="2"/>
    <x v="1"/>
    <n v="5"/>
    <x v="0"/>
    <x v="3"/>
    <x v="3"/>
    <x v="1"/>
    <x v="2"/>
  </r>
  <r>
    <x v="175"/>
    <x v="18"/>
    <x v="22"/>
    <n v="70.099999999999994"/>
    <n v="4346.2"/>
    <d v="2025-01-07T00:00:00"/>
    <d v="2025-01-07T00:00:00"/>
    <x v="2"/>
    <x v="2"/>
    <n v="4"/>
    <x v="0"/>
    <x v="3"/>
    <x v="7"/>
    <x v="1"/>
    <x v="2"/>
  </r>
  <r>
    <x v="176"/>
    <x v="3"/>
    <x v="0"/>
    <n v="76.099999999999994"/>
    <n v="76.099999999999994"/>
    <d v="2025-01-07T00:00:00"/>
    <d v="2025-01-07T00:00:00"/>
    <x v="2"/>
    <x v="2"/>
    <n v="3"/>
    <x v="0"/>
    <x v="3"/>
    <x v="7"/>
    <x v="1"/>
    <x v="2"/>
  </r>
  <r>
    <x v="177"/>
    <x v="15"/>
    <x v="15"/>
    <n v="34.200000000000003"/>
    <n v="444.6"/>
    <d v="2025-01-07T00:00:00"/>
    <d v="2025-01-08T00:00:00"/>
    <x v="1"/>
    <x v="0"/>
    <n v="4"/>
    <x v="0"/>
    <x v="3"/>
    <x v="3"/>
    <x v="1"/>
    <x v="1"/>
  </r>
  <r>
    <x v="178"/>
    <x v="8"/>
    <x v="9"/>
    <n v="30.3"/>
    <n v="151.5"/>
    <d v="2025-01-07T00:00:00"/>
    <d v="2025-01-12T00:00:00"/>
    <x v="2"/>
    <x v="4"/>
    <n v="4"/>
    <x v="0"/>
    <x v="3"/>
    <x v="0"/>
    <x v="1"/>
    <x v="2"/>
  </r>
  <r>
    <x v="179"/>
    <x v="6"/>
    <x v="9"/>
    <n v="52.5"/>
    <n v="262.5"/>
    <d v="2025-01-07T00:00:00"/>
    <d v="2025-01-11T00:00:00"/>
    <x v="0"/>
    <x v="3"/>
    <n v="4"/>
    <x v="0"/>
    <x v="3"/>
    <x v="5"/>
    <x v="1"/>
    <x v="0"/>
  </r>
  <r>
    <x v="180"/>
    <x v="9"/>
    <x v="5"/>
    <n v="28.7"/>
    <n v="315.7"/>
    <d v="2025-01-07T00:00:00"/>
    <d v="2025-01-08T00:00:00"/>
    <x v="2"/>
    <x v="2"/>
    <n v="4"/>
    <x v="0"/>
    <x v="3"/>
    <x v="3"/>
    <x v="1"/>
    <x v="2"/>
  </r>
  <r>
    <x v="181"/>
    <x v="7"/>
    <x v="3"/>
    <n v="52"/>
    <n v="364"/>
    <d v="2025-01-07T00:00:00"/>
    <d v="2025-01-08T00:00:00"/>
    <x v="1"/>
    <x v="1"/>
    <n v="2"/>
    <x v="0"/>
    <x v="3"/>
    <x v="3"/>
    <x v="1"/>
    <x v="1"/>
  </r>
  <r>
    <x v="182"/>
    <x v="0"/>
    <x v="0"/>
    <n v="13.3"/>
    <n v="13.3"/>
    <d v="2025-01-08T00:00:00"/>
    <d v="2025-01-12T00:00:00"/>
    <x v="2"/>
    <x v="2"/>
    <n v="3"/>
    <x v="0"/>
    <x v="3"/>
    <x v="5"/>
    <x v="1"/>
    <x v="2"/>
  </r>
  <r>
    <x v="183"/>
    <x v="0"/>
    <x v="2"/>
    <n v="15.7"/>
    <n v="47.099999999999994"/>
    <d v="2025-01-08T00:00:00"/>
    <d v="2025-01-09T00:00:00"/>
    <x v="2"/>
    <x v="1"/>
    <n v="4"/>
    <x v="0"/>
    <x v="29"/>
    <x v="3"/>
    <x v="1"/>
    <x v="2"/>
  </r>
  <r>
    <x v="184"/>
    <x v="8"/>
    <x v="1"/>
    <n v="25.6"/>
    <n v="51.2"/>
    <d v="2025-01-08T00:00:00"/>
    <d v="2025-01-09T00:00:00"/>
    <x v="1"/>
    <x v="0"/>
    <n v="5"/>
    <x v="0"/>
    <x v="23"/>
    <x v="3"/>
    <x v="1"/>
    <x v="1"/>
  </r>
  <r>
    <x v="185"/>
    <x v="8"/>
    <x v="0"/>
    <n v="43.4"/>
    <n v="43.4"/>
    <d v="2025-01-08T00:00:00"/>
    <d v="2025-01-13T00:00:00"/>
    <x v="1"/>
    <x v="0"/>
    <n v="4"/>
    <x v="0"/>
    <x v="6"/>
    <x v="0"/>
    <x v="1"/>
    <x v="1"/>
  </r>
  <r>
    <x v="186"/>
    <x v="11"/>
    <x v="11"/>
    <n v="33.4"/>
    <n v="300.59999999999997"/>
    <d v="2025-01-08T00:00:00"/>
    <d v="2025-01-08T00:00:00"/>
    <x v="2"/>
    <x v="0"/>
    <n v="4"/>
    <x v="0"/>
    <x v="8"/>
    <x v="7"/>
    <x v="1"/>
    <x v="2"/>
  </r>
  <r>
    <x v="187"/>
    <x v="8"/>
    <x v="10"/>
    <n v="55"/>
    <n v="1045"/>
    <d v="2025-01-08T00:00:00"/>
    <d v="2025-01-09T00:00:00"/>
    <x v="2"/>
    <x v="1"/>
    <n v="5"/>
    <x v="0"/>
    <x v="8"/>
    <x v="3"/>
    <x v="1"/>
    <x v="2"/>
  </r>
  <r>
    <x v="188"/>
    <x v="8"/>
    <x v="2"/>
    <n v="23.6"/>
    <n v="70.800000000000011"/>
    <d v="2025-01-08T00:00:00"/>
    <d v="2025-01-09T00:00:00"/>
    <x v="1"/>
    <x v="0"/>
    <n v="5"/>
    <x v="0"/>
    <x v="8"/>
    <x v="3"/>
    <x v="1"/>
    <x v="1"/>
  </r>
  <r>
    <x v="189"/>
    <x v="12"/>
    <x v="11"/>
    <n v="104"/>
    <n v="936"/>
    <d v="2025-01-08T00:00:00"/>
    <d v="2025-01-10T00:00:00"/>
    <x v="2"/>
    <x v="2"/>
    <n v="5"/>
    <x v="0"/>
    <x v="17"/>
    <x v="1"/>
    <x v="1"/>
    <x v="2"/>
  </r>
  <r>
    <x v="190"/>
    <x v="6"/>
    <x v="1"/>
    <n v="51.8"/>
    <n v="103.6"/>
    <d v="2025-01-08T00:00:00"/>
    <d v="2025-01-12T00:00:00"/>
    <x v="0"/>
    <x v="0"/>
    <n v="5"/>
    <x v="0"/>
    <x v="10"/>
    <x v="5"/>
    <x v="1"/>
    <x v="0"/>
  </r>
  <r>
    <x v="191"/>
    <x v="10"/>
    <x v="9"/>
    <n v="34.5"/>
    <n v="172.5"/>
    <d v="2025-01-08T00:00:00"/>
    <d v="2025-01-10T00:00:00"/>
    <x v="0"/>
    <x v="2"/>
    <n v="5"/>
    <x v="0"/>
    <x v="11"/>
    <x v="1"/>
    <x v="1"/>
    <x v="0"/>
  </r>
  <r>
    <x v="192"/>
    <x v="6"/>
    <x v="1"/>
    <n v="51.8"/>
    <n v="103.6"/>
    <d v="2025-01-08T00:00:00"/>
    <d v="2025-01-10T00:00:00"/>
    <x v="1"/>
    <x v="1"/>
    <n v="5"/>
    <x v="0"/>
    <x v="30"/>
    <x v="1"/>
    <x v="1"/>
    <x v="1"/>
  </r>
  <r>
    <x v="193"/>
    <x v="18"/>
    <x v="23"/>
    <n v="131.5"/>
    <n v="5654.5"/>
    <d v="2025-01-08T00:00:00"/>
    <d v="2025-01-09T00:00:00"/>
    <x v="2"/>
    <x v="0"/>
    <n v="5"/>
    <x v="0"/>
    <x v="18"/>
    <x v="3"/>
    <x v="1"/>
    <x v="2"/>
  </r>
  <r>
    <x v="194"/>
    <x v="8"/>
    <x v="3"/>
    <n v="47.8"/>
    <n v="334.59999999999997"/>
    <d v="2025-01-08T00:00:00"/>
    <d v="2025-01-08T00:00:00"/>
    <x v="2"/>
    <x v="0"/>
    <n v="4"/>
    <x v="0"/>
    <x v="19"/>
    <x v="7"/>
    <x v="1"/>
    <x v="2"/>
  </r>
  <r>
    <x v="195"/>
    <x v="0"/>
    <x v="1"/>
    <n v="10.199999999999999"/>
    <n v="20.399999999999999"/>
    <d v="2025-01-08T00:00:00"/>
    <d v="2025-01-10T00:00:00"/>
    <x v="2"/>
    <x v="0"/>
    <n v="4"/>
    <x v="0"/>
    <x v="19"/>
    <x v="1"/>
    <x v="1"/>
    <x v="2"/>
  </r>
  <r>
    <x v="196"/>
    <x v="8"/>
    <x v="8"/>
    <n v="41"/>
    <n v="328"/>
    <d v="2025-01-08T00:00:00"/>
    <d v="2025-01-08T00:00:00"/>
    <x v="2"/>
    <x v="1"/>
    <n v="5"/>
    <x v="0"/>
    <x v="19"/>
    <x v="7"/>
    <x v="1"/>
    <x v="2"/>
  </r>
  <r>
    <x v="197"/>
    <x v="10"/>
    <x v="3"/>
    <n v="50.8"/>
    <n v="355.59999999999997"/>
    <d v="2025-01-08T00:00:00"/>
    <d v="2025-01-11T00:00:00"/>
    <x v="2"/>
    <x v="1"/>
    <n v="4"/>
    <x v="0"/>
    <x v="21"/>
    <x v="2"/>
    <x v="1"/>
    <x v="2"/>
  </r>
  <r>
    <x v="198"/>
    <x v="18"/>
    <x v="2"/>
    <n v="39.6"/>
    <n v="118.80000000000001"/>
    <d v="2025-01-08T00:00:00"/>
    <d v="2025-01-09T00:00:00"/>
    <x v="1"/>
    <x v="2"/>
    <n v="5"/>
    <x v="0"/>
    <x v="1"/>
    <x v="3"/>
    <x v="1"/>
    <x v="1"/>
  </r>
  <r>
    <x v="199"/>
    <x v="5"/>
    <x v="1"/>
    <n v="69.5"/>
    <n v="139"/>
    <d v="2025-01-08T00:00:00"/>
    <d v="2025-01-10T00:00:00"/>
    <x v="1"/>
    <x v="0"/>
    <n v="5"/>
    <x v="0"/>
    <x v="2"/>
    <x v="1"/>
    <x v="1"/>
    <x v="1"/>
  </r>
  <r>
    <x v="200"/>
    <x v="8"/>
    <x v="8"/>
    <n v="32.6"/>
    <n v="260.8"/>
    <d v="2025-01-08T00:00:00"/>
    <d v="2025-01-11T00:00:00"/>
    <x v="1"/>
    <x v="1"/>
    <n v="4"/>
    <x v="0"/>
    <x v="3"/>
    <x v="2"/>
    <x v="1"/>
    <x v="1"/>
  </r>
  <r>
    <x v="201"/>
    <x v="7"/>
    <x v="1"/>
    <n v="49.1"/>
    <n v="98.2"/>
    <d v="2025-01-08T00:00:00"/>
    <d v="2025-01-16T00:00:00"/>
    <x v="1"/>
    <x v="3"/>
    <n v="5"/>
    <x v="0"/>
    <x v="3"/>
    <x v="9"/>
    <x v="1"/>
    <x v="1"/>
  </r>
  <r>
    <x v="202"/>
    <x v="6"/>
    <x v="1"/>
    <n v="49.4"/>
    <n v="98.8"/>
    <d v="2025-01-09T00:00:00"/>
    <d v="2025-01-10T00:00:00"/>
    <x v="2"/>
    <x v="2"/>
    <n v="4"/>
    <x v="0"/>
    <x v="3"/>
    <x v="3"/>
    <x v="1"/>
    <x v="2"/>
  </r>
  <r>
    <x v="203"/>
    <x v="7"/>
    <x v="3"/>
    <n v="65.099999999999994"/>
    <n v="455.69999999999993"/>
    <d v="2025-01-09T00:00:00"/>
    <d v="2025-01-12T00:00:00"/>
    <x v="2"/>
    <x v="2"/>
    <n v="5"/>
    <x v="0"/>
    <x v="3"/>
    <x v="2"/>
    <x v="1"/>
    <x v="2"/>
  </r>
  <r>
    <x v="204"/>
    <x v="3"/>
    <x v="1"/>
    <n v="52.1"/>
    <n v="104.2"/>
    <d v="2025-01-09T00:00:00"/>
    <d v="2025-01-13T00:00:00"/>
    <x v="2"/>
    <x v="2"/>
    <n v="4"/>
    <x v="0"/>
    <x v="3"/>
    <x v="5"/>
    <x v="1"/>
    <x v="2"/>
  </r>
  <r>
    <x v="205"/>
    <x v="2"/>
    <x v="12"/>
    <n v="129.19999999999999"/>
    <n v="516.79999999999995"/>
    <d v="2025-01-09T00:00:00"/>
    <d v="2025-01-10T00:00:00"/>
    <x v="2"/>
    <x v="1"/>
    <n v="4"/>
    <x v="0"/>
    <x v="3"/>
    <x v="3"/>
    <x v="1"/>
    <x v="2"/>
  </r>
  <r>
    <x v="206"/>
    <x v="1"/>
    <x v="10"/>
    <n v="81.8"/>
    <n v="1554.2"/>
    <d v="2025-01-09T00:00:00"/>
    <d v="2025-01-09T00:00:00"/>
    <x v="2"/>
    <x v="1"/>
    <n v="3"/>
    <x v="0"/>
    <x v="3"/>
    <x v="7"/>
    <x v="1"/>
    <x v="2"/>
  </r>
  <r>
    <x v="207"/>
    <x v="17"/>
    <x v="0"/>
    <n v="24.9"/>
    <n v="24.9"/>
    <d v="2025-01-09T00:00:00"/>
    <d v="2025-01-13T00:00:00"/>
    <x v="2"/>
    <x v="1"/>
    <n v="4"/>
    <x v="0"/>
    <x v="3"/>
    <x v="5"/>
    <x v="1"/>
    <x v="2"/>
  </r>
  <r>
    <x v="208"/>
    <x v="0"/>
    <x v="2"/>
    <n v="49.4"/>
    <n v="148.19999999999999"/>
    <d v="2025-01-09T00:00:00"/>
    <d v="2025-01-12T00:00:00"/>
    <x v="2"/>
    <x v="4"/>
    <n v="2"/>
    <x v="0"/>
    <x v="3"/>
    <x v="2"/>
    <x v="1"/>
    <x v="2"/>
  </r>
  <r>
    <x v="209"/>
    <x v="8"/>
    <x v="1"/>
    <n v="22.7"/>
    <n v="45.4"/>
    <d v="2025-01-09T00:00:00"/>
    <d v="2025-01-10T00:00:00"/>
    <x v="1"/>
    <x v="3"/>
    <n v="5"/>
    <x v="0"/>
    <x v="3"/>
    <x v="3"/>
    <x v="1"/>
    <x v="1"/>
  </r>
  <r>
    <x v="210"/>
    <x v="1"/>
    <x v="0"/>
    <n v="77.3"/>
    <n v="77.3"/>
    <d v="2025-01-09T00:00:00"/>
    <d v="2025-01-09T00:00:00"/>
    <x v="2"/>
    <x v="0"/>
    <n v="5"/>
    <x v="0"/>
    <x v="6"/>
    <x v="7"/>
    <x v="1"/>
    <x v="2"/>
  </r>
  <r>
    <x v="211"/>
    <x v="1"/>
    <x v="9"/>
    <n v="109.1"/>
    <n v="545.5"/>
    <d v="2025-01-09T00:00:00"/>
    <d v="2025-01-12T00:00:00"/>
    <x v="2"/>
    <x v="0"/>
    <n v="4"/>
    <x v="0"/>
    <x v="6"/>
    <x v="2"/>
    <x v="1"/>
    <x v="2"/>
  </r>
  <r>
    <x v="212"/>
    <x v="2"/>
    <x v="12"/>
    <n v="53.9"/>
    <n v="215.6"/>
    <d v="2025-01-09T00:00:00"/>
    <d v="2025-01-10T00:00:00"/>
    <x v="1"/>
    <x v="0"/>
    <n v="3"/>
    <x v="0"/>
    <x v="8"/>
    <x v="3"/>
    <x v="1"/>
    <x v="1"/>
  </r>
  <r>
    <x v="213"/>
    <x v="9"/>
    <x v="18"/>
    <n v="21.2"/>
    <n v="551.19999999999993"/>
    <d v="2025-01-09T00:00:00"/>
    <d v="2025-01-09T00:00:00"/>
    <x v="2"/>
    <x v="0"/>
    <n v="4"/>
    <x v="0"/>
    <x v="9"/>
    <x v="7"/>
    <x v="1"/>
    <x v="2"/>
  </r>
  <r>
    <x v="214"/>
    <x v="16"/>
    <x v="12"/>
    <n v="69"/>
    <n v="276"/>
    <d v="2025-01-09T00:00:00"/>
    <d v="2025-01-11T00:00:00"/>
    <x v="2"/>
    <x v="1"/>
    <n v="3"/>
    <x v="0"/>
    <x v="18"/>
    <x v="1"/>
    <x v="1"/>
    <x v="2"/>
  </r>
  <r>
    <x v="215"/>
    <x v="6"/>
    <x v="2"/>
    <n v="46.2"/>
    <n v="138.60000000000002"/>
    <d v="2025-01-09T00:00:00"/>
    <d v="2025-01-11T00:00:00"/>
    <x v="2"/>
    <x v="0"/>
    <n v="5"/>
    <x v="0"/>
    <x v="31"/>
    <x v="1"/>
    <x v="1"/>
    <x v="2"/>
  </r>
  <r>
    <x v="216"/>
    <x v="1"/>
    <x v="9"/>
    <n v="97.4"/>
    <n v="487"/>
    <d v="2025-01-09T00:00:00"/>
    <d v="2025-01-13T00:00:00"/>
    <x v="2"/>
    <x v="4"/>
    <n v="5"/>
    <x v="0"/>
    <x v="21"/>
    <x v="5"/>
    <x v="1"/>
    <x v="2"/>
  </r>
  <r>
    <x v="217"/>
    <x v="8"/>
    <x v="9"/>
    <n v="21"/>
    <n v="105"/>
    <d v="2025-01-09T00:00:00"/>
    <d v="2025-01-10T00:00:00"/>
    <x v="1"/>
    <x v="0"/>
    <n v="3"/>
    <x v="0"/>
    <x v="21"/>
    <x v="3"/>
    <x v="1"/>
    <x v="1"/>
  </r>
  <r>
    <x v="218"/>
    <x v="5"/>
    <x v="1"/>
    <n v="32.700000000000003"/>
    <n v="65.400000000000006"/>
    <d v="2025-01-10T00:00:00"/>
    <d v="2025-01-13T00:00:00"/>
    <x v="2"/>
    <x v="1"/>
    <n v="4"/>
    <x v="0"/>
    <x v="2"/>
    <x v="2"/>
    <x v="1"/>
    <x v="2"/>
  </r>
  <r>
    <x v="219"/>
    <x v="6"/>
    <x v="12"/>
    <n v="48"/>
    <n v="192"/>
    <d v="2025-01-10T00:00:00"/>
    <d v="2025-01-11T00:00:00"/>
    <x v="1"/>
    <x v="3"/>
    <n v="4"/>
    <x v="0"/>
    <x v="3"/>
    <x v="3"/>
    <x v="1"/>
    <x v="1"/>
  </r>
  <r>
    <x v="220"/>
    <x v="6"/>
    <x v="2"/>
    <n v="68.2"/>
    <n v="204.60000000000002"/>
    <d v="2025-01-10T00:00:00"/>
    <d v="2025-01-14T00:00:00"/>
    <x v="0"/>
    <x v="0"/>
    <n v="5"/>
    <x v="0"/>
    <x v="3"/>
    <x v="5"/>
    <x v="1"/>
    <x v="0"/>
  </r>
  <r>
    <x v="221"/>
    <x v="5"/>
    <x v="0"/>
    <n v="45.4"/>
    <n v="45.4"/>
    <d v="2025-01-10T00:00:00"/>
    <d v="2025-01-12T00:00:00"/>
    <x v="1"/>
    <x v="1"/>
    <n v="4"/>
    <x v="0"/>
    <x v="3"/>
    <x v="1"/>
    <x v="1"/>
    <x v="1"/>
  </r>
  <r>
    <x v="222"/>
    <x v="12"/>
    <x v="1"/>
    <n v="53.9"/>
    <n v="107.8"/>
    <d v="2025-01-10T00:00:00"/>
    <d v="2025-01-11T00:00:00"/>
    <x v="2"/>
    <x v="2"/>
    <n v="4"/>
    <x v="0"/>
    <x v="3"/>
    <x v="3"/>
    <x v="1"/>
    <x v="2"/>
  </r>
  <r>
    <x v="223"/>
    <x v="2"/>
    <x v="12"/>
    <n v="62.1"/>
    <n v="248.4"/>
    <d v="2025-01-10T00:00:00"/>
    <d v="2025-01-14T00:00:00"/>
    <x v="2"/>
    <x v="0"/>
    <n v="4"/>
    <x v="0"/>
    <x v="4"/>
    <x v="5"/>
    <x v="1"/>
    <x v="2"/>
  </r>
  <r>
    <x v="224"/>
    <x v="13"/>
    <x v="3"/>
    <n v="33.1"/>
    <n v="231.70000000000002"/>
    <d v="2025-01-10T00:00:00"/>
    <d v="2025-01-15T00:00:00"/>
    <x v="1"/>
    <x v="1"/>
    <n v="4"/>
    <x v="0"/>
    <x v="6"/>
    <x v="0"/>
    <x v="1"/>
    <x v="1"/>
  </r>
  <r>
    <x v="225"/>
    <x v="18"/>
    <x v="9"/>
    <n v="35.200000000000003"/>
    <n v="176"/>
    <d v="2025-01-10T00:00:00"/>
    <d v="2025-01-10T00:00:00"/>
    <x v="2"/>
    <x v="1"/>
    <n v="4"/>
    <x v="0"/>
    <x v="6"/>
    <x v="7"/>
    <x v="1"/>
    <x v="2"/>
  </r>
  <r>
    <x v="226"/>
    <x v="9"/>
    <x v="2"/>
    <n v="32.1"/>
    <n v="96.300000000000011"/>
    <d v="2025-01-10T00:00:00"/>
    <d v="2025-01-15T00:00:00"/>
    <x v="1"/>
    <x v="3"/>
    <n v="4"/>
    <x v="0"/>
    <x v="8"/>
    <x v="0"/>
    <x v="1"/>
    <x v="1"/>
  </r>
  <r>
    <x v="227"/>
    <x v="11"/>
    <x v="0"/>
    <n v="38.1"/>
    <n v="38.1"/>
    <d v="2025-01-10T00:00:00"/>
    <d v="2025-01-15T00:00:00"/>
    <x v="2"/>
    <x v="0"/>
    <n v="5"/>
    <x v="0"/>
    <x v="8"/>
    <x v="0"/>
    <x v="1"/>
    <x v="2"/>
  </r>
  <r>
    <x v="228"/>
    <x v="8"/>
    <x v="0"/>
    <n v="65.2"/>
    <n v="65.2"/>
    <d v="2025-01-10T00:00:00"/>
    <d v="2025-01-15T00:00:00"/>
    <x v="2"/>
    <x v="3"/>
    <n v="3"/>
    <x v="0"/>
    <x v="8"/>
    <x v="0"/>
    <x v="1"/>
    <x v="2"/>
  </r>
  <r>
    <x v="229"/>
    <x v="10"/>
    <x v="3"/>
    <n v="55.2"/>
    <n v="386.40000000000003"/>
    <d v="2025-01-10T00:00:00"/>
    <d v="2025-01-11T00:00:00"/>
    <x v="1"/>
    <x v="2"/>
    <n v="4"/>
    <x v="0"/>
    <x v="11"/>
    <x v="3"/>
    <x v="1"/>
    <x v="1"/>
  </r>
  <r>
    <x v="230"/>
    <x v="6"/>
    <x v="0"/>
    <n v="62"/>
    <n v="62"/>
    <d v="2025-01-10T00:00:00"/>
    <d v="2025-01-14T00:00:00"/>
    <x v="2"/>
    <x v="0"/>
    <n v="4"/>
    <x v="0"/>
    <x v="11"/>
    <x v="5"/>
    <x v="1"/>
    <x v="2"/>
  </r>
  <r>
    <x v="231"/>
    <x v="7"/>
    <x v="2"/>
    <n v="45.9"/>
    <n v="137.69999999999999"/>
    <d v="2025-01-10T00:00:00"/>
    <d v="2025-01-11T00:00:00"/>
    <x v="2"/>
    <x v="2"/>
    <n v="4"/>
    <x v="0"/>
    <x v="32"/>
    <x v="3"/>
    <x v="1"/>
    <x v="2"/>
  </r>
  <r>
    <x v="232"/>
    <x v="18"/>
    <x v="2"/>
    <n v="58.3"/>
    <n v="174.89999999999998"/>
    <d v="2025-01-10T00:00:00"/>
    <d v="2025-01-10T00:00:00"/>
    <x v="1"/>
    <x v="1"/>
    <n v="3"/>
    <x v="0"/>
    <x v="18"/>
    <x v="7"/>
    <x v="1"/>
    <x v="1"/>
  </r>
  <r>
    <x v="233"/>
    <x v="8"/>
    <x v="1"/>
    <n v="22.3"/>
    <n v="44.6"/>
    <d v="2025-01-10T00:00:00"/>
    <d v="2025-01-13T00:00:00"/>
    <x v="2"/>
    <x v="0"/>
    <n v="5"/>
    <x v="0"/>
    <x v="20"/>
    <x v="2"/>
    <x v="1"/>
    <x v="2"/>
  </r>
  <r>
    <x v="234"/>
    <x v="19"/>
    <x v="9"/>
    <n v="24"/>
    <n v="120"/>
    <d v="2025-01-10T00:00:00"/>
    <d v="2025-01-11T00:00:00"/>
    <x v="1"/>
    <x v="4"/>
    <n v="4"/>
    <x v="0"/>
    <x v="1"/>
    <x v="3"/>
    <x v="1"/>
    <x v="1"/>
  </r>
  <r>
    <x v="235"/>
    <x v="0"/>
    <x v="7"/>
    <n v="21.3"/>
    <n v="213"/>
    <d v="2025-01-10T00:00:00"/>
    <d v="2025-01-10T00:00:00"/>
    <x v="2"/>
    <x v="1"/>
    <n v="5"/>
    <x v="0"/>
    <x v="22"/>
    <x v="7"/>
    <x v="1"/>
    <x v="2"/>
  </r>
  <r>
    <x v="236"/>
    <x v="6"/>
    <x v="24"/>
    <n v="57.8"/>
    <n v="2369.7999999999997"/>
    <d v="2025-01-10T00:00:00"/>
    <d v="2025-01-12T00:00:00"/>
    <x v="2"/>
    <x v="0"/>
    <n v="5"/>
    <x v="0"/>
    <x v="3"/>
    <x v="1"/>
    <x v="1"/>
    <x v="2"/>
  </r>
  <r>
    <x v="237"/>
    <x v="10"/>
    <x v="2"/>
    <n v="67.599999999999994"/>
    <n v="202.79999999999998"/>
    <d v="2025-01-10T00:00:00"/>
    <d v="2025-01-11T00:00:00"/>
    <x v="2"/>
    <x v="0"/>
    <n v="4"/>
    <x v="0"/>
    <x v="3"/>
    <x v="3"/>
    <x v="1"/>
    <x v="2"/>
  </r>
  <r>
    <x v="238"/>
    <x v="6"/>
    <x v="13"/>
    <n v="66.7"/>
    <n v="400.20000000000005"/>
    <d v="2025-01-10T00:00:00"/>
    <d v="2025-01-14T00:00:00"/>
    <x v="1"/>
    <x v="4"/>
    <n v="3"/>
    <x v="0"/>
    <x v="3"/>
    <x v="5"/>
    <x v="1"/>
    <x v="1"/>
  </r>
  <r>
    <x v="239"/>
    <x v="1"/>
    <x v="12"/>
    <n v="53.1"/>
    <n v="212.4"/>
    <d v="2025-01-10T00:00:00"/>
    <d v="2025-01-12T00:00:00"/>
    <x v="2"/>
    <x v="1"/>
    <n v="4"/>
    <x v="0"/>
    <x v="3"/>
    <x v="1"/>
    <x v="1"/>
    <x v="2"/>
  </r>
  <r>
    <x v="240"/>
    <x v="12"/>
    <x v="2"/>
    <n v="57.4"/>
    <n v="172.2"/>
    <d v="2025-01-10T00:00:00"/>
    <d v="2025-01-13T00:00:00"/>
    <x v="2"/>
    <x v="0"/>
    <n v="5"/>
    <x v="0"/>
    <x v="29"/>
    <x v="2"/>
    <x v="1"/>
    <x v="2"/>
  </r>
  <r>
    <x v="241"/>
    <x v="2"/>
    <x v="9"/>
    <n v="58.1"/>
    <n v="290.5"/>
    <d v="2025-01-10T00:00:00"/>
    <d v="2025-01-10T00:00:00"/>
    <x v="1"/>
    <x v="2"/>
    <n v="5"/>
    <x v="0"/>
    <x v="6"/>
    <x v="7"/>
    <x v="1"/>
    <x v="1"/>
  </r>
  <r>
    <x v="242"/>
    <x v="5"/>
    <x v="2"/>
    <n v="31.8"/>
    <n v="95.4"/>
    <d v="2025-01-11T00:00:00"/>
    <d v="2025-01-13T00:00:00"/>
    <x v="1"/>
    <x v="3"/>
    <n v="4"/>
    <x v="0"/>
    <x v="6"/>
    <x v="1"/>
    <x v="1"/>
    <x v="1"/>
  </r>
  <r>
    <x v="243"/>
    <x v="4"/>
    <x v="2"/>
    <n v="31.5"/>
    <n v="94.5"/>
    <d v="2025-01-11T00:00:00"/>
    <d v="2025-01-14T00:00:00"/>
    <x v="1"/>
    <x v="0"/>
    <n v="3"/>
    <x v="0"/>
    <x v="8"/>
    <x v="2"/>
    <x v="1"/>
    <x v="1"/>
  </r>
  <r>
    <x v="244"/>
    <x v="6"/>
    <x v="3"/>
    <n v="55.9"/>
    <n v="391.3"/>
    <d v="2025-01-11T00:00:00"/>
    <d v="2025-01-15T00:00:00"/>
    <x v="2"/>
    <x v="1"/>
    <n v="5"/>
    <x v="0"/>
    <x v="8"/>
    <x v="5"/>
    <x v="1"/>
    <x v="2"/>
  </r>
  <r>
    <x v="245"/>
    <x v="8"/>
    <x v="1"/>
    <n v="36.4"/>
    <n v="72.8"/>
    <d v="2025-01-11T00:00:00"/>
    <d v="2025-01-12T00:00:00"/>
    <x v="1"/>
    <x v="1"/>
    <n v="3"/>
    <x v="0"/>
    <x v="9"/>
    <x v="3"/>
    <x v="1"/>
    <x v="1"/>
  </r>
  <r>
    <x v="246"/>
    <x v="1"/>
    <x v="9"/>
    <n v="47.3"/>
    <n v="236.5"/>
    <d v="2025-01-11T00:00:00"/>
    <d v="2025-01-14T00:00:00"/>
    <x v="1"/>
    <x v="2"/>
    <n v="4"/>
    <x v="0"/>
    <x v="10"/>
    <x v="2"/>
    <x v="1"/>
    <x v="1"/>
  </r>
  <r>
    <x v="247"/>
    <x v="6"/>
    <x v="2"/>
    <n v="82.5"/>
    <n v="247.5"/>
    <d v="2025-01-11T00:00:00"/>
    <d v="2025-01-12T00:00:00"/>
    <x v="1"/>
    <x v="0"/>
    <n v="4"/>
    <x v="0"/>
    <x v="11"/>
    <x v="3"/>
    <x v="1"/>
    <x v="1"/>
  </r>
  <r>
    <x v="248"/>
    <x v="0"/>
    <x v="0"/>
    <n v="14.3"/>
    <n v="14.3"/>
    <d v="2025-01-11T00:00:00"/>
    <d v="2025-01-12T00:00:00"/>
    <x v="2"/>
    <x v="0"/>
    <n v="4"/>
    <x v="0"/>
    <x v="21"/>
    <x v="3"/>
    <x v="1"/>
    <x v="2"/>
  </r>
  <r>
    <x v="249"/>
    <x v="2"/>
    <x v="13"/>
    <n v="57.6"/>
    <n v="345.6"/>
    <d v="2025-01-11T00:00:00"/>
    <d v="2025-01-25T00:00:00"/>
    <x v="2"/>
    <x v="0"/>
    <n v="4"/>
    <x v="0"/>
    <x v="21"/>
    <x v="12"/>
    <x v="1"/>
    <x v="2"/>
  </r>
  <r>
    <x v="250"/>
    <x v="2"/>
    <x v="2"/>
    <n v="142.4"/>
    <n v="427.20000000000005"/>
    <d v="2025-01-11T00:00:00"/>
    <d v="2025-01-13T00:00:00"/>
    <x v="1"/>
    <x v="4"/>
    <n v="3"/>
    <x v="0"/>
    <x v="21"/>
    <x v="1"/>
    <x v="1"/>
    <x v="1"/>
  </r>
  <r>
    <x v="251"/>
    <x v="12"/>
    <x v="0"/>
    <n v="30.2"/>
    <n v="30.2"/>
    <d v="2025-01-11T00:00:00"/>
    <d v="2025-01-15T00:00:00"/>
    <x v="1"/>
    <x v="1"/>
    <n v="5"/>
    <x v="0"/>
    <x v="2"/>
    <x v="5"/>
    <x v="1"/>
    <x v="1"/>
  </r>
  <r>
    <x v="252"/>
    <x v="18"/>
    <x v="2"/>
    <n v="65.3"/>
    <n v="195.89999999999998"/>
    <d v="2025-01-11T00:00:00"/>
    <d v="2025-01-12T00:00:00"/>
    <x v="3"/>
    <x v="1"/>
    <n v="4"/>
    <x v="0"/>
    <x v="33"/>
    <x v="3"/>
    <x v="1"/>
    <x v="3"/>
  </r>
  <r>
    <x v="253"/>
    <x v="0"/>
    <x v="1"/>
    <n v="33.4"/>
    <n v="66.8"/>
    <d v="2025-01-11T00:00:00"/>
    <d v="2025-01-12T00:00:00"/>
    <x v="1"/>
    <x v="1"/>
    <n v="3"/>
    <x v="0"/>
    <x v="22"/>
    <x v="3"/>
    <x v="1"/>
    <x v="1"/>
  </r>
  <r>
    <x v="254"/>
    <x v="7"/>
    <x v="1"/>
    <n v="45.1"/>
    <n v="90.2"/>
    <d v="2025-01-11T00:00:00"/>
    <d v="2025-01-19T00:00:00"/>
    <x v="1"/>
    <x v="0"/>
    <n v="4"/>
    <x v="0"/>
    <x v="34"/>
    <x v="9"/>
    <x v="1"/>
    <x v="1"/>
  </r>
  <r>
    <x v="255"/>
    <x v="2"/>
    <x v="3"/>
    <n v="61.7"/>
    <n v="431.90000000000003"/>
    <d v="2025-01-11T00:00:00"/>
    <d v="2025-01-13T00:00:00"/>
    <x v="2"/>
    <x v="4"/>
    <n v="4"/>
    <x v="0"/>
    <x v="3"/>
    <x v="1"/>
    <x v="1"/>
    <x v="2"/>
  </r>
  <r>
    <x v="256"/>
    <x v="9"/>
    <x v="2"/>
    <n v="45.1"/>
    <n v="135.30000000000001"/>
    <d v="2025-01-12T00:00:00"/>
    <d v="2025-01-13T00:00:00"/>
    <x v="1"/>
    <x v="4"/>
    <n v="3"/>
    <x v="0"/>
    <x v="3"/>
    <x v="3"/>
    <x v="2"/>
    <x v="1"/>
  </r>
  <r>
    <x v="257"/>
    <x v="15"/>
    <x v="9"/>
    <n v="22.7"/>
    <n v="113.5"/>
    <d v="2025-01-12T00:00:00"/>
    <d v="2025-01-17T00:00:00"/>
    <x v="1"/>
    <x v="0"/>
    <n v="5"/>
    <x v="0"/>
    <x v="35"/>
    <x v="0"/>
    <x v="2"/>
    <x v="1"/>
  </r>
  <r>
    <x v="258"/>
    <x v="8"/>
    <x v="0"/>
    <n v="17.600000000000001"/>
    <n v="17.600000000000001"/>
    <d v="2025-01-12T00:00:00"/>
    <d v="2025-01-13T00:00:00"/>
    <x v="2"/>
    <x v="0"/>
    <n v="5"/>
    <x v="0"/>
    <x v="23"/>
    <x v="3"/>
    <x v="2"/>
    <x v="2"/>
  </r>
  <r>
    <x v="259"/>
    <x v="14"/>
    <x v="1"/>
    <n v="11.3"/>
    <n v="22.6"/>
    <d v="2025-01-12T00:00:00"/>
    <d v="2025-01-15T00:00:00"/>
    <x v="2"/>
    <x v="3"/>
    <n v="5"/>
    <x v="0"/>
    <x v="23"/>
    <x v="2"/>
    <x v="2"/>
    <x v="2"/>
  </r>
  <r>
    <x v="260"/>
    <x v="6"/>
    <x v="2"/>
    <n v="53.4"/>
    <n v="160.19999999999999"/>
    <d v="2025-01-12T00:00:00"/>
    <d v="2025-01-15T00:00:00"/>
    <x v="1"/>
    <x v="3"/>
    <n v="5"/>
    <x v="0"/>
    <x v="36"/>
    <x v="2"/>
    <x v="2"/>
    <x v="1"/>
  </r>
  <r>
    <x v="261"/>
    <x v="6"/>
    <x v="5"/>
    <n v="51.1"/>
    <n v="562.1"/>
    <d v="2025-01-12T00:00:00"/>
    <d v="2025-01-14T00:00:00"/>
    <x v="2"/>
    <x v="2"/>
    <n v="5"/>
    <x v="0"/>
    <x v="8"/>
    <x v="1"/>
    <x v="2"/>
    <x v="2"/>
  </r>
  <r>
    <x v="262"/>
    <x v="8"/>
    <x v="1"/>
    <n v="27.5"/>
    <n v="55"/>
    <d v="2025-01-12T00:00:00"/>
    <d v="2025-01-13T00:00:00"/>
    <x v="1"/>
    <x v="4"/>
    <n v="3"/>
    <x v="0"/>
    <x v="8"/>
    <x v="3"/>
    <x v="2"/>
    <x v="1"/>
  </r>
  <r>
    <x v="263"/>
    <x v="9"/>
    <x v="0"/>
    <n v="33.5"/>
    <n v="33.5"/>
    <d v="2025-01-12T00:00:00"/>
    <d v="2025-01-14T00:00:00"/>
    <x v="2"/>
    <x v="0"/>
    <n v="2"/>
    <x v="0"/>
    <x v="8"/>
    <x v="1"/>
    <x v="2"/>
    <x v="2"/>
  </r>
  <r>
    <x v="264"/>
    <x v="4"/>
    <x v="0"/>
    <n v="59.5"/>
    <n v="59.5"/>
    <d v="2025-01-12T00:00:00"/>
    <d v="2025-01-12T00:00:00"/>
    <x v="1"/>
    <x v="0"/>
    <n v="5"/>
    <x v="0"/>
    <x v="18"/>
    <x v="7"/>
    <x v="2"/>
    <x v="1"/>
  </r>
  <r>
    <x v="265"/>
    <x v="17"/>
    <x v="12"/>
    <n v="23.5"/>
    <n v="94"/>
    <d v="2025-01-12T00:00:00"/>
    <d v="2025-01-13T00:00:00"/>
    <x v="2"/>
    <x v="3"/>
    <n v="1"/>
    <x v="0"/>
    <x v="19"/>
    <x v="3"/>
    <x v="2"/>
    <x v="2"/>
  </r>
  <r>
    <x v="266"/>
    <x v="6"/>
    <x v="0"/>
    <n v="49.7"/>
    <n v="49.7"/>
    <d v="2025-01-12T00:00:00"/>
    <d v="2025-01-13T00:00:00"/>
    <x v="0"/>
    <x v="1"/>
    <n v="5"/>
    <x v="0"/>
    <x v="20"/>
    <x v="3"/>
    <x v="2"/>
    <x v="0"/>
  </r>
  <r>
    <x v="267"/>
    <x v="6"/>
    <x v="12"/>
    <n v="44.2"/>
    <n v="176.8"/>
    <d v="2025-01-12T00:00:00"/>
    <d v="2025-01-15T00:00:00"/>
    <x v="2"/>
    <x v="0"/>
    <n v="5"/>
    <x v="0"/>
    <x v="21"/>
    <x v="2"/>
    <x v="2"/>
    <x v="2"/>
  </r>
  <r>
    <x v="268"/>
    <x v="8"/>
    <x v="0"/>
    <n v="22.1"/>
    <n v="22.1"/>
    <d v="2025-01-12T00:00:00"/>
    <d v="2025-01-16T00:00:00"/>
    <x v="2"/>
    <x v="1"/>
    <n v="3"/>
    <x v="0"/>
    <x v="33"/>
    <x v="5"/>
    <x v="2"/>
    <x v="2"/>
  </r>
  <r>
    <x v="269"/>
    <x v="6"/>
    <x v="2"/>
    <n v="90.9"/>
    <n v="272.70000000000005"/>
    <d v="2025-01-12T00:00:00"/>
    <d v="2025-01-13T00:00:00"/>
    <x v="2"/>
    <x v="2"/>
    <n v="2"/>
    <x v="0"/>
    <x v="3"/>
    <x v="3"/>
    <x v="2"/>
    <x v="2"/>
  </r>
  <r>
    <x v="270"/>
    <x v="8"/>
    <x v="2"/>
    <n v="44.5"/>
    <n v="133.5"/>
    <d v="2025-01-12T00:00:00"/>
    <d v="2025-01-13T00:00:00"/>
    <x v="2"/>
    <x v="1"/>
    <n v="4"/>
    <x v="0"/>
    <x v="3"/>
    <x v="3"/>
    <x v="2"/>
    <x v="2"/>
  </r>
  <r>
    <x v="271"/>
    <x v="9"/>
    <x v="13"/>
    <n v="32.299999999999997"/>
    <n v="193.79999999999998"/>
    <d v="2025-01-12T00:00:00"/>
    <d v="2025-01-16T00:00:00"/>
    <x v="2"/>
    <x v="0"/>
    <n v="4"/>
    <x v="0"/>
    <x v="3"/>
    <x v="5"/>
    <x v="2"/>
    <x v="2"/>
  </r>
  <r>
    <x v="272"/>
    <x v="17"/>
    <x v="2"/>
    <n v="87.5"/>
    <n v="262.5"/>
    <d v="2025-01-12T00:00:00"/>
    <d v="2025-01-13T00:00:00"/>
    <x v="2"/>
    <x v="1"/>
    <n v="3"/>
    <x v="0"/>
    <x v="3"/>
    <x v="3"/>
    <x v="2"/>
    <x v="2"/>
  </r>
  <r>
    <x v="273"/>
    <x v="16"/>
    <x v="9"/>
    <n v="48.7"/>
    <n v="243.5"/>
    <d v="2025-01-12T00:00:00"/>
    <d v="2025-01-13T00:00:00"/>
    <x v="1"/>
    <x v="2"/>
    <n v="4"/>
    <x v="0"/>
    <x v="3"/>
    <x v="3"/>
    <x v="2"/>
    <x v="1"/>
  </r>
  <r>
    <x v="274"/>
    <x v="0"/>
    <x v="9"/>
    <n v="22.5"/>
    <n v="112.5"/>
    <d v="2025-01-12T00:00:00"/>
    <d v="2025-01-13T00:00:00"/>
    <x v="1"/>
    <x v="0"/>
    <n v="4"/>
    <x v="0"/>
    <x v="3"/>
    <x v="3"/>
    <x v="2"/>
    <x v="1"/>
  </r>
  <r>
    <x v="275"/>
    <x v="1"/>
    <x v="8"/>
    <n v="65.900000000000006"/>
    <n v="527.20000000000005"/>
    <d v="2025-01-12T00:00:00"/>
    <d v="2025-01-15T00:00:00"/>
    <x v="2"/>
    <x v="1"/>
    <n v="5"/>
    <x v="0"/>
    <x v="3"/>
    <x v="2"/>
    <x v="2"/>
    <x v="2"/>
  </r>
  <r>
    <x v="276"/>
    <x v="6"/>
    <x v="9"/>
    <n v="41.9"/>
    <n v="209.5"/>
    <d v="2025-01-12T00:00:00"/>
    <d v="2025-01-19T00:00:00"/>
    <x v="0"/>
    <x v="0"/>
    <n v="4"/>
    <x v="0"/>
    <x v="3"/>
    <x v="6"/>
    <x v="2"/>
    <x v="0"/>
  </r>
  <r>
    <x v="277"/>
    <x v="1"/>
    <x v="9"/>
    <n v="67.5"/>
    <n v="337.5"/>
    <d v="2025-01-12T00:00:00"/>
    <d v="2025-01-13T00:00:00"/>
    <x v="2"/>
    <x v="0"/>
    <n v="5"/>
    <x v="0"/>
    <x v="3"/>
    <x v="3"/>
    <x v="2"/>
    <x v="2"/>
  </r>
  <r>
    <x v="278"/>
    <x v="9"/>
    <x v="0"/>
    <n v="60.4"/>
    <n v="60.4"/>
    <d v="2025-01-13T00:00:00"/>
    <d v="2025-01-15T00:00:00"/>
    <x v="2"/>
    <x v="1"/>
    <n v="3"/>
    <x v="0"/>
    <x v="3"/>
    <x v="1"/>
    <x v="2"/>
    <x v="2"/>
  </r>
  <r>
    <x v="279"/>
    <x v="1"/>
    <x v="3"/>
    <n v="30.4"/>
    <n v="212.79999999999998"/>
    <d v="2025-01-13T00:00:00"/>
    <d v="2025-01-16T00:00:00"/>
    <x v="2"/>
    <x v="4"/>
    <n v="4"/>
    <x v="0"/>
    <x v="3"/>
    <x v="2"/>
    <x v="2"/>
    <x v="2"/>
  </r>
  <r>
    <x v="280"/>
    <x v="14"/>
    <x v="1"/>
    <n v="24.5"/>
    <n v="49"/>
    <d v="2025-01-13T00:00:00"/>
    <d v="2025-01-14T00:00:00"/>
    <x v="1"/>
    <x v="3"/>
    <n v="5"/>
    <x v="0"/>
    <x v="3"/>
    <x v="3"/>
    <x v="2"/>
    <x v="1"/>
  </r>
  <r>
    <x v="281"/>
    <x v="2"/>
    <x v="2"/>
    <n v="105.9"/>
    <n v="317.70000000000005"/>
    <d v="2025-01-13T00:00:00"/>
    <d v="2025-01-18T00:00:00"/>
    <x v="1"/>
    <x v="0"/>
    <n v="4"/>
    <x v="0"/>
    <x v="37"/>
    <x v="0"/>
    <x v="2"/>
    <x v="1"/>
  </r>
  <r>
    <x v="282"/>
    <x v="10"/>
    <x v="25"/>
    <n v="25.9"/>
    <n v="621.59999999999991"/>
    <d v="2025-01-13T00:00:00"/>
    <d v="2025-01-14T00:00:00"/>
    <x v="2"/>
    <x v="4"/>
    <n v="4"/>
    <x v="0"/>
    <x v="23"/>
    <x v="3"/>
    <x v="2"/>
    <x v="2"/>
  </r>
  <r>
    <x v="283"/>
    <x v="6"/>
    <x v="2"/>
    <n v="66.8"/>
    <n v="200.39999999999998"/>
    <d v="2025-01-13T00:00:00"/>
    <d v="2025-01-13T00:00:00"/>
    <x v="1"/>
    <x v="0"/>
    <n v="4"/>
    <x v="0"/>
    <x v="23"/>
    <x v="7"/>
    <x v="2"/>
    <x v="1"/>
  </r>
  <r>
    <x v="284"/>
    <x v="6"/>
    <x v="2"/>
    <n v="112.3"/>
    <n v="336.9"/>
    <d v="2025-01-13T00:00:00"/>
    <d v="2025-01-14T00:00:00"/>
    <x v="1"/>
    <x v="2"/>
    <n v="2"/>
    <x v="0"/>
    <x v="6"/>
    <x v="3"/>
    <x v="2"/>
    <x v="1"/>
  </r>
  <r>
    <x v="285"/>
    <x v="1"/>
    <x v="13"/>
    <n v="94.1"/>
    <n v="564.59999999999991"/>
    <d v="2025-01-13T00:00:00"/>
    <d v="2025-01-14T00:00:00"/>
    <x v="2"/>
    <x v="0"/>
    <n v="2"/>
    <x v="0"/>
    <x v="6"/>
    <x v="3"/>
    <x v="2"/>
    <x v="2"/>
  </r>
  <r>
    <x v="286"/>
    <x v="5"/>
    <x v="0"/>
    <n v="40.700000000000003"/>
    <n v="40.700000000000003"/>
    <d v="2025-01-13T00:00:00"/>
    <d v="2025-01-16T00:00:00"/>
    <x v="2"/>
    <x v="2"/>
    <n v="4"/>
    <x v="0"/>
    <x v="6"/>
    <x v="2"/>
    <x v="2"/>
    <x v="2"/>
  </r>
  <r>
    <x v="287"/>
    <x v="3"/>
    <x v="1"/>
    <n v="71.400000000000006"/>
    <n v="142.80000000000001"/>
    <d v="2025-01-13T00:00:00"/>
    <d v="2025-01-14T00:00:00"/>
    <x v="1"/>
    <x v="0"/>
    <n v="4"/>
    <x v="0"/>
    <x v="7"/>
    <x v="3"/>
    <x v="2"/>
    <x v="1"/>
  </r>
  <r>
    <x v="288"/>
    <x v="0"/>
    <x v="16"/>
    <n v="15.6"/>
    <n v="280.8"/>
    <d v="2025-01-13T00:00:00"/>
    <d v="2025-01-14T00:00:00"/>
    <x v="1"/>
    <x v="1"/>
    <n v="1"/>
    <x v="0"/>
    <x v="8"/>
    <x v="3"/>
    <x v="2"/>
    <x v="1"/>
  </r>
  <r>
    <x v="289"/>
    <x v="10"/>
    <x v="12"/>
    <n v="37.799999999999997"/>
    <n v="151.19999999999999"/>
    <d v="2025-01-13T00:00:00"/>
    <d v="2025-01-14T00:00:00"/>
    <x v="1"/>
    <x v="2"/>
    <n v="5"/>
    <x v="0"/>
    <x v="8"/>
    <x v="3"/>
    <x v="2"/>
    <x v="1"/>
  </r>
  <r>
    <x v="290"/>
    <x v="4"/>
    <x v="2"/>
    <n v="28.1"/>
    <n v="84.300000000000011"/>
    <d v="2025-01-13T00:00:00"/>
    <d v="2025-01-17T00:00:00"/>
    <x v="1"/>
    <x v="0"/>
    <n v="4"/>
    <x v="0"/>
    <x v="8"/>
    <x v="5"/>
    <x v="2"/>
    <x v="1"/>
  </r>
  <r>
    <x v="291"/>
    <x v="7"/>
    <x v="13"/>
    <n v="51.4"/>
    <n v="308.39999999999998"/>
    <d v="2025-01-13T00:00:00"/>
    <d v="2025-01-17T00:00:00"/>
    <x v="1"/>
    <x v="0"/>
    <n v="4"/>
    <x v="0"/>
    <x v="8"/>
    <x v="5"/>
    <x v="2"/>
    <x v="1"/>
  </r>
  <r>
    <x v="292"/>
    <x v="7"/>
    <x v="1"/>
    <n v="97.7"/>
    <n v="195.4"/>
    <d v="2025-01-13T00:00:00"/>
    <d v="2025-01-15T00:00:00"/>
    <x v="2"/>
    <x v="4"/>
    <n v="5"/>
    <x v="0"/>
    <x v="17"/>
    <x v="1"/>
    <x v="2"/>
    <x v="2"/>
  </r>
  <r>
    <x v="293"/>
    <x v="1"/>
    <x v="12"/>
    <n v="63.8"/>
    <n v="255.2"/>
    <d v="2025-01-13T00:00:00"/>
    <d v="2025-01-14T00:00:00"/>
    <x v="1"/>
    <x v="2"/>
    <n v="4"/>
    <x v="0"/>
    <x v="38"/>
    <x v="3"/>
    <x v="2"/>
    <x v="1"/>
  </r>
  <r>
    <x v="294"/>
    <x v="13"/>
    <x v="1"/>
    <n v="20.100000000000001"/>
    <n v="40.200000000000003"/>
    <d v="2025-01-13T00:00:00"/>
    <d v="2025-01-15T00:00:00"/>
    <x v="1"/>
    <x v="0"/>
    <n v="5"/>
    <x v="0"/>
    <x v="20"/>
    <x v="1"/>
    <x v="2"/>
    <x v="1"/>
  </r>
  <r>
    <x v="295"/>
    <x v="11"/>
    <x v="2"/>
    <n v="50.4"/>
    <n v="151.19999999999999"/>
    <d v="2025-01-13T00:00:00"/>
    <d v="2025-01-16T00:00:00"/>
    <x v="2"/>
    <x v="3"/>
    <n v="4"/>
    <x v="0"/>
    <x v="13"/>
    <x v="2"/>
    <x v="2"/>
    <x v="2"/>
  </r>
  <r>
    <x v="296"/>
    <x v="0"/>
    <x v="0"/>
    <n v="16.2"/>
    <n v="16.2"/>
    <d v="2025-01-13T00:00:00"/>
    <d v="2025-01-26T00:00:00"/>
    <x v="2"/>
    <x v="1"/>
    <n v="4"/>
    <x v="0"/>
    <x v="1"/>
    <x v="10"/>
    <x v="2"/>
    <x v="2"/>
  </r>
  <r>
    <x v="297"/>
    <x v="6"/>
    <x v="3"/>
    <n v="80.900000000000006"/>
    <n v="566.30000000000007"/>
    <d v="2025-01-13T00:00:00"/>
    <d v="2025-01-15T00:00:00"/>
    <x v="1"/>
    <x v="4"/>
    <n v="2"/>
    <x v="0"/>
    <x v="2"/>
    <x v="1"/>
    <x v="2"/>
    <x v="1"/>
  </r>
  <r>
    <x v="298"/>
    <x v="9"/>
    <x v="13"/>
    <n v="95.2"/>
    <n v="571.20000000000005"/>
    <d v="2025-01-13T00:00:00"/>
    <d v="2025-01-15T00:00:00"/>
    <x v="2"/>
    <x v="0"/>
    <n v="5"/>
    <x v="0"/>
    <x v="2"/>
    <x v="1"/>
    <x v="2"/>
    <x v="2"/>
  </r>
  <r>
    <x v="299"/>
    <x v="5"/>
    <x v="8"/>
    <n v="70.400000000000006"/>
    <n v="563.20000000000005"/>
    <d v="2025-01-13T00:00:00"/>
    <d v="2025-01-14T00:00:00"/>
    <x v="1"/>
    <x v="1"/>
    <n v="3"/>
    <x v="0"/>
    <x v="3"/>
    <x v="3"/>
    <x v="2"/>
    <x v="1"/>
  </r>
  <r>
    <x v="300"/>
    <x v="0"/>
    <x v="9"/>
    <n v="10.7"/>
    <n v="53.5"/>
    <d v="2025-01-13T00:00:00"/>
    <d v="2025-01-17T00:00:00"/>
    <x v="2"/>
    <x v="2"/>
    <n v="4"/>
    <x v="0"/>
    <x v="3"/>
    <x v="5"/>
    <x v="2"/>
    <x v="2"/>
  </r>
  <r>
    <x v="301"/>
    <x v="8"/>
    <x v="9"/>
    <n v="19.600000000000001"/>
    <n v="98"/>
    <d v="2025-01-13T00:00:00"/>
    <d v="2025-01-15T00:00:00"/>
    <x v="2"/>
    <x v="0"/>
    <n v="1"/>
    <x v="0"/>
    <x v="3"/>
    <x v="1"/>
    <x v="2"/>
    <x v="2"/>
  </r>
  <r>
    <x v="302"/>
    <x v="8"/>
    <x v="5"/>
    <n v="34.700000000000003"/>
    <n v="381.70000000000005"/>
    <d v="2025-01-13T00:00:00"/>
    <d v="2025-01-15T00:00:00"/>
    <x v="2"/>
    <x v="0"/>
    <n v="5"/>
    <x v="0"/>
    <x v="3"/>
    <x v="1"/>
    <x v="2"/>
    <x v="2"/>
  </r>
  <r>
    <x v="303"/>
    <x v="10"/>
    <x v="11"/>
    <n v="34.1"/>
    <n v="306.90000000000003"/>
    <d v="2025-01-13T00:00:00"/>
    <d v="2025-01-14T00:00:00"/>
    <x v="2"/>
    <x v="4"/>
    <n v="3"/>
    <x v="0"/>
    <x v="3"/>
    <x v="3"/>
    <x v="2"/>
    <x v="2"/>
  </r>
  <r>
    <x v="304"/>
    <x v="0"/>
    <x v="26"/>
    <n v="29.3"/>
    <n v="1435.7"/>
    <d v="2025-01-13T00:00:00"/>
    <d v="2025-01-13T00:00:00"/>
    <x v="1"/>
    <x v="0"/>
    <n v="3"/>
    <x v="0"/>
    <x v="3"/>
    <x v="7"/>
    <x v="2"/>
    <x v="1"/>
  </r>
  <r>
    <x v="305"/>
    <x v="1"/>
    <x v="0"/>
    <n v="55.2"/>
    <n v="55.2"/>
    <d v="2025-01-13T00:00:00"/>
    <d v="2025-01-14T00:00:00"/>
    <x v="2"/>
    <x v="0"/>
    <n v="3"/>
    <x v="0"/>
    <x v="3"/>
    <x v="3"/>
    <x v="2"/>
    <x v="2"/>
  </r>
  <r>
    <x v="306"/>
    <x v="18"/>
    <x v="2"/>
    <n v="26"/>
    <n v="78"/>
    <d v="2025-01-13T00:00:00"/>
    <d v="2025-01-16T00:00:00"/>
    <x v="2"/>
    <x v="0"/>
    <n v="5"/>
    <x v="0"/>
    <x v="3"/>
    <x v="2"/>
    <x v="2"/>
    <x v="2"/>
  </r>
  <r>
    <x v="307"/>
    <x v="14"/>
    <x v="1"/>
    <n v="14.2"/>
    <n v="28.4"/>
    <d v="2025-01-13T00:00:00"/>
    <d v="2025-01-18T00:00:00"/>
    <x v="2"/>
    <x v="3"/>
    <n v="4"/>
    <x v="0"/>
    <x v="39"/>
    <x v="0"/>
    <x v="2"/>
    <x v="2"/>
  </r>
  <r>
    <x v="308"/>
    <x v="8"/>
    <x v="11"/>
    <n v="22.7"/>
    <n v="204.29999999999998"/>
    <d v="2025-01-14T00:00:00"/>
    <d v="2025-01-15T00:00:00"/>
    <x v="1"/>
    <x v="1"/>
    <n v="4"/>
    <x v="0"/>
    <x v="6"/>
    <x v="3"/>
    <x v="2"/>
    <x v="1"/>
  </r>
  <r>
    <x v="309"/>
    <x v="0"/>
    <x v="20"/>
    <n v="19.8"/>
    <n v="297"/>
    <d v="2025-01-14T00:00:00"/>
    <d v="2025-01-14T00:00:00"/>
    <x v="2"/>
    <x v="0"/>
    <n v="5"/>
    <x v="0"/>
    <x v="6"/>
    <x v="7"/>
    <x v="2"/>
    <x v="2"/>
  </r>
  <r>
    <x v="310"/>
    <x v="0"/>
    <x v="2"/>
    <n v="31.7"/>
    <n v="95.1"/>
    <d v="2025-01-14T00:00:00"/>
    <d v="2025-01-15T00:00:00"/>
    <x v="1"/>
    <x v="2"/>
    <n v="4"/>
    <x v="0"/>
    <x v="6"/>
    <x v="3"/>
    <x v="2"/>
    <x v="1"/>
  </r>
  <r>
    <x v="311"/>
    <x v="8"/>
    <x v="12"/>
    <n v="30.4"/>
    <n v="121.6"/>
    <d v="2025-01-14T00:00:00"/>
    <d v="2025-01-18T00:00:00"/>
    <x v="1"/>
    <x v="0"/>
    <n v="4"/>
    <x v="0"/>
    <x v="6"/>
    <x v="5"/>
    <x v="2"/>
    <x v="1"/>
  </r>
  <r>
    <x v="312"/>
    <x v="0"/>
    <x v="12"/>
    <n v="25.6"/>
    <n v="102.4"/>
    <d v="2025-01-14T00:00:00"/>
    <d v="2025-01-15T00:00:00"/>
    <x v="1"/>
    <x v="3"/>
    <n v="4"/>
    <x v="0"/>
    <x v="8"/>
    <x v="3"/>
    <x v="2"/>
    <x v="1"/>
  </r>
  <r>
    <x v="313"/>
    <x v="5"/>
    <x v="1"/>
    <n v="34.9"/>
    <n v="69.8"/>
    <d v="2025-01-14T00:00:00"/>
    <d v="2025-01-15T00:00:00"/>
    <x v="2"/>
    <x v="2"/>
    <n v="4"/>
    <x v="0"/>
    <x v="9"/>
    <x v="3"/>
    <x v="2"/>
    <x v="2"/>
  </r>
  <r>
    <x v="314"/>
    <x v="7"/>
    <x v="13"/>
    <n v="42.7"/>
    <n v="256.20000000000005"/>
    <d v="2025-01-14T00:00:00"/>
    <d v="2025-01-17T00:00:00"/>
    <x v="1"/>
    <x v="2"/>
    <n v="3"/>
    <x v="0"/>
    <x v="11"/>
    <x v="2"/>
    <x v="2"/>
    <x v="1"/>
  </r>
  <r>
    <x v="315"/>
    <x v="8"/>
    <x v="0"/>
    <n v="23.9"/>
    <n v="23.9"/>
    <d v="2025-01-14T00:00:00"/>
    <d v="2025-01-16T00:00:00"/>
    <x v="2"/>
    <x v="3"/>
    <n v="4"/>
    <x v="0"/>
    <x v="11"/>
    <x v="1"/>
    <x v="2"/>
    <x v="2"/>
  </r>
  <r>
    <x v="316"/>
    <x v="6"/>
    <x v="0"/>
    <n v="124.3"/>
    <n v="124.3"/>
    <d v="2025-01-14T00:00:00"/>
    <d v="2025-01-15T00:00:00"/>
    <x v="0"/>
    <x v="2"/>
    <n v="3"/>
    <x v="0"/>
    <x v="21"/>
    <x v="3"/>
    <x v="2"/>
    <x v="0"/>
  </r>
  <r>
    <x v="317"/>
    <x v="8"/>
    <x v="13"/>
    <n v="35.9"/>
    <n v="215.39999999999998"/>
    <d v="2025-01-14T00:00:00"/>
    <d v="2025-01-15T00:00:00"/>
    <x v="2"/>
    <x v="0"/>
    <n v="3"/>
    <x v="0"/>
    <x v="1"/>
    <x v="3"/>
    <x v="2"/>
    <x v="2"/>
  </r>
  <r>
    <x v="318"/>
    <x v="2"/>
    <x v="1"/>
    <n v="69.099999999999994"/>
    <n v="138.19999999999999"/>
    <d v="2025-01-14T00:00:00"/>
    <d v="2025-01-17T00:00:00"/>
    <x v="2"/>
    <x v="0"/>
    <n v="5"/>
    <x v="0"/>
    <x v="22"/>
    <x v="2"/>
    <x v="2"/>
    <x v="2"/>
  </r>
  <r>
    <x v="319"/>
    <x v="7"/>
    <x v="0"/>
    <n v="58.4"/>
    <n v="58.4"/>
    <d v="2025-01-14T00:00:00"/>
    <d v="2025-01-18T00:00:00"/>
    <x v="1"/>
    <x v="0"/>
    <n v="4"/>
    <x v="0"/>
    <x v="22"/>
    <x v="5"/>
    <x v="2"/>
    <x v="1"/>
  </r>
  <r>
    <x v="320"/>
    <x v="5"/>
    <x v="0"/>
    <n v="65.2"/>
    <n v="65.2"/>
    <d v="2025-01-14T00:00:00"/>
    <d v="2025-01-16T00:00:00"/>
    <x v="3"/>
    <x v="4"/>
    <n v="2"/>
    <x v="0"/>
    <x v="3"/>
    <x v="1"/>
    <x v="2"/>
    <x v="3"/>
  </r>
  <r>
    <x v="321"/>
    <x v="8"/>
    <x v="14"/>
    <n v="32.700000000000003"/>
    <n v="555.90000000000009"/>
    <d v="2025-01-14T00:00:00"/>
    <d v="2025-01-21T00:00:00"/>
    <x v="0"/>
    <x v="4"/>
    <n v="4"/>
    <x v="0"/>
    <x v="3"/>
    <x v="6"/>
    <x v="2"/>
    <x v="0"/>
  </r>
  <r>
    <x v="322"/>
    <x v="10"/>
    <x v="3"/>
    <n v="24.4"/>
    <n v="170.79999999999998"/>
    <d v="2025-01-14T00:00:00"/>
    <d v="2025-01-15T00:00:00"/>
    <x v="2"/>
    <x v="0"/>
    <n v="4"/>
    <x v="0"/>
    <x v="3"/>
    <x v="3"/>
    <x v="2"/>
    <x v="2"/>
  </r>
  <r>
    <x v="323"/>
    <x v="14"/>
    <x v="1"/>
    <n v="50.4"/>
    <n v="100.8"/>
    <d v="2025-01-14T00:00:00"/>
    <d v="2025-01-20T00:00:00"/>
    <x v="1"/>
    <x v="0"/>
    <n v="3"/>
    <x v="0"/>
    <x v="3"/>
    <x v="4"/>
    <x v="2"/>
    <x v="1"/>
  </r>
  <r>
    <x v="324"/>
    <x v="1"/>
    <x v="1"/>
    <n v="100"/>
    <n v="200"/>
    <d v="2025-01-14T00:00:00"/>
    <d v="2025-01-15T00:00:00"/>
    <x v="2"/>
    <x v="0"/>
    <n v="4"/>
    <x v="0"/>
    <x v="3"/>
    <x v="3"/>
    <x v="2"/>
    <x v="2"/>
  </r>
  <r>
    <x v="325"/>
    <x v="10"/>
    <x v="2"/>
    <n v="43"/>
    <n v="129"/>
    <d v="2025-01-15T00:00:00"/>
    <d v="2025-01-15T00:00:00"/>
    <x v="2"/>
    <x v="2"/>
    <n v="3"/>
    <x v="0"/>
    <x v="3"/>
    <x v="7"/>
    <x v="2"/>
    <x v="2"/>
  </r>
  <r>
    <x v="326"/>
    <x v="1"/>
    <x v="9"/>
    <n v="64.400000000000006"/>
    <n v="322"/>
    <d v="2025-01-15T00:00:00"/>
    <d v="2025-01-17T00:00:00"/>
    <x v="1"/>
    <x v="2"/>
    <n v="3"/>
    <x v="0"/>
    <x v="3"/>
    <x v="1"/>
    <x v="2"/>
    <x v="1"/>
  </r>
  <r>
    <x v="327"/>
    <x v="18"/>
    <x v="1"/>
    <n v="57.4"/>
    <n v="114.8"/>
    <d v="2025-01-15T00:00:00"/>
    <d v="2025-01-16T00:00:00"/>
    <x v="1"/>
    <x v="2"/>
    <n v="3"/>
    <x v="0"/>
    <x v="3"/>
    <x v="3"/>
    <x v="2"/>
    <x v="1"/>
  </r>
  <r>
    <x v="328"/>
    <x v="2"/>
    <x v="2"/>
    <n v="55.1"/>
    <n v="165.3"/>
    <d v="2025-01-15T00:00:00"/>
    <d v="2025-01-18T00:00:00"/>
    <x v="2"/>
    <x v="1"/>
    <n v="4"/>
    <x v="0"/>
    <x v="3"/>
    <x v="2"/>
    <x v="2"/>
    <x v="2"/>
  </r>
  <r>
    <x v="329"/>
    <x v="7"/>
    <x v="12"/>
    <n v="45.4"/>
    <n v="181.6"/>
    <d v="2025-01-15T00:00:00"/>
    <d v="2025-01-16T00:00:00"/>
    <x v="2"/>
    <x v="1"/>
    <n v="4"/>
    <x v="0"/>
    <x v="3"/>
    <x v="3"/>
    <x v="2"/>
    <x v="2"/>
  </r>
  <r>
    <x v="330"/>
    <x v="3"/>
    <x v="2"/>
    <n v="93.3"/>
    <n v="279.89999999999998"/>
    <d v="2025-01-15T00:00:00"/>
    <d v="2025-01-16T00:00:00"/>
    <x v="2"/>
    <x v="0"/>
    <n v="4"/>
    <x v="0"/>
    <x v="40"/>
    <x v="3"/>
    <x v="2"/>
    <x v="2"/>
  </r>
  <r>
    <x v="331"/>
    <x v="2"/>
    <x v="10"/>
    <n v="158.19999999999999"/>
    <n v="3005.7999999999997"/>
    <d v="2025-01-15T00:00:00"/>
    <d v="2025-01-16T00:00:00"/>
    <x v="2"/>
    <x v="1"/>
    <n v="5"/>
    <x v="0"/>
    <x v="16"/>
    <x v="3"/>
    <x v="2"/>
    <x v="2"/>
  </r>
  <r>
    <x v="332"/>
    <x v="2"/>
    <x v="1"/>
    <n v="74.900000000000006"/>
    <n v="149.80000000000001"/>
    <d v="2025-01-15T00:00:00"/>
    <d v="2025-01-17T00:00:00"/>
    <x v="1"/>
    <x v="3"/>
    <n v="4"/>
    <x v="0"/>
    <x v="6"/>
    <x v="1"/>
    <x v="2"/>
    <x v="1"/>
  </r>
  <r>
    <x v="333"/>
    <x v="8"/>
    <x v="3"/>
    <n v="26"/>
    <n v="182"/>
    <d v="2025-01-15T00:00:00"/>
    <d v="2025-01-18T00:00:00"/>
    <x v="2"/>
    <x v="1"/>
    <n v="4"/>
    <x v="0"/>
    <x v="8"/>
    <x v="2"/>
    <x v="2"/>
    <x v="2"/>
  </r>
  <r>
    <x v="334"/>
    <x v="9"/>
    <x v="13"/>
    <n v="37.5"/>
    <n v="225"/>
    <d v="2025-01-15T00:00:00"/>
    <d v="2025-01-16T00:00:00"/>
    <x v="2"/>
    <x v="0"/>
    <n v="3"/>
    <x v="0"/>
    <x v="8"/>
    <x v="3"/>
    <x v="2"/>
    <x v="2"/>
  </r>
  <r>
    <x v="335"/>
    <x v="6"/>
    <x v="1"/>
    <n v="75.8"/>
    <n v="151.6"/>
    <d v="2025-01-15T00:00:00"/>
    <d v="2025-01-21T00:00:00"/>
    <x v="1"/>
    <x v="0"/>
    <n v="4"/>
    <x v="0"/>
    <x v="8"/>
    <x v="4"/>
    <x v="2"/>
    <x v="1"/>
  </r>
  <r>
    <x v="336"/>
    <x v="7"/>
    <x v="0"/>
    <n v="48.5"/>
    <n v="48.5"/>
    <d v="2025-01-15T00:00:00"/>
    <d v="2025-01-27T00:00:00"/>
    <x v="0"/>
    <x v="4"/>
    <n v="5"/>
    <x v="0"/>
    <x v="8"/>
    <x v="13"/>
    <x v="2"/>
    <x v="0"/>
  </r>
  <r>
    <x v="337"/>
    <x v="6"/>
    <x v="2"/>
    <n v="98.9"/>
    <n v="296.70000000000005"/>
    <d v="2025-01-15T00:00:00"/>
    <d v="2025-01-17T00:00:00"/>
    <x v="2"/>
    <x v="4"/>
    <n v="3"/>
    <x v="0"/>
    <x v="8"/>
    <x v="1"/>
    <x v="2"/>
    <x v="2"/>
  </r>
  <r>
    <x v="338"/>
    <x v="1"/>
    <x v="4"/>
    <n v="50.9"/>
    <n v="610.79999999999995"/>
    <d v="2025-01-15T00:00:00"/>
    <d v="2025-01-15T00:00:00"/>
    <x v="1"/>
    <x v="4"/>
    <n v="4"/>
    <x v="0"/>
    <x v="8"/>
    <x v="7"/>
    <x v="2"/>
    <x v="1"/>
  </r>
  <r>
    <x v="339"/>
    <x v="12"/>
    <x v="13"/>
    <n v="84.7"/>
    <n v="508.20000000000005"/>
    <d v="2025-01-15T00:00:00"/>
    <d v="2025-01-15T00:00:00"/>
    <x v="2"/>
    <x v="2"/>
    <n v="4"/>
    <x v="0"/>
    <x v="8"/>
    <x v="7"/>
    <x v="2"/>
    <x v="2"/>
  </r>
  <r>
    <x v="340"/>
    <x v="8"/>
    <x v="0"/>
    <n v="20.7"/>
    <n v="20.7"/>
    <d v="2025-01-15T00:00:00"/>
    <d v="2025-01-17T00:00:00"/>
    <x v="2"/>
    <x v="3"/>
    <n v="5"/>
    <x v="0"/>
    <x v="8"/>
    <x v="1"/>
    <x v="2"/>
    <x v="2"/>
  </r>
  <r>
    <x v="341"/>
    <x v="12"/>
    <x v="11"/>
    <n v="57.8"/>
    <n v="520.19999999999993"/>
    <d v="2025-01-15T00:00:00"/>
    <d v="2025-01-26T00:00:00"/>
    <x v="1"/>
    <x v="0"/>
    <n v="2"/>
    <x v="0"/>
    <x v="17"/>
    <x v="11"/>
    <x v="2"/>
    <x v="1"/>
  </r>
  <r>
    <x v="342"/>
    <x v="2"/>
    <x v="1"/>
    <n v="106.9"/>
    <n v="213.8"/>
    <d v="2025-01-15T00:00:00"/>
    <d v="2025-01-17T00:00:00"/>
    <x v="2"/>
    <x v="0"/>
    <n v="5"/>
    <x v="0"/>
    <x v="41"/>
    <x v="1"/>
    <x v="2"/>
    <x v="2"/>
  </r>
  <r>
    <x v="343"/>
    <x v="3"/>
    <x v="9"/>
    <n v="45.2"/>
    <n v="226"/>
    <d v="2025-01-15T00:00:00"/>
    <d v="2025-01-19T00:00:00"/>
    <x v="2"/>
    <x v="1"/>
    <n v="4"/>
    <x v="0"/>
    <x v="21"/>
    <x v="5"/>
    <x v="2"/>
    <x v="2"/>
  </r>
  <r>
    <x v="344"/>
    <x v="8"/>
    <x v="15"/>
    <n v="34.6"/>
    <n v="449.8"/>
    <d v="2025-01-15T00:00:00"/>
    <d v="2025-01-15T00:00:00"/>
    <x v="2"/>
    <x v="1"/>
    <n v="3"/>
    <x v="0"/>
    <x v="21"/>
    <x v="7"/>
    <x v="2"/>
    <x v="2"/>
  </r>
  <r>
    <x v="345"/>
    <x v="15"/>
    <x v="0"/>
    <n v="43.8"/>
    <n v="43.8"/>
    <d v="2025-01-15T00:00:00"/>
    <d v="2025-01-17T00:00:00"/>
    <x v="0"/>
    <x v="0"/>
    <n v="5"/>
    <x v="0"/>
    <x v="21"/>
    <x v="1"/>
    <x v="2"/>
    <x v="0"/>
  </r>
  <r>
    <x v="346"/>
    <x v="15"/>
    <x v="0"/>
    <n v="20.399999999999999"/>
    <n v="20.399999999999999"/>
    <d v="2025-01-15T00:00:00"/>
    <d v="2025-01-17T00:00:00"/>
    <x v="1"/>
    <x v="4"/>
    <n v="3"/>
    <x v="0"/>
    <x v="21"/>
    <x v="1"/>
    <x v="2"/>
    <x v="1"/>
  </r>
  <r>
    <x v="347"/>
    <x v="1"/>
    <x v="0"/>
    <n v="36.700000000000003"/>
    <n v="36.700000000000003"/>
    <d v="2025-01-15T00:00:00"/>
    <d v="2025-01-16T00:00:00"/>
    <x v="1"/>
    <x v="0"/>
    <n v="3"/>
    <x v="0"/>
    <x v="1"/>
    <x v="3"/>
    <x v="2"/>
    <x v="1"/>
  </r>
  <r>
    <x v="348"/>
    <x v="8"/>
    <x v="2"/>
    <n v="27.2"/>
    <n v="81.599999999999994"/>
    <d v="2025-01-15T00:00:00"/>
    <d v="2025-01-19T00:00:00"/>
    <x v="1"/>
    <x v="0"/>
    <n v="5"/>
    <x v="0"/>
    <x v="1"/>
    <x v="5"/>
    <x v="2"/>
    <x v="1"/>
  </r>
  <r>
    <x v="349"/>
    <x v="6"/>
    <x v="0"/>
    <n v="58.2"/>
    <n v="58.2"/>
    <d v="2025-01-15T00:00:00"/>
    <d v="2025-01-16T00:00:00"/>
    <x v="2"/>
    <x v="0"/>
    <n v="5"/>
    <x v="0"/>
    <x v="42"/>
    <x v="3"/>
    <x v="2"/>
    <x v="2"/>
  </r>
  <r>
    <x v="350"/>
    <x v="8"/>
    <x v="2"/>
    <n v="25.6"/>
    <n v="76.800000000000011"/>
    <d v="2025-01-15T00:00:00"/>
    <d v="2025-01-16T00:00:00"/>
    <x v="1"/>
    <x v="4"/>
    <n v="2"/>
    <x v="0"/>
    <x v="2"/>
    <x v="3"/>
    <x v="2"/>
    <x v="1"/>
  </r>
  <r>
    <x v="351"/>
    <x v="10"/>
    <x v="0"/>
    <n v="21.2"/>
    <n v="21.2"/>
    <d v="2025-01-15T00:00:00"/>
    <d v="2025-01-15T00:00:00"/>
    <x v="2"/>
    <x v="1"/>
    <n v="5"/>
    <x v="0"/>
    <x v="3"/>
    <x v="7"/>
    <x v="2"/>
    <x v="2"/>
  </r>
  <r>
    <x v="352"/>
    <x v="6"/>
    <x v="1"/>
    <n v="48.2"/>
    <n v="96.4"/>
    <d v="2025-01-15T00:00:00"/>
    <d v="2025-01-23T00:00:00"/>
    <x v="2"/>
    <x v="0"/>
    <n v="5"/>
    <x v="0"/>
    <x v="3"/>
    <x v="9"/>
    <x v="2"/>
    <x v="2"/>
  </r>
  <r>
    <x v="353"/>
    <x v="1"/>
    <x v="12"/>
    <n v="83.4"/>
    <n v="333.6"/>
    <d v="2025-01-16T00:00:00"/>
    <d v="2025-01-17T00:00:00"/>
    <x v="1"/>
    <x v="0"/>
    <n v="4"/>
    <x v="0"/>
    <x v="3"/>
    <x v="3"/>
    <x v="2"/>
    <x v="1"/>
  </r>
  <r>
    <x v="354"/>
    <x v="9"/>
    <x v="2"/>
    <n v="45.3"/>
    <n v="135.89999999999998"/>
    <d v="2025-01-16T00:00:00"/>
    <d v="2025-01-22T00:00:00"/>
    <x v="1"/>
    <x v="2"/>
    <n v="3"/>
    <x v="0"/>
    <x v="3"/>
    <x v="4"/>
    <x v="2"/>
    <x v="1"/>
  </r>
  <r>
    <x v="355"/>
    <x v="17"/>
    <x v="0"/>
    <n v="42"/>
    <n v="42"/>
    <d v="2025-01-16T00:00:00"/>
    <d v="2025-01-17T00:00:00"/>
    <x v="0"/>
    <x v="0"/>
    <n v="4"/>
    <x v="0"/>
    <x v="3"/>
    <x v="3"/>
    <x v="2"/>
    <x v="0"/>
  </r>
  <r>
    <x v="356"/>
    <x v="0"/>
    <x v="11"/>
    <n v="21.8"/>
    <n v="196.20000000000002"/>
    <d v="2025-01-16T00:00:00"/>
    <d v="2025-01-18T00:00:00"/>
    <x v="2"/>
    <x v="1"/>
    <n v="4"/>
    <x v="0"/>
    <x v="3"/>
    <x v="1"/>
    <x v="2"/>
    <x v="2"/>
  </r>
  <r>
    <x v="357"/>
    <x v="8"/>
    <x v="16"/>
    <n v="21.4"/>
    <n v="385.2"/>
    <d v="2025-01-16T00:00:00"/>
    <d v="2025-01-19T00:00:00"/>
    <x v="2"/>
    <x v="1"/>
    <n v="5"/>
    <x v="0"/>
    <x v="3"/>
    <x v="2"/>
    <x v="2"/>
    <x v="2"/>
  </r>
  <r>
    <x v="358"/>
    <x v="10"/>
    <x v="2"/>
    <n v="45"/>
    <n v="135"/>
    <d v="2025-01-16T00:00:00"/>
    <d v="2025-01-16T00:00:00"/>
    <x v="2"/>
    <x v="1"/>
    <n v="5"/>
    <x v="0"/>
    <x v="3"/>
    <x v="7"/>
    <x v="2"/>
    <x v="2"/>
  </r>
  <r>
    <x v="359"/>
    <x v="14"/>
    <x v="0"/>
    <n v="39.6"/>
    <n v="39.6"/>
    <d v="2025-01-16T00:00:00"/>
    <d v="2025-01-17T00:00:00"/>
    <x v="1"/>
    <x v="0"/>
    <n v="5"/>
    <x v="0"/>
    <x v="3"/>
    <x v="3"/>
    <x v="2"/>
    <x v="1"/>
  </r>
  <r>
    <x v="360"/>
    <x v="12"/>
    <x v="2"/>
    <n v="79.8"/>
    <n v="239.39999999999998"/>
    <d v="2025-01-16T00:00:00"/>
    <d v="2025-01-22T00:00:00"/>
    <x v="2"/>
    <x v="1"/>
    <n v="2"/>
    <x v="0"/>
    <x v="3"/>
    <x v="4"/>
    <x v="2"/>
    <x v="2"/>
  </r>
  <r>
    <x v="361"/>
    <x v="1"/>
    <x v="12"/>
    <n v="63.6"/>
    <n v="254.4"/>
    <d v="2025-01-16T00:00:00"/>
    <d v="2025-01-17T00:00:00"/>
    <x v="3"/>
    <x v="0"/>
    <n v="5"/>
    <x v="0"/>
    <x v="24"/>
    <x v="3"/>
    <x v="2"/>
    <x v="3"/>
  </r>
  <r>
    <x v="362"/>
    <x v="7"/>
    <x v="7"/>
    <n v="92.7"/>
    <n v="927"/>
    <d v="2025-01-16T00:00:00"/>
    <d v="2025-01-20T00:00:00"/>
    <x v="1"/>
    <x v="1"/>
    <n v="5"/>
    <x v="0"/>
    <x v="6"/>
    <x v="5"/>
    <x v="2"/>
    <x v="1"/>
  </r>
  <r>
    <x v="363"/>
    <x v="1"/>
    <x v="12"/>
    <n v="48.4"/>
    <n v="193.6"/>
    <d v="2025-01-16T00:00:00"/>
    <d v="2025-01-18T00:00:00"/>
    <x v="2"/>
    <x v="1"/>
    <n v="5"/>
    <x v="0"/>
    <x v="6"/>
    <x v="1"/>
    <x v="2"/>
    <x v="2"/>
  </r>
  <r>
    <x v="364"/>
    <x v="9"/>
    <x v="8"/>
    <n v="36"/>
    <n v="288"/>
    <d v="2025-01-16T00:00:00"/>
    <d v="2025-01-19T00:00:00"/>
    <x v="1"/>
    <x v="2"/>
    <n v="5"/>
    <x v="0"/>
    <x v="8"/>
    <x v="2"/>
    <x v="2"/>
    <x v="1"/>
  </r>
  <r>
    <x v="365"/>
    <x v="8"/>
    <x v="4"/>
    <n v="27"/>
    <n v="324"/>
    <d v="2025-01-16T00:00:00"/>
    <d v="2025-01-18T00:00:00"/>
    <x v="2"/>
    <x v="2"/>
    <n v="3"/>
    <x v="0"/>
    <x v="8"/>
    <x v="1"/>
    <x v="2"/>
    <x v="2"/>
  </r>
  <r>
    <x v="366"/>
    <x v="2"/>
    <x v="8"/>
    <n v="53.9"/>
    <n v="431.2"/>
    <d v="2025-01-16T00:00:00"/>
    <d v="2025-01-17T00:00:00"/>
    <x v="0"/>
    <x v="0"/>
    <n v="4"/>
    <x v="0"/>
    <x v="8"/>
    <x v="3"/>
    <x v="2"/>
    <x v="0"/>
  </r>
  <r>
    <x v="367"/>
    <x v="3"/>
    <x v="11"/>
    <n v="48.4"/>
    <n v="435.59999999999997"/>
    <d v="2025-01-16T00:00:00"/>
    <d v="2025-01-17T00:00:00"/>
    <x v="2"/>
    <x v="1"/>
    <n v="4"/>
    <x v="0"/>
    <x v="9"/>
    <x v="3"/>
    <x v="2"/>
    <x v="2"/>
  </r>
  <r>
    <x v="368"/>
    <x v="17"/>
    <x v="1"/>
    <n v="49.9"/>
    <n v="99.8"/>
    <d v="2025-01-16T00:00:00"/>
    <d v="2025-01-21T00:00:00"/>
    <x v="1"/>
    <x v="4"/>
    <n v="2"/>
    <x v="0"/>
    <x v="10"/>
    <x v="0"/>
    <x v="2"/>
    <x v="1"/>
  </r>
  <r>
    <x v="369"/>
    <x v="1"/>
    <x v="2"/>
    <n v="51.7"/>
    <n v="155.10000000000002"/>
    <d v="2025-01-16T00:00:00"/>
    <d v="2025-01-17T00:00:00"/>
    <x v="2"/>
    <x v="0"/>
    <n v="5"/>
    <x v="0"/>
    <x v="11"/>
    <x v="3"/>
    <x v="2"/>
    <x v="2"/>
  </r>
  <r>
    <x v="370"/>
    <x v="8"/>
    <x v="2"/>
    <n v="41.8"/>
    <n v="125.39999999999999"/>
    <d v="2025-01-16T00:00:00"/>
    <d v="2025-01-18T00:00:00"/>
    <x v="2"/>
    <x v="2"/>
    <n v="4"/>
    <x v="0"/>
    <x v="18"/>
    <x v="1"/>
    <x v="2"/>
    <x v="2"/>
  </r>
  <r>
    <x v="371"/>
    <x v="4"/>
    <x v="12"/>
    <n v="36.200000000000003"/>
    <n v="144.80000000000001"/>
    <d v="2025-01-17T00:00:00"/>
    <d v="2025-01-18T00:00:00"/>
    <x v="1"/>
    <x v="2"/>
    <n v="5"/>
    <x v="0"/>
    <x v="21"/>
    <x v="3"/>
    <x v="2"/>
    <x v="1"/>
  </r>
  <r>
    <x v="372"/>
    <x v="2"/>
    <x v="0"/>
    <n v="150.9"/>
    <n v="150.9"/>
    <d v="2025-01-17T00:00:00"/>
    <d v="2025-01-27T00:00:00"/>
    <x v="1"/>
    <x v="0"/>
    <n v="4"/>
    <x v="0"/>
    <x v="1"/>
    <x v="14"/>
    <x v="2"/>
    <x v="1"/>
  </r>
  <r>
    <x v="373"/>
    <x v="18"/>
    <x v="12"/>
    <n v="77.599999999999994"/>
    <n v="310.39999999999998"/>
    <d v="2025-01-17T00:00:00"/>
    <d v="2025-01-18T00:00:00"/>
    <x v="0"/>
    <x v="2"/>
    <n v="4"/>
    <x v="0"/>
    <x v="3"/>
    <x v="3"/>
    <x v="2"/>
    <x v="0"/>
  </r>
  <r>
    <x v="374"/>
    <x v="13"/>
    <x v="9"/>
    <n v="65.5"/>
    <n v="327.5"/>
    <d v="2025-01-17T00:00:00"/>
    <d v="2025-01-17T00:00:00"/>
    <x v="1"/>
    <x v="1"/>
    <n v="4"/>
    <x v="0"/>
    <x v="3"/>
    <x v="7"/>
    <x v="2"/>
    <x v="1"/>
  </r>
  <r>
    <x v="375"/>
    <x v="6"/>
    <x v="2"/>
    <n v="90.1"/>
    <n v="270.29999999999995"/>
    <d v="2025-01-17T00:00:00"/>
    <d v="2025-01-19T00:00:00"/>
    <x v="2"/>
    <x v="0"/>
    <n v="4"/>
    <x v="0"/>
    <x v="3"/>
    <x v="1"/>
    <x v="2"/>
    <x v="2"/>
  </r>
  <r>
    <x v="376"/>
    <x v="1"/>
    <x v="1"/>
    <n v="108.3"/>
    <n v="216.6"/>
    <d v="2025-01-17T00:00:00"/>
    <d v="2025-01-20T00:00:00"/>
    <x v="3"/>
    <x v="4"/>
    <n v="4"/>
    <x v="0"/>
    <x v="3"/>
    <x v="2"/>
    <x v="2"/>
    <x v="3"/>
  </r>
  <r>
    <x v="377"/>
    <x v="5"/>
    <x v="2"/>
    <n v="59.9"/>
    <n v="179.7"/>
    <d v="2025-01-17T00:00:00"/>
    <d v="2025-01-21T00:00:00"/>
    <x v="2"/>
    <x v="0"/>
    <n v="4"/>
    <x v="0"/>
    <x v="3"/>
    <x v="5"/>
    <x v="2"/>
    <x v="2"/>
  </r>
  <r>
    <x v="378"/>
    <x v="2"/>
    <x v="14"/>
    <n v="139"/>
    <n v="2363"/>
    <d v="2025-01-17T00:00:00"/>
    <d v="2025-01-19T00:00:00"/>
    <x v="2"/>
    <x v="1"/>
    <n v="2"/>
    <x v="0"/>
    <x v="3"/>
    <x v="1"/>
    <x v="2"/>
    <x v="2"/>
  </r>
  <r>
    <x v="379"/>
    <x v="6"/>
    <x v="2"/>
    <n v="87.3"/>
    <n v="261.89999999999998"/>
    <d v="2025-01-17T00:00:00"/>
    <d v="2025-01-18T00:00:00"/>
    <x v="2"/>
    <x v="0"/>
    <n v="4"/>
    <x v="0"/>
    <x v="3"/>
    <x v="3"/>
    <x v="2"/>
    <x v="2"/>
  </r>
  <r>
    <x v="380"/>
    <x v="11"/>
    <x v="12"/>
    <n v="42.3"/>
    <n v="169.2"/>
    <d v="2025-01-17T00:00:00"/>
    <d v="2025-01-17T00:00:00"/>
    <x v="1"/>
    <x v="0"/>
    <n v="4"/>
    <x v="0"/>
    <x v="3"/>
    <x v="7"/>
    <x v="2"/>
    <x v="1"/>
  </r>
  <r>
    <x v="381"/>
    <x v="14"/>
    <x v="8"/>
    <n v="103.6"/>
    <n v="828.8"/>
    <d v="2025-01-17T00:00:00"/>
    <d v="2025-01-18T00:00:00"/>
    <x v="3"/>
    <x v="0"/>
    <n v="3"/>
    <x v="0"/>
    <x v="3"/>
    <x v="3"/>
    <x v="2"/>
    <x v="3"/>
  </r>
  <r>
    <x v="382"/>
    <x v="6"/>
    <x v="1"/>
    <n v="90.9"/>
    <n v="181.8"/>
    <d v="2025-01-17T00:00:00"/>
    <d v="2025-01-18T00:00:00"/>
    <x v="1"/>
    <x v="1"/>
    <n v="4"/>
    <x v="0"/>
    <x v="6"/>
    <x v="3"/>
    <x v="2"/>
    <x v="1"/>
  </r>
  <r>
    <x v="383"/>
    <x v="9"/>
    <x v="27"/>
    <n v="100.9"/>
    <n v="1614.4"/>
    <d v="2025-01-17T00:00:00"/>
    <d v="2025-01-18T00:00:00"/>
    <x v="2"/>
    <x v="1"/>
    <n v="4"/>
    <x v="0"/>
    <x v="6"/>
    <x v="3"/>
    <x v="2"/>
    <x v="2"/>
  </r>
  <r>
    <x v="384"/>
    <x v="4"/>
    <x v="9"/>
    <n v="36"/>
    <n v="180"/>
    <d v="2025-01-17T00:00:00"/>
    <d v="2025-01-19T00:00:00"/>
    <x v="2"/>
    <x v="1"/>
    <n v="4"/>
    <x v="0"/>
    <x v="7"/>
    <x v="1"/>
    <x v="2"/>
    <x v="2"/>
  </r>
  <r>
    <x v="385"/>
    <x v="6"/>
    <x v="13"/>
    <n v="83.3"/>
    <n v="499.79999999999995"/>
    <d v="2025-01-17T00:00:00"/>
    <d v="2025-01-20T00:00:00"/>
    <x v="0"/>
    <x v="2"/>
    <n v="4"/>
    <x v="0"/>
    <x v="7"/>
    <x v="2"/>
    <x v="2"/>
    <x v="0"/>
  </r>
  <r>
    <x v="386"/>
    <x v="2"/>
    <x v="14"/>
    <n v="60.3"/>
    <n v="1025.0999999999999"/>
    <d v="2025-01-17T00:00:00"/>
    <d v="2025-01-18T00:00:00"/>
    <x v="1"/>
    <x v="2"/>
    <n v="3"/>
    <x v="0"/>
    <x v="7"/>
    <x v="3"/>
    <x v="2"/>
    <x v="1"/>
  </r>
  <r>
    <x v="387"/>
    <x v="2"/>
    <x v="13"/>
    <n v="120.3"/>
    <n v="721.8"/>
    <d v="2025-01-17T00:00:00"/>
    <d v="2025-01-18T00:00:00"/>
    <x v="1"/>
    <x v="2"/>
    <n v="4"/>
    <x v="0"/>
    <x v="8"/>
    <x v="3"/>
    <x v="2"/>
    <x v="1"/>
  </r>
  <r>
    <x v="388"/>
    <x v="4"/>
    <x v="7"/>
    <n v="34"/>
    <n v="340"/>
    <d v="2025-01-17T00:00:00"/>
    <d v="2025-01-21T00:00:00"/>
    <x v="2"/>
    <x v="2"/>
    <n v="4"/>
    <x v="0"/>
    <x v="8"/>
    <x v="5"/>
    <x v="2"/>
    <x v="2"/>
  </r>
  <r>
    <x v="389"/>
    <x v="10"/>
    <x v="9"/>
    <n v="42.6"/>
    <n v="213"/>
    <d v="2025-01-17T00:00:00"/>
    <d v="2025-01-20T00:00:00"/>
    <x v="1"/>
    <x v="1"/>
    <n v="4"/>
    <x v="0"/>
    <x v="8"/>
    <x v="2"/>
    <x v="2"/>
    <x v="1"/>
  </r>
  <r>
    <x v="390"/>
    <x v="5"/>
    <x v="28"/>
    <n v="47.4"/>
    <n v="948"/>
    <d v="2025-01-17T00:00:00"/>
    <d v="2025-01-17T00:00:00"/>
    <x v="2"/>
    <x v="2"/>
    <n v="3"/>
    <x v="0"/>
    <x v="17"/>
    <x v="7"/>
    <x v="2"/>
    <x v="2"/>
  </r>
  <r>
    <x v="391"/>
    <x v="2"/>
    <x v="0"/>
    <n v="74"/>
    <n v="74"/>
    <d v="2025-01-18T00:00:00"/>
    <d v="2025-01-19T00:00:00"/>
    <x v="1"/>
    <x v="1"/>
    <n v="4"/>
    <x v="0"/>
    <x v="11"/>
    <x v="3"/>
    <x v="2"/>
    <x v="1"/>
  </r>
  <r>
    <x v="392"/>
    <x v="2"/>
    <x v="9"/>
    <n v="60.4"/>
    <n v="302"/>
    <d v="2025-01-18T00:00:00"/>
    <d v="2025-01-21T00:00:00"/>
    <x v="2"/>
    <x v="1"/>
    <n v="2"/>
    <x v="0"/>
    <x v="18"/>
    <x v="2"/>
    <x v="2"/>
    <x v="2"/>
  </r>
  <r>
    <x v="393"/>
    <x v="12"/>
    <x v="1"/>
    <n v="69.3"/>
    <n v="138.6"/>
    <d v="2025-01-18T00:00:00"/>
    <d v="2025-01-21T00:00:00"/>
    <x v="1"/>
    <x v="1"/>
    <n v="3"/>
    <x v="0"/>
    <x v="13"/>
    <x v="2"/>
    <x v="2"/>
    <x v="1"/>
  </r>
  <r>
    <x v="394"/>
    <x v="5"/>
    <x v="9"/>
    <n v="81"/>
    <n v="405"/>
    <d v="2025-01-18T00:00:00"/>
    <d v="2025-01-24T00:00:00"/>
    <x v="1"/>
    <x v="3"/>
    <n v="4"/>
    <x v="0"/>
    <x v="21"/>
    <x v="4"/>
    <x v="2"/>
    <x v="1"/>
  </r>
  <r>
    <x v="395"/>
    <x v="15"/>
    <x v="2"/>
    <n v="41.5"/>
    <n v="124.5"/>
    <d v="2025-01-18T00:00:00"/>
    <d v="2025-01-20T00:00:00"/>
    <x v="3"/>
    <x v="1"/>
    <n v="4"/>
    <x v="0"/>
    <x v="21"/>
    <x v="1"/>
    <x v="2"/>
    <x v="3"/>
  </r>
  <r>
    <x v="396"/>
    <x v="18"/>
    <x v="1"/>
    <n v="69.7"/>
    <n v="139.4"/>
    <d v="2025-01-18T00:00:00"/>
    <d v="2025-01-23T00:00:00"/>
    <x v="1"/>
    <x v="1"/>
    <n v="4"/>
    <x v="0"/>
    <x v="21"/>
    <x v="0"/>
    <x v="2"/>
    <x v="1"/>
  </r>
  <r>
    <x v="397"/>
    <x v="2"/>
    <x v="9"/>
    <n v="83.6"/>
    <n v="418"/>
    <d v="2025-01-18T00:00:00"/>
    <d v="2025-01-18T00:00:00"/>
    <x v="2"/>
    <x v="4"/>
    <n v="4"/>
    <x v="0"/>
    <x v="1"/>
    <x v="7"/>
    <x v="2"/>
    <x v="2"/>
  </r>
  <r>
    <x v="398"/>
    <x v="8"/>
    <x v="3"/>
    <n v="21.5"/>
    <n v="150.5"/>
    <d v="2025-01-18T00:00:00"/>
    <d v="2025-01-20T00:00:00"/>
    <x v="1"/>
    <x v="1"/>
    <n v="2"/>
    <x v="0"/>
    <x v="34"/>
    <x v="1"/>
    <x v="2"/>
    <x v="1"/>
  </r>
  <r>
    <x v="399"/>
    <x v="8"/>
    <x v="8"/>
    <n v="28.6"/>
    <n v="228.8"/>
    <d v="2025-01-18T00:00:00"/>
    <d v="2025-01-19T00:00:00"/>
    <x v="1"/>
    <x v="0"/>
    <n v="4"/>
    <x v="0"/>
    <x v="3"/>
    <x v="3"/>
    <x v="2"/>
    <x v="1"/>
  </r>
  <r>
    <x v="400"/>
    <x v="8"/>
    <x v="13"/>
    <n v="18.8"/>
    <n v="112.80000000000001"/>
    <d v="2025-01-18T00:00:00"/>
    <d v="2025-01-21T00:00:00"/>
    <x v="1"/>
    <x v="3"/>
    <n v="5"/>
    <x v="0"/>
    <x v="3"/>
    <x v="2"/>
    <x v="2"/>
    <x v="1"/>
  </r>
  <r>
    <x v="401"/>
    <x v="10"/>
    <x v="12"/>
    <n v="35.1"/>
    <n v="140.4"/>
    <d v="2025-01-18T00:00:00"/>
    <d v="2025-01-18T00:00:00"/>
    <x v="2"/>
    <x v="1"/>
    <n v="3"/>
    <x v="0"/>
    <x v="3"/>
    <x v="7"/>
    <x v="2"/>
    <x v="2"/>
  </r>
  <r>
    <x v="402"/>
    <x v="0"/>
    <x v="1"/>
    <n v="12.7"/>
    <n v="25.4"/>
    <d v="2025-01-18T00:00:00"/>
    <d v="2025-01-20T00:00:00"/>
    <x v="2"/>
    <x v="1"/>
    <n v="5"/>
    <x v="0"/>
    <x v="3"/>
    <x v="1"/>
    <x v="2"/>
    <x v="2"/>
  </r>
  <r>
    <x v="403"/>
    <x v="8"/>
    <x v="9"/>
    <n v="27.4"/>
    <n v="137"/>
    <d v="2025-01-18T00:00:00"/>
    <d v="2025-01-20T00:00:00"/>
    <x v="3"/>
    <x v="0"/>
    <n v="4"/>
    <x v="0"/>
    <x v="3"/>
    <x v="1"/>
    <x v="2"/>
    <x v="3"/>
  </r>
  <r>
    <x v="404"/>
    <x v="10"/>
    <x v="1"/>
    <n v="61.3"/>
    <n v="122.6"/>
    <d v="2025-01-18T00:00:00"/>
    <d v="2025-01-19T00:00:00"/>
    <x v="2"/>
    <x v="1"/>
    <n v="4"/>
    <x v="0"/>
    <x v="6"/>
    <x v="3"/>
    <x v="2"/>
    <x v="2"/>
  </r>
  <r>
    <x v="405"/>
    <x v="8"/>
    <x v="1"/>
    <n v="64.7"/>
    <n v="129.4"/>
    <d v="2025-01-18T00:00:00"/>
    <d v="2025-01-20T00:00:00"/>
    <x v="2"/>
    <x v="3"/>
    <n v="5"/>
    <x v="0"/>
    <x v="6"/>
    <x v="1"/>
    <x v="2"/>
    <x v="2"/>
  </r>
  <r>
    <x v="406"/>
    <x v="7"/>
    <x v="12"/>
    <n v="91.4"/>
    <n v="365.6"/>
    <d v="2025-01-18T00:00:00"/>
    <d v="2025-01-20T00:00:00"/>
    <x v="2"/>
    <x v="0"/>
    <n v="4"/>
    <x v="0"/>
    <x v="8"/>
    <x v="1"/>
    <x v="2"/>
    <x v="2"/>
  </r>
  <r>
    <x v="407"/>
    <x v="0"/>
    <x v="1"/>
    <n v="33.1"/>
    <n v="66.2"/>
    <d v="2025-01-19T00:00:00"/>
    <d v="2025-01-20T00:00:00"/>
    <x v="1"/>
    <x v="0"/>
    <n v="5"/>
    <x v="0"/>
    <x v="8"/>
    <x v="3"/>
    <x v="3"/>
    <x v="1"/>
  </r>
  <r>
    <x v="408"/>
    <x v="3"/>
    <x v="1"/>
    <n v="105.6"/>
    <n v="211.2"/>
    <d v="2025-01-19T00:00:00"/>
    <d v="2025-01-20T00:00:00"/>
    <x v="1"/>
    <x v="2"/>
    <n v="3"/>
    <x v="0"/>
    <x v="8"/>
    <x v="3"/>
    <x v="3"/>
    <x v="1"/>
  </r>
  <r>
    <x v="409"/>
    <x v="10"/>
    <x v="2"/>
    <n v="46.4"/>
    <n v="139.19999999999999"/>
    <d v="2025-01-19T00:00:00"/>
    <d v="2025-01-20T00:00:00"/>
    <x v="1"/>
    <x v="2"/>
    <n v="4"/>
    <x v="0"/>
    <x v="9"/>
    <x v="3"/>
    <x v="3"/>
    <x v="1"/>
  </r>
  <r>
    <x v="410"/>
    <x v="9"/>
    <x v="21"/>
    <n v="35.299999999999997"/>
    <n v="494.19999999999993"/>
    <d v="2025-01-19T00:00:00"/>
    <d v="2025-01-22T00:00:00"/>
    <x v="2"/>
    <x v="4"/>
    <n v="3"/>
    <x v="0"/>
    <x v="11"/>
    <x v="2"/>
    <x v="3"/>
    <x v="2"/>
  </r>
  <r>
    <x v="411"/>
    <x v="0"/>
    <x v="1"/>
    <n v="16.100000000000001"/>
    <n v="32.200000000000003"/>
    <d v="2025-01-19T00:00:00"/>
    <d v="2025-01-21T00:00:00"/>
    <x v="1"/>
    <x v="3"/>
    <n v="5"/>
    <x v="0"/>
    <x v="32"/>
    <x v="1"/>
    <x v="3"/>
    <x v="1"/>
  </r>
  <r>
    <x v="412"/>
    <x v="4"/>
    <x v="1"/>
    <n v="27.9"/>
    <n v="55.8"/>
    <d v="2025-01-19T00:00:00"/>
    <d v="2025-01-22T00:00:00"/>
    <x v="1"/>
    <x v="0"/>
    <n v="4"/>
    <x v="0"/>
    <x v="13"/>
    <x v="2"/>
    <x v="3"/>
    <x v="1"/>
  </r>
  <r>
    <x v="413"/>
    <x v="8"/>
    <x v="0"/>
    <n v="47.1"/>
    <n v="47.1"/>
    <d v="2025-01-19T00:00:00"/>
    <d v="2025-01-27T00:00:00"/>
    <x v="2"/>
    <x v="1"/>
    <n v="4"/>
    <x v="0"/>
    <x v="2"/>
    <x v="9"/>
    <x v="3"/>
    <x v="2"/>
  </r>
  <r>
    <x v="414"/>
    <x v="6"/>
    <x v="1"/>
    <n v="85"/>
    <n v="170"/>
    <d v="2025-01-19T00:00:00"/>
    <d v="2025-01-22T00:00:00"/>
    <x v="0"/>
    <x v="2"/>
    <n v="5"/>
    <x v="0"/>
    <x v="22"/>
    <x v="2"/>
    <x v="3"/>
    <x v="0"/>
  </r>
  <r>
    <x v="415"/>
    <x v="18"/>
    <x v="1"/>
    <n v="89"/>
    <n v="178"/>
    <d v="2025-01-19T00:00:00"/>
    <d v="2025-01-21T00:00:00"/>
    <x v="2"/>
    <x v="0"/>
    <n v="4"/>
    <x v="0"/>
    <x v="3"/>
    <x v="1"/>
    <x v="3"/>
    <x v="2"/>
  </r>
  <r>
    <x v="416"/>
    <x v="16"/>
    <x v="2"/>
    <n v="36.6"/>
    <n v="109.80000000000001"/>
    <d v="2025-01-19T00:00:00"/>
    <d v="2025-01-20T00:00:00"/>
    <x v="3"/>
    <x v="3"/>
    <n v="5"/>
    <x v="0"/>
    <x v="3"/>
    <x v="3"/>
    <x v="3"/>
    <x v="3"/>
  </r>
  <r>
    <x v="417"/>
    <x v="6"/>
    <x v="3"/>
    <n v="43.5"/>
    <n v="304.5"/>
    <d v="2025-01-19T00:00:00"/>
    <d v="2025-01-20T00:00:00"/>
    <x v="1"/>
    <x v="1"/>
    <n v="5"/>
    <x v="0"/>
    <x v="3"/>
    <x v="3"/>
    <x v="3"/>
    <x v="1"/>
  </r>
  <r>
    <x v="418"/>
    <x v="9"/>
    <x v="10"/>
    <n v="30.5"/>
    <n v="579.5"/>
    <d v="2025-01-19T00:00:00"/>
    <d v="2025-01-19T00:00:00"/>
    <x v="2"/>
    <x v="3"/>
    <n v="4"/>
    <x v="0"/>
    <x v="3"/>
    <x v="7"/>
    <x v="3"/>
    <x v="2"/>
  </r>
  <r>
    <x v="419"/>
    <x v="1"/>
    <x v="1"/>
    <n v="107.7"/>
    <n v="215.4"/>
    <d v="2025-01-19T00:00:00"/>
    <d v="2025-01-23T00:00:00"/>
    <x v="1"/>
    <x v="3"/>
    <n v="2"/>
    <x v="0"/>
    <x v="3"/>
    <x v="5"/>
    <x v="3"/>
    <x v="1"/>
  </r>
  <r>
    <x v="420"/>
    <x v="17"/>
    <x v="18"/>
    <n v="57.1"/>
    <n v="1484.6000000000001"/>
    <d v="2025-01-19T00:00:00"/>
    <d v="2025-01-20T00:00:00"/>
    <x v="1"/>
    <x v="1"/>
    <n v="4"/>
    <x v="0"/>
    <x v="3"/>
    <x v="3"/>
    <x v="3"/>
    <x v="1"/>
  </r>
  <r>
    <x v="421"/>
    <x v="2"/>
    <x v="7"/>
    <n v="111.7"/>
    <n v="1117"/>
    <d v="2025-01-19T00:00:00"/>
    <d v="2025-01-20T00:00:00"/>
    <x v="2"/>
    <x v="4"/>
    <n v="5"/>
    <x v="0"/>
    <x v="3"/>
    <x v="3"/>
    <x v="3"/>
    <x v="2"/>
  </r>
  <r>
    <x v="422"/>
    <x v="18"/>
    <x v="3"/>
    <n v="44.3"/>
    <n v="310.09999999999997"/>
    <d v="2025-01-19T00:00:00"/>
    <d v="2025-01-22T00:00:00"/>
    <x v="1"/>
    <x v="3"/>
    <n v="5"/>
    <x v="0"/>
    <x v="3"/>
    <x v="2"/>
    <x v="3"/>
    <x v="1"/>
  </r>
  <r>
    <x v="423"/>
    <x v="2"/>
    <x v="8"/>
    <n v="95.8"/>
    <n v="766.4"/>
    <d v="2025-01-19T00:00:00"/>
    <d v="2025-01-25T00:00:00"/>
    <x v="3"/>
    <x v="0"/>
    <n v="4"/>
    <x v="0"/>
    <x v="3"/>
    <x v="4"/>
    <x v="3"/>
    <x v="3"/>
  </r>
  <r>
    <x v="424"/>
    <x v="10"/>
    <x v="3"/>
    <n v="22.6"/>
    <n v="158.20000000000002"/>
    <d v="2025-01-19T00:00:00"/>
    <d v="2025-01-22T00:00:00"/>
    <x v="2"/>
    <x v="3"/>
    <n v="3"/>
    <x v="0"/>
    <x v="3"/>
    <x v="2"/>
    <x v="3"/>
    <x v="2"/>
  </r>
  <r>
    <x v="425"/>
    <x v="8"/>
    <x v="8"/>
    <n v="25.6"/>
    <n v="204.8"/>
    <d v="2025-01-19T00:00:00"/>
    <d v="2025-01-21T00:00:00"/>
    <x v="2"/>
    <x v="4"/>
    <n v="4"/>
    <x v="0"/>
    <x v="3"/>
    <x v="1"/>
    <x v="3"/>
    <x v="2"/>
  </r>
  <r>
    <x v="426"/>
    <x v="6"/>
    <x v="27"/>
    <n v="54.3"/>
    <n v="868.8"/>
    <d v="2025-01-19T00:00:00"/>
    <d v="2025-01-22T00:00:00"/>
    <x v="2"/>
    <x v="4"/>
    <n v="4"/>
    <x v="0"/>
    <x v="3"/>
    <x v="2"/>
    <x v="3"/>
    <x v="2"/>
  </r>
  <r>
    <x v="427"/>
    <x v="18"/>
    <x v="15"/>
    <n v="51.3"/>
    <n v="666.9"/>
    <d v="2025-01-19T00:00:00"/>
    <d v="2025-01-21T00:00:00"/>
    <x v="1"/>
    <x v="0"/>
    <n v="5"/>
    <x v="0"/>
    <x v="3"/>
    <x v="1"/>
    <x v="3"/>
    <x v="1"/>
  </r>
  <r>
    <x v="428"/>
    <x v="0"/>
    <x v="8"/>
    <n v="25.6"/>
    <n v="204.8"/>
    <d v="2025-01-19T00:00:00"/>
    <d v="2025-01-20T00:00:00"/>
    <x v="2"/>
    <x v="1"/>
    <n v="3"/>
    <x v="0"/>
    <x v="3"/>
    <x v="3"/>
    <x v="3"/>
    <x v="2"/>
  </r>
  <r>
    <x v="429"/>
    <x v="0"/>
    <x v="1"/>
    <n v="15.6"/>
    <n v="31.2"/>
    <d v="2025-01-19T00:00:00"/>
    <d v="2025-01-20T00:00:00"/>
    <x v="2"/>
    <x v="2"/>
    <n v="5"/>
    <x v="0"/>
    <x v="3"/>
    <x v="3"/>
    <x v="3"/>
    <x v="2"/>
  </r>
  <r>
    <x v="430"/>
    <x v="8"/>
    <x v="2"/>
    <n v="30.3"/>
    <n v="90.9"/>
    <d v="2025-01-19T00:00:00"/>
    <d v="2025-01-23T00:00:00"/>
    <x v="2"/>
    <x v="0"/>
    <n v="3"/>
    <x v="0"/>
    <x v="3"/>
    <x v="5"/>
    <x v="3"/>
    <x v="2"/>
  </r>
  <r>
    <x v="431"/>
    <x v="12"/>
    <x v="1"/>
    <n v="30.3"/>
    <n v="60.6"/>
    <d v="2025-01-19T00:00:00"/>
    <d v="2025-01-24T00:00:00"/>
    <x v="2"/>
    <x v="0"/>
    <n v="5"/>
    <x v="0"/>
    <x v="37"/>
    <x v="0"/>
    <x v="3"/>
    <x v="2"/>
  </r>
  <r>
    <x v="432"/>
    <x v="10"/>
    <x v="2"/>
    <n v="53"/>
    <n v="159"/>
    <d v="2025-01-19T00:00:00"/>
    <d v="2025-01-26T00:00:00"/>
    <x v="2"/>
    <x v="2"/>
    <n v="4"/>
    <x v="0"/>
    <x v="24"/>
    <x v="6"/>
    <x v="3"/>
    <x v="2"/>
  </r>
  <r>
    <x v="433"/>
    <x v="5"/>
    <x v="16"/>
    <n v="59.9"/>
    <n v="1078.2"/>
    <d v="2025-01-19T00:00:00"/>
    <d v="2025-01-22T00:00:00"/>
    <x v="1"/>
    <x v="2"/>
    <n v="2"/>
    <x v="0"/>
    <x v="25"/>
    <x v="2"/>
    <x v="3"/>
    <x v="1"/>
  </r>
  <r>
    <x v="434"/>
    <x v="9"/>
    <x v="1"/>
    <n v="45.7"/>
    <n v="91.4"/>
    <d v="2025-01-19T00:00:00"/>
    <d v="2025-01-20T00:00:00"/>
    <x v="2"/>
    <x v="1"/>
    <n v="5"/>
    <x v="0"/>
    <x v="6"/>
    <x v="3"/>
    <x v="3"/>
    <x v="2"/>
  </r>
  <r>
    <x v="435"/>
    <x v="8"/>
    <x v="12"/>
    <n v="46.1"/>
    <n v="184.4"/>
    <d v="2025-01-19T00:00:00"/>
    <d v="2025-01-20T00:00:00"/>
    <x v="1"/>
    <x v="0"/>
    <n v="4"/>
    <x v="0"/>
    <x v="6"/>
    <x v="3"/>
    <x v="3"/>
    <x v="1"/>
  </r>
  <r>
    <x v="436"/>
    <x v="8"/>
    <x v="2"/>
    <n v="17.5"/>
    <n v="52.5"/>
    <d v="2025-01-19T00:00:00"/>
    <d v="2025-01-20T00:00:00"/>
    <x v="2"/>
    <x v="0"/>
    <n v="5"/>
    <x v="0"/>
    <x v="8"/>
    <x v="3"/>
    <x v="3"/>
    <x v="2"/>
  </r>
  <r>
    <x v="437"/>
    <x v="10"/>
    <x v="2"/>
    <n v="36.5"/>
    <n v="109.5"/>
    <d v="2025-01-19T00:00:00"/>
    <d v="2025-01-30T00:00:00"/>
    <x v="1"/>
    <x v="2"/>
    <n v="4"/>
    <x v="0"/>
    <x v="8"/>
    <x v="11"/>
    <x v="3"/>
    <x v="1"/>
  </r>
  <r>
    <x v="438"/>
    <x v="8"/>
    <x v="1"/>
    <n v="47.5"/>
    <n v="95"/>
    <d v="2025-01-20T00:00:00"/>
    <d v="2025-01-22T00:00:00"/>
    <x v="2"/>
    <x v="1"/>
    <n v="4"/>
    <x v="0"/>
    <x v="8"/>
    <x v="1"/>
    <x v="3"/>
    <x v="2"/>
  </r>
  <r>
    <x v="439"/>
    <x v="6"/>
    <x v="9"/>
    <n v="45.6"/>
    <n v="228"/>
    <d v="2025-01-20T00:00:00"/>
    <d v="2025-01-22T00:00:00"/>
    <x v="2"/>
    <x v="0"/>
    <n v="5"/>
    <x v="0"/>
    <x v="8"/>
    <x v="1"/>
    <x v="3"/>
    <x v="2"/>
  </r>
  <r>
    <x v="440"/>
    <x v="9"/>
    <x v="1"/>
    <n v="50.5"/>
    <n v="101"/>
    <d v="2025-01-20T00:00:00"/>
    <d v="2025-01-22T00:00:00"/>
    <x v="1"/>
    <x v="0"/>
    <n v="3"/>
    <x v="0"/>
    <x v="17"/>
    <x v="1"/>
    <x v="3"/>
    <x v="1"/>
  </r>
  <r>
    <x v="441"/>
    <x v="2"/>
    <x v="7"/>
    <n v="99.8"/>
    <n v="998"/>
    <d v="2025-01-20T00:00:00"/>
    <d v="2025-01-23T00:00:00"/>
    <x v="2"/>
    <x v="2"/>
    <n v="3"/>
    <x v="0"/>
    <x v="17"/>
    <x v="2"/>
    <x v="3"/>
    <x v="2"/>
  </r>
  <r>
    <x v="442"/>
    <x v="8"/>
    <x v="20"/>
    <n v="19.2"/>
    <n v="288"/>
    <d v="2025-01-20T00:00:00"/>
    <d v="2025-01-22T00:00:00"/>
    <x v="3"/>
    <x v="4"/>
    <n v="3"/>
    <x v="0"/>
    <x v="26"/>
    <x v="1"/>
    <x v="3"/>
    <x v="3"/>
  </r>
  <r>
    <x v="443"/>
    <x v="17"/>
    <x v="2"/>
    <n v="22.6"/>
    <n v="67.800000000000011"/>
    <d v="2025-01-20T00:00:00"/>
    <d v="2025-01-21T00:00:00"/>
    <x v="1"/>
    <x v="1"/>
    <n v="4"/>
    <x v="0"/>
    <x v="11"/>
    <x v="3"/>
    <x v="3"/>
    <x v="1"/>
  </r>
  <r>
    <x v="444"/>
    <x v="1"/>
    <x v="20"/>
    <n v="126.9"/>
    <n v="1903.5"/>
    <d v="2025-01-20T00:00:00"/>
    <d v="2025-01-22T00:00:00"/>
    <x v="2"/>
    <x v="0"/>
    <n v="5"/>
    <x v="0"/>
    <x v="11"/>
    <x v="1"/>
    <x v="3"/>
    <x v="2"/>
  </r>
  <r>
    <x v="445"/>
    <x v="2"/>
    <x v="1"/>
    <n v="100.3"/>
    <n v="200.6"/>
    <d v="2025-01-20T00:00:00"/>
    <d v="2025-01-21T00:00:00"/>
    <x v="2"/>
    <x v="0"/>
    <n v="3"/>
    <x v="0"/>
    <x v="11"/>
    <x v="3"/>
    <x v="3"/>
    <x v="2"/>
  </r>
  <r>
    <x v="446"/>
    <x v="4"/>
    <x v="16"/>
    <n v="24.6"/>
    <n v="442.8"/>
    <d v="2025-01-20T00:00:00"/>
    <d v="2025-01-21T00:00:00"/>
    <x v="2"/>
    <x v="4"/>
    <n v="4"/>
    <x v="0"/>
    <x v="13"/>
    <x v="3"/>
    <x v="3"/>
    <x v="2"/>
  </r>
  <r>
    <x v="447"/>
    <x v="6"/>
    <x v="1"/>
    <n v="47.3"/>
    <n v="94.6"/>
    <d v="2025-01-20T00:00:00"/>
    <d v="2025-01-21T00:00:00"/>
    <x v="1"/>
    <x v="1"/>
    <n v="5"/>
    <x v="0"/>
    <x v="13"/>
    <x v="3"/>
    <x v="3"/>
    <x v="1"/>
  </r>
  <r>
    <x v="448"/>
    <x v="6"/>
    <x v="3"/>
    <n v="40.799999999999997"/>
    <n v="285.59999999999997"/>
    <d v="2025-01-20T00:00:00"/>
    <d v="2025-01-23T00:00:00"/>
    <x v="2"/>
    <x v="2"/>
    <n v="5"/>
    <x v="0"/>
    <x v="21"/>
    <x v="2"/>
    <x v="3"/>
    <x v="2"/>
  </r>
  <r>
    <x v="449"/>
    <x v="8"/>
    <x v="8"/>
    <n v="49.2"/>
    <n v="393.6"/>
    <d v="2025-01-20T00:00:00"/>
    <d v="2025-01-22T00:00:00"/>
    <x v="2"/>
    <x v="0"/>
    <n v="4"/>
    <x v="0"/>
    <x v="1"/>
    <x v="1"/>
    <x v="3"/>
    <x v="2"/>
  </r>
  <r>
    <x v="450"/>
    <x v="8"/>
    <x v="0"/>
    <n v="28.5"/>
    <n v="28.5"/>
    <d v="2025-01-20T00:00:00"/>
    <d v="2025-01-22T00:00:00"/>
    <x v="0"/>
    <x v="2"/>
    <n v="3"/>
    <x v="0"/>
    <x v="3"/>
    <x v="1"/>
    <x v="3"/>
    <x v="0"/>
  </r>
  <r>
    <x v="451"/>
    <x v="18"/>
    <x v="1"/>
    <n v="36.799999999999997"/>
    <n v="73.599999999999994"/>
    <d v="2025-01-20T00:00:00"/>
    <d v="2025-01-26T00:00:00"/>
    <x v="2"/>
    <x v="0"/>
    <n v="5"/>
    <x v="0"/>
    <x v="3"/>
    <x v="4"/>
    <x v="3"/>
    <x v="2"/>
  </r>
  <r>
    <x v="452"/>
    <x v="7"/>
    <x v="2"/>
    <n v="33.5"/>
    <n v="100.5"/>
    <d v="2025-01-20T00:00:00"/>
    <d v="2025-01-21T00:00:00"/>
    <x v="2"/>
    <x v="0"/>
    <n v="3"/>
    <x v="0"/>
    <x v="3"/>
    <x v="3"/>
    <x v="3"/>
    <x v="2"/>
  </r>
  <r>
    <x v="453"/>
    <x v="6"/>
    <x v="13"/>
    <n v="62.5"/>
    <n v="375"/>
    <d v="2025-01-20T00:00:00"/>
    <d v="2025-01-22T00:00:00"/>
    <x v="2"/>
    <x v="0"/>
    <n v="4"/>
    <x v="0"/>
    <x v="3"/>
    <x v="1"/>
    <x v="3"/>
    <x v="2"/>
  </r>
  <r>
    <x v="454"/>
    <x v="8"/>
    <x v="29"/>
    <n v="47.9"/>
    <n v="1916"/>
    <d v="2025-01-20T00:00:00"/>
    <d v="2025-01-21T00:00:00"/>
    <x v="2"/>
    <x v="3"/>
    <n v="4"/>
    <x v="0"/>
    <x v="3"/>
    <x v="3"/>
    <x v="3"/>
    <x v="2"/>
  </r>
  <r>
    <x v="455"/>
    <x v="6"/>
    <x v="13"/>
    <n v="92.9"/>
    <n v="557.40000000000009"/>
    <d v="2025-01-20T00:00:00"/>
    <d v="2025-01-31T00:00:00"/>
    <x v="2"/>
    <x v="0"/>
    <n v="2"/>
    <x v="0"/>
    <x v="3"/>
    <x v="11"/>
    <x v="3"/>
    <x v="2"/>
  </r>
  <r>
    <x v="456"/>
    <x v="12"/>
    <x v="2"/>
    <n v="44.1"/>
    <n v="132.30000000000001"/>
    <d v="2025-01-20T00:00:00"/>
    <d v="2025-01-20T00:00:00"/>
    <x v="2"/>
    <x v="1"/>
    <n v="3"/>
    <x v="0"/>
    <x v="43"/>
    <x v="7"/>
    <x v="3"/>
    <x v="2"/>
  </r>
  <r>
    <x v="457"/>
    <x v="0"/>
    <x v="0"/>
    <n v="11.4"/>
    <n v="11.4"/>
    <d v="2025-01-21T00:00:00"/>
    <d v="2025-01-23T00:00:00"/>
    <x v="2"/>
    <x v="2"/>
    <n v="4"/>
    <x v="0"/>
    <x v="5"/>
    <x v="1"/>
    <x v="3"/>
    <x v="2"/>
  </r>
  <r>
    <x v="458"/>
    <x v="6"/>
    <x v="0"/>
    <n v="83.7"/>
    <n v="83.7"/>
    <d v="2025-01-21T00:00:00"/>
    <d v="2025-01-23T00:00:00"/>
    <x v="2"/>
    <x v="0"/>
    <n v="5"/>
    <x v="0"/>
    <x v="6"/>
    <x v="1"/>
    <x v="3"/>
    <x v="2"/>
  </r>
  <r>
    <x v="459"/>
    <x v="10"/>
    <x v="1"/>
    <n v="23.2"/>
    <n v="46.4"/>
    <d v="2025-01-21T00:00:00"/>
    <d v="2025-01-22T00:00:00"/>
    <x v="1"/>
    <x v="2"/>
    <n v="4"/>
    <x v="0"/>
    <x v="8"/>
    <x v="3"/>
    <x v="3"/>
    <x v="1"/>
  </r>
  <r>
    <x v="460"/>
    <x v="2"/>
    <x v="0"/>
    <n v="162.1"/>
    <n v="162.1"/>
    <d v="2025-01-21T00:00:00"/>
    <d v="2025-01-24T00:00:00"/>
    <x v="2"/>
    <x v="0"/>
    <n v="5"/>
    <x v="0"/>
    <x v="9"/>
    <x v="2"/>
    <x v="3"/>
    <x v="2"/>
  </r>
  <r>
    <x v="461"/>
    <x v="6"/>
    <x v="12"/>
    <n v="49.2"/>
    <n v="196.8"/>
    <d v="2025-01-21T00:00:00"/>
    <d v="2025-01-25T00:00:00"/>
    <x v="1"/>
    <x v="1"/>
    <n v="4"/>
    <x v="0"/>
    <x v="9"/>
    <x v="5"/>
    <x v="3"/>
    <x v="1"/>
  </r>
  <r>
    <x v="462"/>
    <x v="1"/>
    <x v="1"/>
    <n v="61"/>
    <n v="122"/>
    <d v="2025-01-21T00:00:00"/>
    <d v="2025-01-22T00:00:00"/>
    <x v="1"/>
    <x v="3"/>
    <n v="4"/>
    <x v="0"/>
    <x v="10"/>
    <x v="3"/>
    <x v="3"/>
    <x v="1"/>
  </r>
  <r>
    <x v="463"/>
    <x v="2"/>
    <x v="7"/>
    <n v="53.1"/>
    <n v="531"/>
    <d v="2025-01-21T00:00:00"/>
    <d v="2025-01-23T00:00:00"/>
    <x v="1"/>
    <x v="0"/>
    <n v="4"/>
    <x v="0"/>
    <x v="11"/>
    <x v="1"/>
    <x v="3"/>
    <x v="1"/>
  </r>
  <r>
    <x v="464"/>
    <x v="4"/>
    <x v="1"/>
    <n v="22.4"/>
    <n v="44.8"/>
    <d v="2025-01-21T00:00:00"/>
    <d v="2025-01-23T00:00:00"/>
    <x v="0"/>
    <x v="1"/>
    <n v="5"/>
    <x v="0"/>
    <x v="13"/>
    <x v="1"/>
    <x v="3"/>
    <x v="0"/>
  </r>
  <r>
    <x v="465"/>
    <x v="1"/>
    <x v="9"/>
    <n v="75.3"/>
    <n v="376.5"/>
    <d v="2025-01-21T00:00:00"/>
    <d v="2025-01-22T00:00:00"/>
    <x v="1"/>
    <x v="0"/>
    <n v="4"/>
    <x v="0"/>
    <x v="21"/>
    <x v="3"/>
    <x v="3"/>
    <x v="1"/>
  </r>
  <r>
    <x v="466"/>
    <x v="6"/>
    <x v="0"/>
    <n v="48.5"/>
    <n v="48.5"/>
    <d v="2025-01-21T00:00:00"/>
    <d v="2025-01-22T00:00:00"/>
    <x v="2"/>
    <x v="0"/>
    <n v="3"/>
    <x v="0"/>
    <x v="21"/>
    <x v="3"/>
    <x v="3"/>
    <x v="2"/>
  </r>
  <r>
    <x v="467"/>
    <x v="6"/>
    <x v="0"/>
    <n v="42.6"/>
    <n v="42.6"/>
    <d v="2025-01-21T00:00:00"/>
    <d v="2025-01-25T00:00:00"/>
    <x v="2"/>
    <x v="3"/>
    <n v="4"/>
    <x v="0"/>
    <x v="1"/>
    <x v="5"/>
    <x v="3"/>
    <x v="2"/>
  </r>
  <r>
    <x v="468"/>
    <x v="5"/>
    <x v="9"/>
    <n v="49"/>
    <n v="245"/>
    <d v="2025-01-21T00:00:00"/>
    <d v="2025-01-22T00:00:00"/>
    <x v="1"/>
    <x v="0"/>
    <n v="4"/>
    <x v="0"/>
    <x v="22"/>
    <x v="3"/>
    <x v="3"/>
    <x v="1"/>
  </r>
  <r>
    <x v="469"/>
    <x v="8"/>
    <x v="2"/>
    <n v="31.3"/>
    <n v="93.9"/>
    <d v="2025-01-21T00:00:00"/>
    <d v="2025-01-22T00:00:00"/>
    <x v="1"/>
    <x v="2"/>
    <n v="3"/>
    <x v="0"/>
    <x v="3"/>
    <x v="3"/>
    <x v="3"/>
    <x v="1"/>
  </r>
  <r>
    <x v="470"/>
    <x v="2"/>
    <x v="1"/>
    <n v="85.4"/>
    <n v="170.8"/>
    <d v="2025-01-21T00:00:00"/>
    <d v="2025-01-22T00:00:00"/>
    <x v="2"/>
    <x v="2"/>
    <n v="4"/>
    <x v="0"/>
    <x v="3"/>
    <x v="3"/>
    <x v="3"/>
    <x v="2"/>
  </r>
  <r>
    <x v="471"/>
    <x v="8"/>
    <x v="12"/>
    <n v="40"/>
    <n v="160"/>
    <d v="2025-01-21T00:00:00"/>
    <d v="2025-01-22T00:00:00"/>
    <x v="3"/>
    <x v="0"/>
    <n v="5"/>
    <x v="0"/>
    <x v="3"/>
    <x v="3"/>
    <x v="3"/>
    <x v="3"/>
  </r>
  <r>
    <x v="472"/>
    <x v="5"/>
    <x v="1"/>
    <n v="38.5"/>
    <n v="77"/>
    <d v="2025-01-21T00:00:00"/>
    <d v="2025-01-24T00:00:00"/>
    <x v="1"/>
    <x v="1"/>
    <n v="5"/>
    <x v="0"/>
    <x v="3"/>
    <x v="2"/>
    <x v="3"/>
    <x v="1"/>
  </r>
  <r>
    <x v="473"/>
    <x v="2"/>
    <x v="1"/>
    <n v="57.8"/>
    <n v="115.6"/>
    <d v="2025-01-21T00:00:00"/>
    <d v="2025-01-22T00:00:00"/>
    <x v="0"/>
    <x v="0"/>
    <n v="4"/>
    <x v="0"/>
    <x v="3"/>
    <x v="3"/>
    <x v="3"/>
    <x v="0"/>
  </r>
  <r>
    <x v="474"/>
    <x v="8"/>
    <x v="0"/>
    <n v="19.2"/>
    <n v="19.2"/>
    <d v="2025-01-21T00:00:00"/>
    <d v="2025-01-22T00:00:00"/>
    <x v="2"/>
    <x v="0"/>
    <n v="2"/>
    <x v="0"/>
    <x v="3"/>
    <x v="3"/>
    <x v="3"/>
    <x v="2"/>
  </r>
  <r>
    <x v="475"/>
    <x v="6"/>
    <x v="13"/>
    <n v="114.8"/>
    <n v="688.8"/>
    <d v="2025-01-21T00:00:00"/>
    <d v="2025-01-24T00:00:00"/>
    <x v="1"/>
    <x v="1"/>
    <n v="3"/>
    <x v="0"/>
    <x v="3"/>
    <x v="2"/>
    <x v="3"/>
    <x v="1"/>
  </r>
  <r>
    <x v="476"/>
    <x v="10"/>
    <x v="3"/>
    <n v="48.4"/>
    <n v="338.8"/>
    <d v="2025-01-21T00:00:00"/>
    <d v="2025-01-24T00:00:00"/>
    <x v="2"/>
    <x v="3"/>
    <n v="3"/>
    <x v="0"/>
    <x v="3"/>
    <x v="2"/>
    <x v="3"/>
    <x v="2"/>
  </r>
  <r>
    <x v="477"/>
    <x v="9"/>
    <x v="9"/>
    <n v="73.2"/>
    <n v="366"/>
    <d v="2025-01-21T00:00:00"/>
    <d v="2025-01-22T00:00:00"/>
    <x v="2"/>
    <x v="1"/>
    <n v="2"/>
    <x v="0"/>
    <x v="3"/>
    <x v="3"/>
    <x v="3"/>
    <x v="2"/>
  </r>
  <r>
    <x v="478"/>
    <x v="15"/>
    <x v="1"/>
    <n v="48.6"/>
    <n v="97.2"/>
    <d v="2025-01-21T00:00:00"/>
    <d v="2025-01-25T00:00:00"/>
    <x v="2"/>
    <x v="3"/>
    <n v="4"/>
    <x v="0"/>
    <x v="3"/>
    <x v="5"/>
    <x v="3"/>
    <x v="2"/>
  </r>
  <r>
    <x v="479"/>
    <x v="0"/>
    <x v="13"/>
    <n v="48.7"/>
    <n v="292.20000000000005"/>
    <d v="2025-01-21T00:00:00"/>
    <d v="2025-01-22T00:00:00"/>
    <x v="1"/>
    <x v="0"/>
    <n v="4"/>
    <x v="0"/>
    <x v="3"/>
    <x v="3"/>
    <x v="3"/>
    <x v="1"/>
  </r>
  <r>
    <x v="480"/>
    <x v="4"/>
    <x v="1"/>
    <n v="32.200000000000003"/>
    <n v="64.400000000000006"/>
    <d v="2025-01-21T00:00:00"/>
    <d v="2025-01-24T00:00:00"/>
    <x v="1"/>
    <x v="2"/>
    <n v="5"/>
    <x v="0"/>
    <x v="3"/>
    <x v="2"/>
    <x v="3"/>
    <x v="1"/>
  </r>
  <r>
    <x v="481"/>
    <x v="15"/>
    <x v="8"/>
    <n v="25.8"/>
    <n v="206.4"/>
    <d v="2025-01-21T00:00:00"/>
    <d v="2025-01-22T00:00:00"/>
    <x v="1"/>
    <x v="0"/>
    <n v="4"/>
    <x v="0"/>
    <x v="37"/>
    <x v="3"/>
    <x v="3"/>
    <x v="1"/>
  </r>
  <r>
    <x v="482"/>
    <x v="6"/>
    <x v="1"/>
    <n v="94.8"/>
    <n v="189.6"/>
    <d v="2025-01-22T00:00:00"/>
    <d v="2025-01-25T00:00:00"/>
    <x v="2"/>
    <x v="1"/>
    <n v="3"/>
    <x v="0"/>
    <x v="25"/>
    <x v="2"/>
    <x v="3"/>
    <x v="2"/>
  </r>
  <r>
    <x v="483"/>
    <x v="15"/>
    <x v="30"/>
    <n v="56.8"/>
    <n v="1420"/>
    <d v="2025-01-22T00:00:00"/>
    <d v="2025-01-25T00:00:00"/>
    <x v="1"/>
    <x v="0"/>
    <n v="4"/>
    <x v="0"/>
    <x v="25"/>
    <x v="2"/>
    <x v="3"/>
    <x v="1"/>
  </r>
  <r>
    <x v="484"/>
    <x v="8"/>
    <x v="27"/>
    <n v="18.3"/>
    <n v="292.8"/>
    <d v="2025-01-22T00:00:00"/>
    <d v="2025-01-29T00:00:00"/>
    <x v="2"/>
    <x v="2"/>
    <n v="5"/>
    <x v="0"/>
    <x v="23"/>
    <x v="6"/>
    <x v="3"/>
    <x v="2"/>
  </r>
  <r>
    <x v="485"/>
    <x v="0"/>
    <x v="2"/>
    <n v="16.8"/>
    <n v="50.400000000000006"/>
    <d v="2025-01-22T00:00:00"/>
    <d v="2025-01-27T00:00:00"/>
    <x v="2"/>
    <x v="2"/>
    <n v="5"/>
    <x v="0"/>
    <x v="8"/>
    <x v="0"/>
    <x v="3"/>
    <x v="2"/>
  </r>
  <r>
    <x v="486"/>
    <x v="5"/>
    <x v="5"/>
    <n v="35.799999999999997"/>
    <n v="393.79999999999995"/>
    <d v="2025-01-22T00:00:00"/>
    <d v="2025-01-23T00:00:00"/>
    <x v="1"/>
    <x v="1"/>
    <n v="4"/>
    <x v="0"/>
    <x v="17"/>
    <x v="3"/>
    <x v="3"/>
    <x v="1"/>
  </r>
  <r>
    <x v="487"/>
    <x v="18"/>
    <x v="0"/>
    <n v="64.900000000000006"/>
    <n v="64.900000000000006"/>
    <d v="2025-01-22T00:00:00"/>
    <d v="2025-01-23T00:00:00"/>
    <x v="1"/>
    <x v="0"/>
    <n v="3"/>
    <x v="0"/>
    <x v="17"/>
    <x v="3"/>
    <x v="3"/>
    <x v="1"/>
  </r>
  <r>
    <x v="488"/>
    <x v="18"/>
    <x v="0"/>
    <n v="28.5"/>
    <n v="28.5"/>
    <d v="2025-01-22T00:00:00"/>
    <d v="2025-01-24T00:00:00"/>
    <x v="0"/>
    <x v="1"/>
    <n v="4"/>
    <x v="0"/>
    <x v="9"/>
    <x v="1"/>
    <x v="3"/>
    <x v="0"/>
  </r>
  <r>
    <x v="489"/>
    <x v="18"/>
    <x v="1"/>
    <n v="103.5"/>
    <n v="207"/>
    <d v="2025-01-22T00:00:00"/>
    <d v="2025-01-24T00:00:00"/>
    <x v="2"/>
    <x v="1"/>
    <n v="4"/>
    <x v="0"/>
    <x v="10"/>
    <x v="1"/>
    <x v="3"/>
    <x v="2"/>
  </r>
  <r>
    <x v="490"/>
    <x v="4"/>
    <x v="1"/>
    <n v="41.2"/>
    <n v="82.4"/>
    <d v="2025-01-22T00:00:00"/>
    <d v="2025-01-23T00:00:00"/>
    <x v="2"/>
    <x v="1"/>
    <n v="4"/>
    <x v="0"/>
    <x v="10"/>
    <x v="3"/>
    <x v="3"/>
    <x v="2"/>
  </r>
  <r>
    <x v="491"/>
    <x v="9"/>
    <x v="0"/>
    <n v="37.799999999999997"/>
    <n v="37.799999999999997"/>
    <d v="2025-01-22T00:00:00"/>
    <d v="2025-01-24T00:00:00"/>
    <x v="2"/>
    <x v="3"/>
    <n v="1"/>
    <x v="0"/>
    <x v="11"/>
    <x v="1"/>
    <x v="3"/>
    <x v="2"/>
  </r>
  <r>
    <x v="492"/>
    <x v="8"/>
    <x v="1"/>
    <n v="42.6"/>
    <n v="85.2"/>
    <d v="2025-01-22T00:00:00"/>
    <d v="2025-01-24T00:00:00"/>
    <x v="2"/>
    <x v="4"/>
    <n v="4"/>
    <x v="0"/>
    <x v="11"/>
    <x v="1"/>
    <x v="3"/>
    <x v="2"/>
  </r>
  <r>
    <x v="493"/>
    <x v="8"/>
    <x v="7"/>
    <n v="15.2"/>
    <n v="152"/>
    <d v="2025-01-22T00:00:00"/>
    <d v="2025-01-24T00:00:00"/>
    <x v="2"/>
    <x v="2"/>
    <n v="4"/>
    <x v="0"/>
    <x v="11"/>
    <x v="1"/>
    <x v="3"/>
    <x v="2"/>
  </r>
  <r>
    <x v="494"/>
    <x v="7"/>
    <x v="12"/>
    <n v="83.4"/>
    <n v="333.6"/>
    <d v="2025-01-22T00:00:00"/>
    <d v="2025-01-23T00:00:00"/>
    <x v="2"/>
    <x v="2"/>
    <n v="3"/>
    <x v="0"/>
    <x v="18"/>
    <x v="3"/>
    <x v="3"/>
    <x v="2"/>
  </r>
  <r>
    <x v="495"/>
    <x v="19"/>
    <x v="1"/>
    <n v="27.7"/>
    <n v="55.4"/>
    <d v="2025-01-22T00:00:00"/>
    <d v="2025-01-23T00:00:00"/>
    <x v="2"/>
    <x v="0"/>
    <n v="3"/>
    <x v="0"/>
    <x v="13"/>
    <x v="3"/>
    <x v="3"/>
    <x v="2"/>
  </r>
  <r>
    <x v="496"/>
    <x v="10"/>
    <x v="4"/>
    <n v="20.8"/>
    <n v="249.60000000000002"/>
    <d v="2025-01-22T00:00:00"/>
    <d v="2025-01-23T00:00:00"/>
    <x v="1"/>
    <x v="3"/>
    <n v="4"/>
    <x v="0"/>
    <x v="13"/>
    <x v="3"/>
    <x v="3"/>
    <x v="1"/>
  </r>
  <r>
    <x v="497"/>
    <x v="11"/>
    <x v="1"/>
    <n v="72.7"/>
    <n v="145.4"/>
    <d v="2025-01-22T00:00:00"/>
    <d v="2025-01-26T00:00:00"/>
    <x v="2"/>
    <x v="4"/>
    <n v="5"/>
    <x v="0"/>
    <x v="44"/>
    <x v="5"/>
    <x v="3"/>
    <x v="2"/>
  </r>
  <r>
    <x v="498"/>
    <x v="10"/>
    <x v="12"/>
    <n v="38.6"/>
    <n v="154.4"/>
    <d v="2025-01-22T00:00:00"/>
    <d v="2025-01-23T00:00:00"/>
    <x v="1"/>
    <x v="0"/>
    <n v="5"/>
    <x v="0"/>
    <x v="22"/>
    <x v="3"/>
    <x v="3"/>
    <x v="1"/>
  </r>
  <r>
    <x v="499"/>
    <x v="8"/>
    <x v="3"/>
    <n v="33.1"/>
    <n v="231.70000000000002"/>
    <d v="2025-01-22T00:00:00"/>
    <d v="2025-01-23T00:00:00"/>
    <x v="3"/>
    <x v="4"/>
    <n v="1"/>
    <x v="0"/>
    <x v="3"/>
    <x v="3"/>
    <x v="3"/>
    <x v="3"/>
  </r>
  <r>
    <x v="500"/>
    <x v="10"/>
    <x v="1"/>
    <n v="30.5"/>
    <n v="61"/>
    <d v="2025-01-22T00:00:00"/>
    <d v="2025-01-22T00:00:00"/>
    <x v="0"/>
    <x v="1"/>
    <n v="3"/>
    <x v="0"/>
    <x v="3"/>
    <x v="7"/>
    <x v="3"/>
    <x v="0"/>
  </r>
  <r>
    <x v="501"/>
    <x v="9"/>
    <x v="1"/>
    <n v="69.599999999999994"/>
    <n v="139.19999999999999"/>
    <d v="2025-01-22T00:00:00"/>
    <d v="2025-01-23T00:00:00"/>
    <x v="1"/>
    <x v="0"/>
    <n v="3"/>
    <x v="0"/>
    <x v="3"/>
    <x v="3"/>
    <x v="3"/>
    <x v="1"/>
  </r>
  <r>
    <x v="502"/>
    <x v="11"/>
    <x v="0"/>
    <n v="42.4"/>
    <n v="42.4"/>
    <d v="2025-01-22T00:00:00"/>
    <d v="2025-01-26T00:00:00"/>
    <x v="2"/>
    <x v="1"/>
    <n v="4"/>
    <x v="0"/>
    <x v="3"/>
    <x v="5"/>
    <x v="3"/>
    <x v="2"/>
  </r>
  <r>
    <x v="503"/>
    <x v="17"/>
    <x v="0"/>
    <n v="32.200000000000003"/>
    <n v="32.200000000000003"/>
    <d v="2025-01-22T00:00:00"/>
    <d v="2025-01-25T00:00:00"/>
    <x v="2"/>
    <x v="2"/>
    <n v="3"/>
    <x v="0"/>
    <x v="3"/>
    <x v="2"/>
    <x v="3"/>
    <x v="2"/>
  </r>
  <r>
    <x v="504"/>
    <x v="6"/>
    <x v="1"/>
    <n v="41.5"/>
    <n v="83"/>
    <d v="2025-01-22T00:00:00"/>
    <d v="2025-01-25T00:00:00"/>
    <x v="2"/>
    <x v="0"/>
    <n v="5"/>
    <x v="0"/>
    <x v="3"/>
    <x v="2"/>
    <x v="3"/>
    <x v="2"/>
  </r>
  <r>
    <x v="505"/>
    <x v="16"/>
    <x v="11"/>
    <n v="58.9"/>
    <n v="530.1"/>
    <d v="2025-01-22T00:00:00"/>
    <d v="2025-01-26T00:00:00"/>
    <x v="2"/>
    <x v="3"/>
    <n v="4"/>
    <x v="0"/>
    <x v="3"/>
    <x v="5"/>
    <x v="3"/>
    <x v="2"/>
  </r>
  <r>
    <x v="506"/>
    <x v="2"/>
    <x v="0"/>
    <n v="57.1"/>
    <n v="57.1"/>
    <d v="2025-01-22T00:00:00"/>
    <d v="2025-01-25T00:00:00"/>
    <x v="2"/>
    <x v="1"/>
    <n v="4"/>
    <x v="0"/>
    <x v="3"/>
    <x v="2"/>
    <x v="3"/>
    <x v="2"/>
  </r>
  <r>
    <x v="507"/>
    <x v="6"/>
    <x v="0"/>
    <n v="57.2"/>
    <n v="57.2"/>
    <d v="2025-01-22T00:00:00"/>
    <d v="2025-01-24T00:00:00"/>
    <x v="1"/>
    <x v="1"/>
    <n v="4"/>
    <x v="0"/>
    <x v="3"/>
    <x v="1"/>
    <x v="3"/>
    <x v="1"/>
  </r>
  <r>
    <x v="508"/>
    <x v="8"/>
    <x v="1"/>
    <n v="35.1"/>
    <n v="70.2"/>
    <d v="2025-01-22T00:00:00"/>
    <d v="2025-01-23T00:00:00"/>
    <x v="1"/>
    <x v="1"/>
    <n v="4"/>
    <x v="0"/>
    <x v="6"/>
    <x v="3"/>
    <x v="3"/>
    <x v="1"/>
  </r>
  <r>
    <x v="509"/>
    <x v="1"/>
    <x v="0"/>
    <n v="52.1"/>
    <n v="52.1"/>
    <d v="2025-01-22T00:00:00"/>
    <d v="2025-01-24T00:00:00"/>
    <x v="2"/>
    <x v="4"/>
    <n v="3"/>
    <x v="0"/>
    <x v="8"/>
    <x v="1"/>
    <x v="3"/>
    <x v="2"/>
  </r>
  <r>
    <x v="510"/>
    <x v="13"/>
    <x v="2"/>
    <n v="59.8"/>
    <n v="179.39999999999998"/>
    <d v="2025-01-22T00:00:00"/>
    <d v="2025-01-24T00:00:00"/>
    <x v="2"/>
    <x v="4"/>
    <n v="3"/>
    <x v="0"/>
    <x v="8"/>
    <x v="1"/>
    <x v="3"/>
    <x v="2"/>
  </r>
  <r>
    <x v="511"/>
    <x v="3"/>
    <x v="12"/>
    <n v="83.3"/>
    <n v="333.2"/>
    <d v="2025-01-22T00:00:00"/>
    <d v="2025-01-22T00:00:00"/>
    <x v="0"/>
    <x v="2"/>
    <n v="4"/>
    <x v="0"/>
    <x v="8"/>
    <x v="7"/>
    <x v="3"/>
    <x v="0"/>
  </r>
  <r>
    <x v="512"/>
    <x v="15"/>
    <x v="4"/>
    <n v="41.3"/>
    <n v="495.59999999999997"/>
    <d v="2025-01-22T00:00:00"/>
    <d v="2025-01-23T00:00:00"/>
    <x v="2"/>
    <x v="1"/>
    <n v="4"/>
    <x v="0"/>
    <x v="8"/>
    <x v="3"/>
    <x v="3"/>
    <x v="2"/>
  </r>
  <r>
    <x v="513"/>
    <x v="8"/>
    <x v="9"/>
    <n v="16"/>
    <n v="80"/>
    <d v="2025-01-22T00:00:00"/>
    <d v="2025-01-24T00:00:00"/>
    <x v="1"/>
    <x v="4"/>
    <n v="3"/>
    <x v="0"/>
    <x v="9"/>
    <x v="1"/>
    <x v="3"/>
    <x v="1"/>
  </r>
  <r>
    <x v="514"/>
    <x v="10"/>
    <x v="1"/>
    <n v="20.8"/>
    <n v="41.6"/>
    <d v="2025-01-23T00:00:00"/>
    <d v="2025-01-25T00:00:00"/>
    <x v="1"/>
    <x v="0"/>
    <n v="5"/>
    <x v="0"/>
    <x v="11"/>
    <x v="1"/>
    <x v="3"/>
    <x v="1"/>
  </r>
  <r>
    <x v="515"/>
    <x v="8"/>
    <x v="31"/>
    <n v="27.1"/>
    <n v="758.80000000000007"/>
    <d v="2025-01-23T00:00:00"/>
    <d v="2025-01-24T00:00:00"/>
    <x v="0"/>
    <x v="3"/>
    <n v="5"/>
    <x v="0"/>
    <x v="11"/>
    <x v="3"/>
    <x v="3"/>
    <x v="0"/>
  </r>
  <r>
    <x v="516"/>
    <x v="10"/>
    <x v="1"/>
    <n v="38.9"/>
    <n v="77.8"/>
    <d v="2025-01-23T00:00:00"/>
    <d v="2025-01-25T00:00:00"/>
    <x v="2"/>
    <x v="0"/>
    <n v="4"/>
    <x v="0"/>
    <x v="18"/>
    <x v="1"/>
    <x v="3"/>
    <x v="2"/>
  </r>
  <r>
    <x v="517"/>
    <x v="0"/>
    <x v="1"/>
    <n v="10.8"/>
    <n v="21.6"/>
    <d v="2025-01-23T00:00:00"/>
    <d v="2025-01-26T00:00:00"/>
    <x v="2"/>
    <x v="1"/>
    <n v="5"/>
    <x v="0"/>
    <x v="45"/>
    <x v="2"/>
    <x v="3"/>
    <x v="2"/>
  </r>
  <r>
    <x v="518"/>
    <x v="4"/>
    <x v="15"/>
    <n v="48.4"/>
    <n v="629.19999999999993"/>
    <d v="2025-01-23T00:00:00"/>
    <d v="2025-01-27T00:00:00"/>
    <x v="2"/>
    <x v="0"/>
    <n v="4"/>
    <x v="0"/>
    <x v="21"/>
    <x v="5"/>
    <x v="3"/>
    <x v="2"/>
  </r>
  <r>
    <x v="519"/>
    <x v="4"/>
    <x v="2"/>
    <n v="29.2"/>
    <n v="87.6"/>
    <d v="2025-01-23T00:00:00"/>
    <d v="2025-01-26T00:00:00"/>
    <x v="2"/>
    <x v="1"/>
    <n v="3"/>
    <x v="0"/>
    <x v="2"/>
    <x v="2"/>
    <x v="3"/>
    <x v="2"/>
  </r>
  <r>
    <x v="520"/>
    <x v="4"/>
    <x v="1"/>
    <n v="25.1"/>
    <n v="50.2"/>
    <d v="2025-01-23T00:00:00"/>
    <d v="2025-01-24T00:00:00"/>
    <x v="1"/>
    <x v="0"/>
    <n v="3"/>
    <x v="0"/>
    <x v="2"/>
    <x v="3"/>
    <x v="3"/>
    <x v="1"/>
  </r>
  <r>
    <x v="521"/>
    <x v="7"/>
    <x v="2"/>
    <n v="65.599999999999994"/>
    <n v="196.79999999999998"/>
    <d v="2025-01-23T00:00:00"/>
    <d v="2025-01-23T00:00:00"/>
    <x v="2"/>
    <x v="2"/>
    <n v="3"/>
    <x v="0"/>
    <x v="3"/>
    <x v="7"/>
    <x v="3"/>
    <x v="2"/>
  </r>
  <r>
    <x v="522"/>
    <x v="2"/>
    <x v="1"/>
    <n v="57.3"/>
    <n v="114.6"/>
    <d v="2025-01-23T00:00:00"/>
    <d v="2025-01-23T00:00:00"/>
    <x v="0"/>
    <x v="0"/>
    <n v="4"/>
    <x v="0"/>
    <x v="3"/>
    <x v="7"/>
    <x v="3"/>
    <x v="0"/>
  </r>
  <r>
    <x v="523"/>
    <x v="9"/>
    <x v="12"/>
    <n v="22.4"/>
    <n v="89.6"/>
    <d v="2025-01-23T00:00:00"/>
    <d v="2025-01-24T00:00:00"/>
    <x v="2"/>
    <x v="2"/>
    <n v="5"/>
    <x v="0"/>
    <x v="3"/>
    <x v="3"/>
    <x v="3"/>
    <x v="2"/>
  </r>
  <r>
    <x v="524"/>
    <x v="12"/>
    <x v="11"/>
    <n v="45.7"/>
    <n v="411.3"/>
    <d v="2025-01-23T00:00:00"/>
    <d v="2025-01-24T00:00:00"/>
    <x v="2"/>
    <x v="0"/>
    <n v="4"/>
    <x v="0"/>
    <x v="3"/>
    <x v="3"/>
    <x v="3"/>
    <x v="2"/>
  </r>
  <r>
    <x v="525"/>
    <x v="8"/>
    <x v="1"/>
    <n v="29.3"/>
    <n v="58.6"/>
    <d v="2025-01-23T00:00:00"/>
    <d v="2025-01-24T00:00:00"/>
    <x v="1"/>
    <x v="1"/>
    <n v="4"/>
    <x v="0"/>
    <x v="3"/>
    <x v="3"/>
    <x v="3"/>
    <x v="1"/>
  </r>
  <r>
    <x v="526"/>
    <x v="18"/>
    <x v="32"/>
    <n v="74"/>
    <n v="1628"/>
    <d v="2025-01-23T00:00:00"/>
    <d v="2025-01-24T00:00:00"/>
    <x v="1"/>
    <x v="0"/>
    <n v="5"/>
    <x v="0"/>
    <x v="3"/>
    <x v="3"/>
    <x v="3"/>
    <x v="1"/>
  </r>
  <r>
    <x v="527"/>
    <x v="14"/>
    <x v="1"/>
    <n v="39.200000000000003"/>
    <n v="78.400000000000006"/>
    <d v="2025-01-23T00:00:00"/>
    <d v="2025-01-25T00:00:00"/>
    <x v="2"/>
    <x v="1"/>
    <n v="4"/>
    <x v="0"/>
    <x v="3"/>
    <x v="1"/>
    <x v="3"/>
    <x v="2"/>
  </r>
  <r>
    <x v="528"/>
    <x v="4"/>
    <x v="14"/>
    <n v="62.7"/>
    <n v="1065.9000000000001"/>
    <d v="2025-01-23T00:00:00"/>
    <d v="2025-01-24T00:00:00"/>
    <x v="2"/>
    <x v="2"/>
    <n v="3"/>
    <x v="0"/>
    <x v="3"/>
    <x v="3"/>
    <x v="3"/>
    <x v="2"/>
  </r>
  <r>
    <x v="529"/>
    <x v="10"/>
    <x v="1"/>
    <n v="60.1"/>
    <n v="120.2"/>
    <d v="2025-01-23T00:00:00"/>
    <d v="2025-01-24T00:00:00"/>
    <x v="2"/>
    <x v="3"/>
    <n v="4"/>
    <x v="0"/>
    <x v="3"/>
    <x v="3"/>
    <x v="3"/>
    <x v="2"/>
  </r>
  <r>
    <x v="530"/>
    <x v="0"/>
    <x v="12"/>
    <n v="11.2"/>
    <n v="44.8"/>
    <d v="2025-01-23T00:00:00"/>
    <d v="2025-01-24T00:00:00"/>
    <x v="2"/>
    <x v="3"/>
    <n v="3"/>
    <x v="0"/>
    <x v="3"/>
    <x v="3"/>
    <x v="3"/>
    <x v="2"/>
  </r>
  <r>
    <x v="531"/>
    <x v="8"/>
    <x v="1"/>
    <n v="22.9"/>
    <n v="45.8"/>
    <d v="2025-01-23T00:00:00"/>
    <d v="2025-01-24T00:00:00"/>
    <x v="2"/>
    <x v="0"/>
    <n v="4"/>
    <x v="0"/>
    <x v="6"/>
    <x v="3"/>
    <x v="3"/>
    <x v="2"/>
  </r>
  <r>
    <x v="532"/>
    <x v="1"/>
    <x v="1"/>
    <n v="37.6"/>
    <n v="75.2"/>
    <d v="2025-01-23T00:00:00"/>
    <d v="2025-01-26T00:00:00"/>
    <x v="2"/>
    <x v="0"/>
    <n v="4"/>
    <x v="0"/>
    <x v="6"/>
    <x v="2"/>
    <x v="3"/>
    <x v="2"/>
  </r>
  <r>
    <x v="533"/>
    <x v="6"/>
    <x v="0"/>
    <n v="42.4"/>
    <n v="42.4"/>
    <d v="2025-01-23T00:00:00"/>
    <d v="2025-01-24T00:00:00"/>
    <x v="2"/>
    <x v="3"/>
    <n v="5"/>
    <x v="0"/>
    <x v="6"/>
    <x v="3"/>
    <x v="3"/>
    <x v="2"/>
  </r>
  <r>
    <x v="534"/>
    <x v="8"/>
    <x v="1"/>
    <n v="19.600000000000001"/>
    <n v="39.200000000000003"/>
    <d v="2025-01-23T00:00:00"/>
    <d v="2025-01-27T00:00:00"/>
    <x v="2"/>
    <x v="2"/>
    <n v="4"/>
    <x v="0"/>
    <x v="7"/>
    <x v="5"/>
    <x v="3"/>
    <x v="2"/>
  </r>
  <r>
    <x v="535"/>
    <x v="9"/>
    <x v="0"/>
    <n v="90.5"/>
    <n v="90.5"/>
    <d v="2025-01-23T00:00:00"/>
    <d v="2025-01-26T00:00:00"/>
    <x v="2"/>
    <x v="2"/>
    <n v="4"/>
    <x v="0"/>
    <x v="7"/>
    <x v="2"/>
    <x v="3"/>
    <x v="2"/>
  </r>
  <r>
    <x v="536"/>
    <x v="16"/>
    <x v="5"/>
    <n v="33.9"/>
    <n v="372.9"/>
    <d v="2025-01-23T00:00:00"/>
    <d v="2025-01-24T00:00:00"/>
    <x v="1"/>
    <x v="2"/>
    <n v="3"/>
    <x v="0"/>
    <x v="7"/>
    <x v="3"/>
    <x v="3"/>
    <x v="1"/>
  </r>
  <r>
    <x v="537"/>
    <x v="0"/>
    <x v="1"/>
    <n v="32.799999999999997"/>
    <n v="65.599999999999994"/>
    <d v="2025-01-23T00:00:00"/>
    <d v="2025-01-25T00:00:00"/>
    <x v="2"/>
    <x v="4"/>
    <n v="2"/>
    <x v="0"/>
    <x v="8"/>
    <x v="1"/>
    <x v="3"/>
    <x v="2"/>
  </r>
  <r>
    <x v="538"/>
    <x v="15"/>
    <x v="0"/>
    <n v="49.9"/>
    <n v="49.9"/>
    <d v="2025-01-23T00:00:00"/>
    <d v="2025-01-24T00:00:00"/>
    <x v="1"/>
    <x v="3"/>
    <n v="3"/>
    <x v="0"/>
    <x v="8"/>
    <x v="3"/>
    <x v="3"/>
    <x v="1"/>
  </r>
  <r>
    <x v="539"/>
    <x v="7"/>
    <x v="9"/>
    <n v="79.2"/>
    <n v="396"/>
    <d v="2025-01-23T00:00:00"/>
    <d v="2025-01-24T00:00:00"/>
    <x v="2"/>
    <x v="4"/>
    <n v="4"/>
    <x v="0"/>
    <x v="8"/>
    <x v="3"/>
    <x v="3"/>
    <x v="2"/>
  </r>
  <r>
    <x v="540"/>
    <x v="8"/>
    <x v="27"/>
    <n v="19.5"/>
    <n v="312"/>
    <d v="2025-01-23T00:00:00"/>
    <d v="2025-01-25T00:00:00"/>
    <x v="1"/>
    <x v="3"/>
    <n v="5"/>
    <x v="0"/>
    <x v="8"/>
    <x v="1"/>
    <x v="3"/>
    <x v="1"/>
  </r>
  <r>
    <x v="541"/>
    <x v="8"/>
    <x v="12"/>
    <n v="18"/>
    <n v="72"/>
    <d v="2025-01-23T00:00:00"/>
    <d v="2025-01-24T00:00:00"/>
    <x v="1"/>
    <x v="1"/>
    <n v="4"/>
    <x v="0"/>
    <x v="10"/>
    <x v="3"/>
    <x v="3"/>
    <x v="1"/>
  </r>
  <r>
    <x v="542"/>
    <x v="9"/>
    <x v="2"/>
    <n v="45.9"/>
    <n v="137.69999999999999"/>
    <d v="2025-01-23T00:00:00"/>
    <d v="2025-01-25T00:00:00"/>
    <x v="2"/>
    <x v="1"/>
    <n v="3"/>
    <x v="0"/>
    <x v="10"/>
    <x v="1"/>
    <x v="3"/>
    <x v="2"/>
  </r>
  <r>
    <x v="543"/>
    <x v="11"/>
    <x v="0"/>
    <n v="41.2"/>
    <n v="41.2"/>
    <d v="2025-01-23T00:00:00"/>
    <d v="2025-01-25T00:00:00"/>
    <x v="2"/>
    <x v="1"/>
    <n v="5"/>
    <x v="0"/>
    <x v="11"/>
    <x v="1"/>
    <x v="3"/>
    <x v="2"/>
  </r>
  <r>
    <x v="544"/>
    <x v="2"/>
    <x v="7"/>
    <n v="167.2"/>
    <n v="1672"/>
    <d v="2025-01-23T00:00:00"/>
    <d v="2025-01-25T00:00:00"/>
    <x v="2"/>
    <x v="2"/>
    <n v="5"/>
    <x v="0"/>
    <x v="32"/>
    <x v="1"/>
    <x v="3"/>
    <x v="2"/>
  </r>
  <r>
    <x v="545"/>
    <x v="6"/>
    <x v="17"/>
    <n v="74.5"/>
    <n v="2235"/>
    <d v="2025-01-24T00:00:00"/>
    <d v="2025-01-27T00:00:00"/>
    <x v="2"/>
    <x v="1"/>
    <n v="5"/>
    <x v="0"/>
    <x v="38"/>
    <x v="2"/>
    <x v="3"/>
    <x v="2"/>
  </r>
  <r>
    <x v="546"/>
    <x v="7"/>
    <x v="12"/>
    <n v="39.299999999999997"/>
    <n v="157.19999999999999"/>
    <d v="2025-01-24T00:00:00"/>
    <d v="2025-01-25T00:00:00"/>
    <x v="0"/>
    <x v="2"/>
    <n v="4"/>
    <x v="0"/>
    <x v="19"/>
    <x v="3"/>
    <x v="3"/>
    <x v="0"/>
  </r>
  <r>
    <x v="547"/>
    <x v="9"/>
    <x v="0"/>
    <n v="68.5"/>
    <n v="68.5"/>
    <d v="2025-01-24T00:00:00"/>
    <d v="2025-01-27T00:00:00"/>
    <x v="1"/>
    <x v="1"/>
    <n v="5"/>
    <x v="0"/>
    <x v="12"/>
    <x v="2"/>
    <x v="3"/>
    <x v="1"/>
  </r>
  <r>
    <x v="548"/>
    <x v="0"/>
    <x v="2"/>
    <n v="22.5"/>
    <n v="67.5"/>
    <d v="2025-01-24T00:00:00"/>
    <d v="2025-01-24T00:00:00"/>
    <x v="2"/>
    <x v="4"/>
    <n v="4"/>
    <x v="0"/>
    <x v="13"/>
    <x v="7"/>
    <x v="3"/>
    <x v="2"/>
  </r>
  <r>
    <x v="549"/>
    <x v="1"/>
    <x v="0"/>
    <n v="48"/>
    <n v="48"/>
    <d v="2025-01-24T00:00:00"/>
    <d v="2025-01-25T00:00:00"/>
    <x v="3"/>
    <x v="4"/>
    <n v="3"/>
    <x v="0"/>
    <x v="46"/>
    <x v="3"/>
    <x v="3"/>
    <x v="3"/>
  </r>
  <r>
    <x v="550"/>
    <x v="6"/>
    <x v="0"/>
    <n v="94"/>
    <n v="94"/>
    <d v="2025-01-24T00:00:00"/>
    <d v="2025-01-25T00:00:00"/>
    <x v="1"/>
    <x v="3"/>
    <n v="3"/>
    <x v="0"/>
    <x v="1"/>
    <x v="3"/>
    <x v="3"/>
    <x v="1"/>
  </r>
  <r>
    <x v="551"/>
    <x v="8"/>
    <x v="2"/>
    <n v="21.9"/>
    <n v="65.699999999999989"/>
    <d v="2025-01-24T00:00:00"/>
    <d v="2025-01-25T00:00:00"/>
    <x v="2"/>
    <x v="0"/>
    <n v="4"/>
    <x v="0"/>
    <x v="44"/>
    <x v="3"/>
    <x v="3"/>
    <x v="2"/>
  </r>
  <r>
    <x v="552"/>
    <x v="6"/>
    <x v="3"/>
    <n v="64.900000000000006"/>
    <n v="454.30000000000007"/>
    <d v="2025-01-24T00:00:00"/>
    <d v="2025-01-25T00:00:00"/>
    <x v="2"/>
    <x v="0"/>
    <n v="4"/>
    <x v="0"/>
    <x v="3"/>
    <x v="3"/>
    <x v="3"/>
    <x v="2"/>
  </r>
  <r>
    <x v="553"/>
    <x v="12"/>
    <x v="0"/>
    <n v="52.9"/>
    <n v="52.9"/>
    <d v="2025-01-24T00:00:00"/>
    <d v="2025-01-24T00:00:00"/>
    <x v="2"/>
    <x v="1"/>
    <n v="3"/>
    <x v="0"/>
    <x v="3"/>
    <x v="7"/>
    <x v="3"/>
    <x v="2"/>
  </r>
  <r>
    <x v="554"/>
    <x v="8"/>
    <x v="2"/>
    <n v="25.5"/>
    <n v="76.5"/>
    <d v="2025-01-24T00:00:00"/>
    <d v="2025-01-25T00:00:00"/>
    <x v="2"/>
    <x v="1"/>
    <n v="5"/>
    <x v="0"/>
    <x v="3"/>
    <x v="3"/>
    <x v="3"/>
    <x v="2"/>
  </r>
  <r>
    <x v="555"/>
    <x v="6"/>
    <x v="2"/>
    <n v="51.9"/>
    <n v="155.69999999999999"/>
    <d v="2025-01-24T00:00:00"/>
    <d v="2025-01-25T00:00:00"/>
    <x v="2"/>
    <x v="3"/>
    <n v="4"/>
    <x v="0"/>
    <x v="3"/>
    <x v="3"/>
    <x v="3"/>
    <x v="2"/>
  </r>
  <r>
    <x v="556"/>
    <x v="5"/>
    <x v="0"/>
    <n v="46.3"/>
    <n v="46.3"/>
    <d v="2025-01-24T00:00:00"/>
    <d v="2025-01-27T00:00:00"/>
    <x v="2"/>
    <x v="4"/>
    <n v="4"/>
    <x v="0"/>
    <x v="3"/>
    <x v="2"/>
    <x v="3"/>
    <x v="2"/>
  </r>
  <r>
    <x v="557"/>
    <x v="6"/>
    <x v="1"/>
    <n v="68.2"/>
    <n v="136.4"/>
    <d v="2025-01-24T00:00:00"/>
    <d v="2025-01-26T00:00:00"/>
    <x v="2"/>
    <x v="3"/>
    <n v="4"/>
    <x v="0"/>
    <x v="3"/>
    <x v="1"/>
    <x v="3"/>
    <x v="2"/>
  </r>
  <r>
    <x v="558"/>
    <x v="1"/>
    <x v="0"/>
    <n v="40.299999999999997"/>
    <n v="40.299999999999997"/>
    <d v="2025-01-24T00:00:00"/>
    <d v="2025-01-25T00:00:00"/>
    <x v="1"/>
    <x v="0"/>
    <n v="3"/>
    <x v="0"/>
    <x v="3"/>
    <x v="3"/>
    <x v="3"/>
    <x v="1"/>
  </r>
  <r>
    <x v="559"/>
    <x v="2"/>
    <x v="2"/>
    <n v="91.3"/>
    <n v="273.89999999999998"/>
    <d v="2025-01-24T00:00:00"/>
    <d v="2025-01-29T00:00:00"/>
    <x v="1"/>
    <x v="0"/>
    <n v="5"/>
    <x v="0"/>
    <x v="6"/>
    <x v="0"/>
    <x v="3"/>
    <x v="1"/>
  </r>
  <r>
    <x v="560"/>
    <x v="0"/>
    <x v="2"/>
    <n v="11.9"/>
    <n v="35.700000000000003"/>
    <d v="2025-01-24T00:00:00"/>
    <d v="2025-01-25T00:00:00"/>
    <x v="2"/>
    <x v="0"/>
    <n v="3"/>
    <x v="0"/>
    <x v="6"/>
    <x v="3"/>
    <x v="3"/>
    <x v="2"/>
  </r>
  <r>
    <x v="561"/>
    <x v="2"/>
    <x v="1"/>
    <n v="63.5"/>
    <n v="127"/>
    <d v="2025-01-24T00:00:00"/>
    <d v="2025-01-26T00:00:00"/>
    <x v="1"/>
    <x v="1"/>
    <n v="4"/>
    <x v="0"/>
    <x v="6"/>
    <x v="1"/>
    <x v="3"/>
    <x v="1"/>
  </r>
  <r>
    <x v="562"/>
    <x v="4"/>
    <x v="1"/>
    <n v="27.1"/>
    <n v="54.2"/>
    <d v="2025-01-24T00:00:00"/>
    <d v="2025-01-27T00:00:00"/>
    <x v="1"/>
    <x v="2"/>
    <n v="5"/>
    <x v="0"/>
    <x v="6"/>
    <x v="2"/>
    <x v="3"/>
    <x v="1"/>
  </r>
  <r>
    <x v="563"/>
    <x v="1"/>
    <x v="1"/>
    <n v="82.1"/>
    <n v="164.2"/>
    <d v="2025-01-25T00:00:00"/>
    <d v="2025-01-28T00:00:00"/>
    <x v="1"/>
    <x v="1"/>
    <n v="3"/>
    <x v="0"/>
    <x v="7"/>
    <x v="2"/>
    <x v="3"/>
    <x v="1"/>
  </r>
  <r>
    <x v="564"/>
    <x v="3"/>
    <x v="9"/>
    <n v="42.9"/>
    <n v="214.5"/>
    <d v="2025-01-25T00:00:00"/>
    <d v="2025-01-27T00:00:00"/>
    <x v="2"/>
    <x v="1"/>
    <n v="4"/>
    <x v="0"/>
    <x v="8"/>
    <x v="1"/>
    <x v="3"/>
    <x v="2"/>
  </r>
  <r>
    <x v="565"/>
    <x v="8"/>
    <x v="5"/>
    <n v="37.9"/>
    <n v="416.9"/>
    <d v="2025-01-25T00:00:00"/>
    <d v="2025-02-01T00:00:00"/>
    <x v="1"/>
    <x v="0"/>
    <n v="4"/>
    <x v="0"/>
    <x v="8"/>
    <x v="6"/>
    <x v="3"/>
    <x v="1"/>
  </r>
  <r>
    <x v="566"/>
    <x v="0"/>
    <x v="0"/>
    <n v="22.4"/>
    <n v="22.4"/>
    <d v="2025-01-25T00:00:00"/>
    <d v="2025-01-26T00:00:00"/>
    <x v="2"/>
    <x v="0"/>
    <n v="3"/>
    <x v="0"/>
    <x v="17"/>
    <x v="3"/>
    <x v="3"/>
    <x v="2"/>
  </r>
  <r>
    <x v="567"/>
    <x v="2"/>
    <x v="15"/>
    <n v="79.900000000000006"/>
    <n v="1038.7"/>
    <d v="2025-01-25T00:00:00"/>
    <d v="2025-02-07T00:00:00"/>
    <x v="2"/>
    <x v="3"/>
    <n v="3"/>
    <x v="0"/>
    <x v="11"/>
    <x v="10"/>
    <x v="3"/>
    <x v="2"/>
  </r>
  <r>
    <x v="568"/>
    <x v="1"/>
    <x v="0"/>
    <n v="70.599999999999994"/>
    <n v="70.599999999999994"/>
    <d v="2025-01-25T00:00:00"/>
    <d v="2025-01-28T00:00:00"/>
    <x v="2"/>
    <x v="0"/>
    <n v="3"/>
    <x v="0"/>
    <x v="11"/>
    <x v="2"/>
    <x v="3"/>
    <x v="2"/>
  </r>
  <r>
    <x v="569"/>
    <x v="6"/>
    <x v="0"/>
    <n v="49.5"/>
    <n v="49.5"/>
    <d v="2025-01-25T00:00:00"/>
    <d v="2025-01-27T00:00:00"/>
    <x v="1"/>
    <x v="0"/>
    <n v="4"/>
    <x v="0"/>
    <x v="13"/>
    <x v="1"/>
    <x v="3"/>
    <x v="1"/>
  </r>
  <r>
    <x v="570"/>
    <x v="2"/>
    <x v="1"/>
    <n v="96.6"/>
    <n v="193.2"/>
    <d v="2025-01-25T00:00:00"/>
    <d v="2025-01-27T00:00:00"/>
    <x v="1"/>
    <x v="0"/>
    <n v="4"/>
    <x v="0"/>
    <x v="21"/>
    <x v="1"/>
    <x v="3"/>
    <x v="1"/>
  </r>
  <r>
    <x v="571"/>
    <x v="6"/>
    <x v="1"/>
    <n v="52.8"/>
    <n v="105.6"/>
    <d v="2025-01-25T00:00:00"/>
    <d v="2025-01-26T00:00:00"/>
    <x v="2"/>
    <x v="1"/>
    <n v="3"/>
    <x v="0"/>
    <x v="21"/>
    <x v="3"/>
    <x v="3"/>
    <x v="2"/>
  </r>
  <r>
    <x v="572"/>
    <x v="2"/>
    <x v="0"/>
    <n v="101.7"/>
    <n v="101.7"/>
    <d v="2025-01-25T00:00:00"/>
    <d v="2025-01-26T00:00:00"/>
    <x v="1"/>
    <x v="0"/>
    <n v="4"/>
    <x v="0"/>
    <x v="1"/>
    <x v="3"/>
    <x v="3"/>
    <x v="1"/>
  </r>
  <r>
    <x v="573"/>
    <x v="4"/>
    <x v="9"/>
    <n v="26.9"/>
    <n v="134.5"/>
    <d v="2025-01-25T00:00:00"/>
    <d v="2025-01-30T00:00:00"/>
    <x v="2"/>
    <x v="1"/>
    <n v="3"/>
    <x v="0"/>
    <x v="22"/>
    <x v="0"/>
    <x v="3"/>
    <x v="2"/>
  </r>
  <r>
    <x v="574"/>
    <x v="2"/>
    <x v="12"/>
    <n v="211"/>
    <n v="844"/>
    <d v="2025-01-25T00:00:00"/>
    <d v="2025-01-25T00:00:00"/>
    <x v="2"/>
    <x v="1"/>
    <n v="3"/>
    <x v="0"/>
    <x v="3"/>
    <x v="7"/>
    <x v="3"/>
    <x v="2"/>
  </r>
  <r>
    <x v="575"/>
    <x v="0"/>
    <x v="12"/>
    <n v="21.1"/>
    <n v="84.4"/>
    <d v="2025-01-25T00:00:00"/>
    <d v="2025-01-28T00:00:00"/>
    <x v="1"/>
    <x v="4"/>
    <n v="4"/>
    <x v="0"/>
    <x v="3"/>
    <x v="2"/>
    <x v="3"/>
    <x v="1"/>
  </r>
  <r>
    <x v="576"/>
    <x v="10"/>
    <x v="0"/>
    <n v="26.6"/>
    <n v="26.6"/>
    <d v="2025-01-25T00:00:00"/>
    <d v="2025-01-27T00:00:00"/>
    <x v="1"/>
    <x v="0"/>
    <n v="2"/>
    <x v="0"/>
    <x v="3"/>
    <x v="1"/>
    <x v="3"/>
    <x v="1"/>
  </r>
  <r>
    <x v="577"/>
    <x v="12"/>
    <x v="12"/>
    <n v="51.2"/>
    <n v="204.8"/>
    <d v="2025-01-25T00:00:00"/>
    <d v="2025-01-26T00:00:00"/>
    <x v="2"/>
    <x v="3"/>
    <n v="4"/>
    <x v="0"/>
    <x v="47"/>
    <x v="3"/>
    <x v="3"/>
    <x v="2"/>
  </r>
  <r>
    <x v="578"/>
    <x v="0"/>
    <x v="9"/>
    <n v="10.6"/>
    <n v="53"/>
    <d v="2025-01-25T00:00:00"/>
    <d v="2025-01-29T00:00:00"/>
    <x v="2"/>
    <x v="0"/>
    <n v="4"/>
    <x v="0"/>
    <x v="8"/>
    <x v="5"/>
    <x v="3"/>
    <x v="2"/>
  </r>
  <r>
    <x v="579"/>
    <x v="6"/>
    <x v="2"/>
    <n v="43.4"/>
    <n v="130.19999999999999"/>
    <d v="2025-01-25T00:00:00"/>
    <d v="2025-01-28T00:00:00"/>
    <x v="2"/>
    <x v="4"/>
    <n v="4"/>
    <x v="0"/>
    <x v="8"/>
    <x v="2"/>
    <x v="3"/>
    <x v="2"/>
  </r>
  <r>
    <x v="580"/>
    <x v="12"/>
    <x v="0"/>
    <n v="80"/>
    <n v="80"/>
    <d v="2025-01-25T00:00:00"/>
    <d v="2025-01-25T00:00:00"/>
    <x v="2"/>
    <x v="0"/>
    <n v="5"/>
    <x v="0"/>
    <x v="8"/>
    <x v="7"/>
    <x v="3"/>
    <x v="2"/>
  </r>
  <r>
    <x v="581"/>
    <x v="10"/>
    <x v="12"/>
    <n v="64.7"/>
    <n v="258.8"/>
    <d v="2025-01-25T00:00:00"/>
    <d v="2025-01-27T00:00:00"/>
    <x v="2"/>
    <x v="1"/>
    <n v="2"/>
    <x v="0"/>
    <x v="8"/>
    <x v="1"/>
    <x v="3"/>
    <x v="2"/>
  </r>
  <r>
    <x v="582"/>
    <x v="8"/>
    <x v="5"/>
    <n v="26.3"/>
    <n v="289.3"/>
    <d v="2025-01-26T00:00:00"/>
    <d v="2025-01-26T00:00:00"/>
    <x v="2"/>
    <x v="4"/>
    <n v="3"/>
    <x v="0"/>
    <x v="26"/>
    <x v="7"/>
    <x v="4"/>
    <x v="2"/>
  </r>
  <r>
    <x v="583"/>
    <x v="10"/>
    <x v="0"/>
    <n v="28.5"/>
    <n v="28.5"/>
    <d v="2025-01-26T00:00:00"/>
    <d v="2025-01-26T00:00:00"/>
    <x v="1"/>
    <x v="0"/>
    <n v="3"/>
    <x v="0"/>
    <x v="9"/>
    <x v="7"/>
    <x v="4"/>
    <x v="1"/>
  </r>
  <r>
    <x v="584"/>
    <x v="17"/>
    <x v="0"/>
    <n v="47.8"/>
    <n v="47.8"/>
    <d v="2025-01-26T00:00:00"/>
    <d v="2025-01-28T00:00:00"/>
    <x v="2"/>
    <x v="0"/>
    <n v="3"/>
    <x v="0"/>
    <x v="9"/>
    <x v="1"/>
    <x v="4"/>
    <x v="2"/>
  </r>
  <r>
    <x v="585"/>
    <x v="10"/>
    <x v="2"/>
    <n v="42.8"/>
    <n v="128.39999999999998"/>
    <d v="2025-01-26T00:00:00"/>
    <d v="2025-01-29T00:00:00"/>
    <x v="2"/>
    <x v="4"/>
    <n v="3"/>
    <x v="0"/>
    <x v="11"/>
    <x v="2"/>
    <x v="4"/>
    <x v="2"/>
  </r>
  <r>
    <x v="586"/>
    <x v="6"/>
    <x v="9"/>
    <n v="46.8"/>
    <n v="234"/>
    <d v="2025-01-26T00:00:00"/>
    <d v="2025-01-31T00:00:00"/>
    <x v="2"/>
    <x v="1"/>
    <n v="5"/>
    <x v="0"/>
    <x v="11"/>
    <x v="0"/>
    <x v="4"/>
    <x v="2"/>
  </r>
  <r>
    <x v="587"/>
    <x v="1"/>
    <x v="7"/>
    <n v="64.099999999999994"/>
    <n v="641"/>
    <d v="2025-01-26T00:00:00"/>
    <d v="2025-01-27T00:00:00"/>
    <x v="1"/>
    <x v="1"/>
    <n v="4"/>
    <x v="0"/>
    <x v="11"/>
    <x v="3"/>
    <x v="4"/>
    <x v="1"/>
  </r>
  <r>
    <x v="588"/>
    <x v="2"/>
    <x v="0"/>
    <n v="89.1"/>
    <n v="89.1"/>
    <d v="2025-01-26T00:00:00"/>
    <d v="2025-01-27T00:00:00"/>
    <x v="2"/>
    <x v="0"/>
    <n v="3"/>
    <x v="0"/>
    <x v="20"/>
    <x v="3"/>
    <x v="4"/>
    <x v="2"/>
  </r>
  <r>
    <x v="589"/>
    <x v="2"/>
    <x v="2"/>
    <n v="83.1"/>
    <n v="249.29999999999998"/>
    <d v="2025-01-26T00:00:00"/>
    <d v="2025-01-27T00:00:00"/>
    <x v="2"/>
    <x v="2"/>
    <n v="3"/>
    <x v="0"/>
    <x v="13"/>
    <x v="3"/>
    <x v="4"/>
    <x v="2"/>
  </r>
  <r>
    <x v="590"/>
    <x v="8"/>
    <x v="2"/>
    <n v="40.9"/>
    <n v="122.69999999999999"/>
    <d v="2025-01-26T00:00:00"/>
    <d v="2025-01-27T00:00:00"/>
    <x v="1"/>
    <x v="0"/>
    <n v="4"/>
    <x v="0"/>
    <x v="1"/>
    <x v="3"/>
    <x v="4"/>
    <x v="1"/>
  </r>
  <r>
    <x v="591"/>
    <x v="2"/>
    <x v="1"/>
    <n v="125.7"/>
    <n v="251.4"/>
    <d v="2025-01-26T00:00:00"/>
    <d v="2025-01-27T00:00:00"/>
    <x v="2"/>
    <x v="3"/>
    <n v="4"/>
    <x v="0"/>
    <x v="2"/>
    <x v="3"/>
    <x v="4"/>
    <x v="2"/>
  </r>
  <r>
    <x v="592"/>
    <x v="3"/>
    <x v="1"/>
    <n v="30.9"/>
    <n v="61.8"/>
    <d v="2025-01-26T00:00:00"/>
    <d v="2025-01-26T00:00:00"/>
    <x v="2"/>
    <x v="2"/>
    <n v="5"/>
    <x v="0"/>
    <x v="22"/>
    <x v="7"/>
    <x v="4"/>
    <x v="2"/>
  </r>
  <r>
    <x v="593"/>
    <x v="8"/>
    <x v="1"/>
    <n v="18.3"/>
    <n v="36.6"/>
    <d v="2025-01-26T00:00:00"/>
    <d v="2025-01-27T00:00:00"/>
    <x v="2"/>
    <x v="1"/>
    <n v="4"/>
    <x v="0"/>
    <x v="3"/>
    <x v="3"/>
    <x v="4"/>
    <x v="2"/>
  </r>
  <r>
    <x v="594"/>
    <x v="4"/>
    <x v="1"/>
    <n v="56.5"/>
    <n v="113"/>
    <d v="2025-01-26T00:00:00"/>
    <d v="2025-01-30T00:00:00"/>
    <x v="1"/>
    <x v="2"/>
    <n v="5"/>
    <x v="0"/>
    <x v="3"/>
    <x v="5"/>
    <x v="4"/>
    <x v="1"/>
  </r>
  <r>
    <x v="595"/>
    <x v="10"/>
    <x v="3"/>
    <n v="29.9"/>
    <n v="209.29999999999998"/>
    <d v="2025-01-26T00:00:00"/>
    <d v="2025-01-28T00:00:00"/>
    <x v="1"/>
    <x v="4"/>
    <n v="5"/>
    <x v="0"/>
    <x v="3"/>
    <x v="1"/>
    <x v="4"/>
    <x v="1"/>
  </r>
  <r>
    <x v="596"/>
    <x v="5"/>
    <x v="1"/>
    <n v="50.4"/>
    <n v="100.8"/>
    <d v="2025-01-26T00:00:00"/>
    <d v="2025-01-27T00:00:00"/>
    <x v="2"/>
    <x v="2"/>
    <n v="4"/>
    <x v="0"/>
    <x v="3"/>
    <x v="3"/>
    <x v="4"/>
    <x v="2"/>
  </r>
  <r>
    <x v="597"/>
    <x v="2"/>
    <x v="0"/>
    <n v="85.8"/>
    <n v="85.8"/>
    <d v="2025-01-26T00:00:00"/>
    <d v="2025-01-26T00:00:00"/>
    <x v="2"/>
    <x v="2"/>
    <n v="5"/>
    <x v="0"/>
    <x v="3"/>
    <x v="7"/>
    <x v="4"/>
    <x v="2"/>
  </r>
  <r>
    <x v="598"/>
    <x v="4"/>
    <x v="27"/>
    <n v="66.599999999999994"/>
    <n v="1065.5999999999999"/>
    <d v="2025-01-26T00:00:00"/>
    <d v="2025-01-28T00:00:00"/>
    <x v="1"/>
    <x v="1"/>
    <n v="4"/>
    <x v="0"/>
    <x v="3"/>
    <x v="1"/>
    <x v="4"/>
    <x v="1"/>
  </r>
  <r>
    <x v="599"/>
    <x v="6"/>
    <x v="12"/>
    <n v="70.3"/>
    <n v="281.2"/>
    <d v="2025-01-26T00:00:00"/>
    <d v="2025-01-27T00:00:00"/>
    <x v="2"/>
    <x v="0"/>
    <n v="3"/>
    <x v="0"/>
    <x v="3"/>
    <x v="3"/>
    <x v="4"/>
    <x v="2"/>
  </r>
  <r>
    <x v="600"/>
    <x v="8"/>
    <x v="12"/>
    <n v="31"/>
    <n v="124"/>
    <d v="2025-01-26T00:00:00"/>
    <d v="2025-01-29T00:00:00"/>
    <x v="1"/>
    <x v="0"/>
    <n v="5"/>
    <x v="0"/>
    <x v="3"/>
    <x v="2"/>
    <x v="4"/>
    <x v="1"/>
  </r>
  <r>
    <x v="601"/>
    <x v="7"/>
    <x v="13"/>
    <n v="81.599999999999994"/>
    <n v="489.59999999999997"/>
    <d v="2025-01-26T00:00:00"/>
    <d v="2025-01-27T00:00:00"/>
    <x v="2"/>
    <x v="1"/>
    <n v="3"/>
    <x v="0"/>
    <x v="37"/>
    <x v="3"/>
    <x v="4"/>
    <x v="2"/>
  </r>
  <r>
    <x v="602"/>
    <x v="1"/>
    <x v="30"/>
    <n v="58.3"/>
    <n v="1457.5"/>
    <d v="2025-01-26T00:00:00"/>
    <d v="2025-01-27T00:00:00"/>
    <x v="2"/>
    <x v="0"/>
    <n v="4"/>
    <x v="0"/>
    <x v="16"/>
    <x v="3"/>
    <x v="4"/>
    <x v="2"/>
  </r>
  <r>
    <x v="603"/>
    <x v="1"/>
    <x v="12"/>
    <n v="35.1"/>
    <n v="140.4"/>
    <d v="2025-01-26T00:00:00"/>
    <d v="2025-01-28T00:00:00"/>
    <x v="1"/>
    <x v="0"/>
    <n v="5"/>
    <x v="0"/>
    <x v="8"/>
    <x v="1"/>
    <x v="4"/>
    <x v="1"/>
  </r>
  <r>
    <x v="604"/>
    <x v="2"/>
    <x v="0"/>
    <n v="80.2"/>
    <n v="80.2"/>
    <d v="2025-01-26T00:00:00"/>
    <d v="2025-01-27T00:00:00"/>
    <x v="1"/>
    <x v="3"/>
    <n v="5"/>
    <x v="0"/>
    <x v="8"/>
    <x v="3"/>
    <x v="4"/>
    <x v="1"/>
  </r>
  <r>
    <x v="605"/>
    <x v="14"/>
    <x v="2"/>
    <n v="39.200000000000003"/>
    <n v="117.60000000000001"/>
    <d v="2025-01-26T00:00:00"/>
    <d v="2025-01-28T00:00:00"/>
    <x v="2"/>
    <x v="1"/>
    <n v="4"/>
    <x v="0"/>
    <x v="9"/>
    <x v="1"/>
    <x v="4"/>
    <x v="2"/>
  </r>
  <r>
    <x v="606"/>
    <x v="0"/>
    <x v="1"/>
    <n v="15.4"/>
    <n v="30.8"/>
    <d v="2025-01-26T00:00:00"/>
    <d v="2025-01-26T00:00:00"/>
    <x v="2"/>
    <x v="3"/>
    <n v="4"/>
    <x v="0"/>
    <x v="48"/>
    <x v="7"/>
    <x v="4"/>
    <x v="2"/>
  </r>
  <r>
    <x v="607"/>
    <x v="3"/>
    <x v="2"/>
    <n v="65.400000000000006"/>
    <n v="196.20000000000002"/>
    <d v="2025-01-26T00:00:00"/>
    <d v="2025-01-29T00:00:00"/>
    <x v="1"/>
    <x v="3"/>
    <n v="4"/>
    <x v="0"/>
    <x v="18"/>
    <x v="2"/>
    <x v="4"/>
    <x v="1"/>
  </r>
  <r>
    <x v="608"/>
    <x v="1"/>
    <x v="8"/>
    <n v="63.2"/>
    <n v="505.6"/>
    <d v="2025-01-26T00:00:00"/>
    <d v="2025-01-28T00:00:00"/>
    <x v="2"/>
    <x v="1"/>
    <n v="4"/>
    <x v="0"/>
    <x v="19"/>
    <x v="1"/>
    <x v="4"/>
    <x v="2"/>
  </r>
  <r>
    <x v="609"/>
    <x v="1"/>
    <x v="13"/>
    <n v="35.700000000000003"/>
    <n v="214.20000000000002"/>
    <d v="2025-01-26T00:00:00"/>
    <d v="2025-01-30T00:00:00"/>
    <x v="2"/>
    <x v="4"/>
    <n v="3"/>
    <x v="0"/>
    <x v="19"/>
    <x v="5"/>
    <x v="4"/>
    <x v="2"/>
  </r>
  <r>
    <x v="610"/>
    <x v="0"/>
    <x v="28"/>
    <n v="26.2"/>
    <n v="524"/>
    <d v="2025-01-26T00:00:00"/>
    <d v="2025-01-27T00:00:00"/>
    <x v="2"/>
    <x v="3"/>
    <n v="4"/>
    <x v="0"/>
    <x v="21"/>
    <x v="3"/>
    <x v="4"/>
    <x v="2"/>
  </r>
  <r>
    <x v="611"/>
    <x v="7"/>
    <x v="1"/>
    <n v="31"/>
    <n v="62"/>
    <d v="2025-01-26T00:00:00"/>
    <d v="2025-01-27T00:00:00"/>
    <x v="2"/>
    <x v="0"/>
    <n v="5"/>
    <x v="0"/>
    <x v="1"/>
    <x v="3"/>
    <x v="4"/>
    <x v="2"/>
  </r>
  <r>
    <x v="612"/>
    <x v="8"/>
    <x v="12"/>
    <n v="37.700000000000003"/>
    <n v="150.80000000000001"/>
    <d v="2025-01-26T00:00:00"/>
    <d v="2025-01-27T00:00:00"/>
    <x v="2"/>
    <x v="1"/>
    <n v="4"/>
    <x v="0"/>
    <x v="22"/>
    <x v="3"/>
    <x v="4"/>
    <x v="2"/>
  </r>
  <r>
    <x v="613"/>
    <x v="10"/>
    <x v="33"/>
    <n v="43.6"/>
    <n v="1482.4"/>
    <d v="2025-01-26T00:00:00"/>
    <d v="2025-01-28T00:00:00"/>
    <x v="2"/>
    <x v="4"/>
    <n v="3"/>
    <x v="0"/>
    <x v="3"/>
    <x v="1"/>
    <x v="4"/>
    <x v="2"/>
  </r>
  <r>
    <x v="614"/>
    <x v="9"/>
    <x v="12"/>
    <n v="26.5"/>
    <n v="106"/>
    <d v="2025-01-26T00:00:00"/>
    <d v="2025-01-28T00:00:00"/>
    <x v="1"/>
    <x v="0"/>
    <n v="2"/>
    <x v="0"/>
    <x v="3"/>
    <x v="1"/>
    <x v="4"/>
    <x v="1"/>
  </r>
  <r>
    <x v="615"/>
    <x v="0"/>
    <x v="1"/>
    <n v="34.6"/>
    <n v="69.2"/>
    <d v="2025-01-26T00:00:00"/>
    <d v="2025-01-27T00:00:00"/>
    <x v="1"/>
    <x v="4"/>
    <n v="3"/>
    <x v="0"/>
    <x v="3"/>
    <x v="3"/>
    <x v="4"/>
    <x v="1"/>
  </r>
  <r>
    <x v="616"/>
    <x v="8"/>
    <x v="1"/>
    <n v="58.2"/>
    <n v="116.4"/>
    <d v="2025-01-26T00:00:00"/>
    <d v="2025-01-27T00:00:00"/>
    <x v="1"/>
    <x v="2"/>
    <n v="5"/>
    <x v="0"/>
    <x v="3"/>
    <x v="3"/>
    <x v="4"/>
    <x v="1"/>
  </r>
  <r>
    <x v="617"/>
    <x v="7"/>
    <x v="0"/>
    <n v="30.2"/>
    <n v="30.2"/>
    <d v="2025-01-27T00:00:00"/>
    <d v="2025-01-28T00:00:00"/>
    <x v="2"/>
    <x v="2"/>
    <n v="3"/>
    <x v="0"/>
    <x v="3"/>
    <x v="3"/>
    <x v="4"/>
    <x v="2"/>
  </r>
  <r>
    <x v="618"/>
    <x v="1"/>
    <x v="7"/>
    <n v="53.2"/>
    <n v="532"/>
    <d v="2025-01-27T00:00:00"/>
    <d v="2025-01-28T00:00:00"/>
    <x v="1"/>
    <x v="0"/>
    <n v="5"/>
    <x v="0"/>
    <x v="5"/>
    <x v="3"/>
    <x v="4"/>
    <x v="1"/>
  </r>
  <r>
    <x v="619"/>
    <x v="12"/>
    <x v="13"/>
    <n v="51.1"/>
    <n v="306.60000000000002"/>
    <d v="2025-01-27T00:00:00"/>
    <d v="2025-01-27T00:00:00"/>
    <x v="1"/>
    <x v="1"/>
    <n v="5"/>
    <x v="0"/>
    <x v="5"/>
    <x v="7"/>
    <x v="4"/>
    <x v="1"/>
  </r>
  <r>
    <x v="620"/>
    <x v="1"/>
    <x v="0"/>
    <n v="105.4"/>
    <n v="105.4"/>
    <d v="2025-01-27T00:00:00"/>
    <d v="2025-01-31T00:00:00"/>
    <x v="2"/>
    <x v="1"/>
    <n v="5"/>
    <x v="0"/>
    <x v="23"/>
    <x v="5"/>
    <x v="4"/>
    <x v="2"/>
  </r>
  <r>
    <x v="621"/>
    <x v="7"/>
    <x v="0"/>
    <n v="57.7"/>
    <n v="57.7"/>
    <d v="2025-01-27T00:00:00"/>
    <d v="2025-01-27T00:00:00"/>
    <x v="1"/>
    <x v="0"/>
    <n v="2"/>
    <x v="0"/>
    <x v="8"/>
    <x v="7"/>
    <x v="4"/>
    <x v="1"/>
  </r>
  <r>
    <x v="622"/>
    <x v="15"/>
    <x v="1"/>
    <n v="72.400000000000006"/>
    <n v="144.80000000000001"/>
    <d v="2025-01-27T00:00:00"/>
    <d v="2025-02-01T00:00:00"/>
    <x v="2"/>
    <x v="0"/>
    <n v="4"/>
    <x v="0"/>
    <x v="17"/>
    <x v="0"/>
    <x v="4"/>
    <x v="2"/>
  </r>
  <r>
    <x v="623"/>
    <x v="6"/>
    <x v="1"/>
    <n v="62.5"/>
    <n v="125"/>
    <d v="2025-01-27T00:00:00"/>
    <d v="2025-01-28T00:00:00"/>
    <x v="0"/>
    <x v="0"/>
    <n v="5"/>
    <x v="0"/>
    <x v="11"/>
    <x v="3"/>
    <x v="4"/>
    <x v="0"/>
  </r>
  <r>
    <x v="624"/>
    <x v="0"/>
    <x v="32"/>
    <n v="11.6"/>
    <n v="255.2"/>
    <d v="2025-01-27T00:00:00"/>
    <d v="2025-01-29T00:00:00"/>
    <x v="2"/>
    <x v="3"/>
    <n v="5"/>
    <x v="0"/>
    <x v="18"/>
    <x v="1"/>
    <x v="4"/>
    <x v="2"/>
  </r>
  <r>
    <x v="625"/>
    <x v="10"/>
    <x v="7"/>
    <n v="39.6"/>
    <n v="396"/>
    <d v="2025-01-27T00:00:00"/>
    <d v="2025-01-29T00:00:00"/>
    <x v="2"/>
    <x v="2"/>
    <n v="5"/>
    <x v="0"/>
    <x v="18"/>
    <x v="1"/>
    <x v="4"/>
    <x v="2"/>
  </r>
  <r>
    <x v="626"/>
    <x v="8"/>
    <x v="1"/>
    <n v="40.1"/>
    <n v="80.2"/>
    <d v="2025-01-27T00:00:00"/>
    <d v="2025-01-28T00:00:00"/>
    <x v="2"/>
    <x v="2"/>
    <n v="4"/>
    <x v="0"/>
    <x v="18"/>
    <x v="3"/>
    <x v="4"/>
    <x v="2"/>
  </r>
  <r>
    <x v="627"/>
    <x v="8"/>
    <x v="2"/>
    <n v="18.600000000000001"/>
    <n v="55.800000000000004"/>
    <d v="2025-01-27T00:00:00"/>
    <d v="2025-01-28T00:00:00"/>
    <x v="2"/>
    <x v="2"/>
    <n v="4"/>
    <x v="0"/>
    <x v="21"/>
    <x v="3"/>
    <x v="4"/>
    <x v="2"/>
  </r>
  <r>
    <x v="628"/>
    <x v="4"/>
    <x v="0"/>
    <n v="58.8"/>
    <n v="58.8"/>
    <d v="2025-01-27T00:00:00"/>
    <d v="2025-01-29T00:00:00"/>
    <x v="2"/>
    <x v="0"/>
    <n v="3"/>
    <x v="0"/>
    <x v="21"/>
    <x v="1"/>
    <x v="4"/>
    <x v="2"/>
  </r>
  <r>
    <x v="629"/>
    <x v="8"/>
    <x v="1"/>
    <n v="22.1"/>
    <n v="44.2"/>
    <d v="2025-01-27T00:00:00"/>
    <d v="2025-01-30T00:00:00"/>
    <x v="1"/>
    <x v="1"/>
    <n v="5"/>
    <x v="0"/>
    <x v="21"/>
    <x v="2"/>
    <x v="4"/>
    <x v="1"/>
  </r>
  <r>
    <x v="630"/>
    <x v="2"/>
    <x v="0"/>
    <n v="114.9"/>
    <n v="114.9"/>
    <d v="2025-01-28T00:00:00"/>
    <d v="2025-01-29T00:00:00"/>
    <x v="2"/>
    <x v="1"/>
    <n v="3"/>
    <x v="0"/>
    <x v="22"/>
    <x v="3"/>
    <x v="4"/>
    <x v="2"/>
  </r>
  <r>
    <x v="631"/>
    <x v="9"/>
    <x v="9"/>
    <n v="75.8"/>
    <n v="379"/>
    <d v="2025-01-28T00:00:00"/>
    <d v="2025-01-29T00:00:00"/>
    <x v="1"/>
    <x v="0"/>
    <n v="5"/>
    <x v="0"/>
    <x v="3"/>
    <x v="3"/>
    <x v="4"/>
    <x v="1"/>
  </r>
  <r>
    <x v="632"/>
    <x v="14"/>
    <x v="9"/>
    <n v="20.6"/>
    <n v="103"/>
    <d v="2025-01-28T00:00:00"/>
    <d v="2025-01-29T00:00:00"/>
    <x v="1"/>
    <x v="2"/>
    <n v="5"/>
    <x v="0"/>
    <x v="3"/>
    <x v="3"/>
    <x v="4"/>
    <x v="1"/>
  </r>
  <r>
    <x v="633"/>
    <x v="17"/>
    <x v="2"/>
    <n v="67.900000000000006"/>
    <n v="203.70000000000002"/>
    <d v="2025-01-28T00:00:00"/>
    <d v="2025-01-29T00:00:00"/>
    <x v="2"/>
    <x v="1"/>
    <n v="3"/>
    <x v="0"/>
    <x v="3"/>
    <x v="3"/>
    <x v="4"/>
    <x v="2"/>
  </r>
  <r>
    <x v="634"/>
    <x v="0"/>
    <x v="9"/>
    <n v="27"/>
    <n v="135"/>
    <d v="2025-01-28T00:00:00"/>
    <d v="2025-02-04T00:00:00"/>
    <x v="2"/>
    <x v="0"/>
    <n v="5"/>
    <x v="0"/>
    <x v="3"/>
    <x v="6"/>
    <x v="4"/>
    <x v="2"/>
  </r>
  <r>
    <x v="635"/>
    <x v="13"/>
    <x v="0"/>
    <n v="50.6"/>
    <n v="50.6"/>
    <d v="2025-01-28T00:00:00"/>
    <d v="2025-01-28T00:00:00"/>
    <x v="1"/>
    <x v="0"/>
    <n v="3"/>
    <x v="0"/>
    <x v="3"/>
    <x v="7"/>
    <x v="4"/>
    <x v="1"/>
  </r>
  <r>
    <x v="636"/>
    <x v="4"/>
    <x v="9"/>
    <n v="22.1"/>
    <n v="110.5"/>
    <d v="2025-01-28T00:00:00"/>
    <d v="2025-02-02T00:00:00"/>
    <x v="1"/>
    <x v="0"/>
    <n v="4"/>
    <x v="0"/>
    <x v="3"/>
    <x v="0"/>
    <x v="4"/>
    <x v="1"/>
  </r>
  <r>
    <x v="637"/>
    <x v="8"/>
    <x v="2"/>
    <n v="42.9"/>
    <n v="128.69999999999999"/>
    <d v="2025-01-28T00:00:00"/>
    <d v="2025-01-30T00:00:00"/>
    <x v="2"/>
    <x v="0"/>
    <n v="4"/>
    <x v="0"/>
    <x v="3"/>
    <x v="1"/>
    <x v="4"/>
    <x v="2"/>
  </r>
  <r>
    <x v="638"/>
    <x v="1"/>
    <x v="5"/>
    <n v="62.4"/>
    <n v="686.4"/>
    <d v="2025-01-28T00:00:00"/>
    <d v="2025-01-30T00:00:00"/>
    <x v="2"/>
    <x v="2"/>
    <n v="4"/>
    <x v="0"/>
    <x v="3"/>
    <x v="1"/>
    <x v="4"/>
    <x v="2"/>
  </r>
  <r>
    <x v="639"/>
    <x v="13"/>
    <x v="11"/>
    <n v="36.4"/>
    <n v="327.59999999999997"/>
    <d v="2025-01-28T00:00:00"/>
    <d v="2025-01-30T00:00:00"/>
    <x v="2"/>
    <x v="0"/>
    <n v="5"/>
    <x v="0"/>
    <x v="3"/>
    <x v="1"/>
    <x v="4"/>
    <x v="2"/>
  </r>
  <r>
    <x v="640"/>
    <x v="0"/>
    <x v="1"/>
    <n v="22.5"/>
    <n v="45"/>
    <d v="2025-01-28T00:00:00"/>
    <d v="2025-01-31T00:00:00"/>
    <x v="1"/>
    <x v="0"/>
    <n v="4"/>
    <x v="0"/>
    <x v="3"/>
    <x v="2"/>
    <x v="4"/>
    <x v="1"/>
  </r>
  <r>
    <x v="641"/>
    <x v="6"/>
    <x v="12"/>
    <n v="70.8"/>
    <n v="283.2"/>
    <d v="2025-01-28T00:00:00"/>
    <d v="2025-01-30T00:00:00"/>
    <x v="2"/>
    <x v="4"/>
    <n v="4"/>
    <x v="0"/>
    <x v="3"/>
    <x v="1"/>
    <x v="4"/>
    <x v="2"/>
  </r>
  <r>
    <x v="642"/>
    <x v="6"/>
    <x v="9"/>
    <n v="56.6"/>
    <n v="283"/>
    <d v="2025-01-28T00:00:00"/>
    <d v="2025-01-30T00:00:00"/>
    <x v="1"/>
    <x v="0"/>
    <n v="3"/>
    <x v="0"/>
    <x v="4"/>
    <x v="1"/>
    <x v="4"/>
    <x v="1"/>
  </r>
  <r>
    <x v="643"/>
    <x v="6"/>
    <x v="1"/>
    <n v="47.9"/>
    <n v="95.8"/>
    <d v="2025-01-28T00:00:00"/>
    <d v="2025-01-29T00:00:00"/>
    <x v="2"/>
    <x v="0"/>
    <n v="4"/>
    <x v="0"/>
    <x v="6"/>
    <x v="3"/>
    <x v="4"/>
    <x v="2"/>
  </r>
  <r>
    <x v="644"/>
    <x v="6"/>
    <x v="8"/>
    <n v="78.400000000000006"/>
    <n v="627.20000000000005"/>
    <d v="2025-01-28T00:00:00"/>
    <d v="2025-01-30T00:00:00"/>
    <x v="2"/>
    <x v="1"/>
    <n v="4"/>
    <x v="0"/>
    <x v="6"/>
    <x v="1"/>
    <x v="4"/>
    <x v="2"/>
  </r>
  <r>
    <x v="645"/>
    <x v="2"/>
    <x v="21"/>
    <n v="122.1"/>
    <n v="1709.3999999999999"/>
    <d v="2025-01-28T00:00:00"/>
    <d v="2025-02-02T00:00:00"/>
    <x v="2"/>
    <x v="0"/>
    <n v="5"/>
    <x v="0"/>
    <x v="6"/>
    <x v="0"/>
    <x v="4"/>
    <x v="2"/>
  </r>
  <r>
    <x v="646"/>
    <x v="2"/>
    <x v="1"/>
    <n v="83.7"/>
    <n v="167.4"/>
    <d v="2025-01-29T00:00:00"/>
    <d v="2025-01-29T00:00:00"/>
    <x v="0"/>
    <x v="1"/>
    <n v="5"/>
    <x v="0"/>
    <x v="7"/>
    <x v="7"/>
    <x v="4"/>
    <x v="0"/>
  </r>
  <r>
    <x v="647"/>
    <x v="3"/>
    <x v="12"/>
    <n v="97.9"/>
    <n v="391.6"/>
    <d v="2025-01-29T00:00:00"/>
    <d v="2025-02-02T00:00:00"/>
    <x v="2"/>
    <x v="3"/>
    <n v="5"/>
    <x v="0"/>
    <x v="7"/>
    <x v="5"/>
    <x v="4"/>
    <x v="2"/>
  </r>
  <r>
    <x v="648"/>
    <x v="14"/>
    <x v="0"/>
    <n v="15"/>
    <n v="15"/>
    <d v="2025-01-29T00:00:00"/>
    <d v="2025-02-03T00:00:00"/>
    <x v="2"/>
    <x v="3"/>
    <n v="4"/>
    <x v="0"/>
    <x v="8"/>
    <x v="0"/>
    <x v="4"/>
    <x v="2"/>
  </r>
  <r>
    <x v="649"/>
    <x v="12"/>
    <x v="2"/>
    <n v="94.6"/>
    <n v="283.79999999999995"/>
    <d v="2025-01-29T00:00:00"/>
    <d v="2025-01-30T00:00:00"/>
    <x v="1"/>
    <x v="2"/>
    <n v="3"/>
    <x v="0"/>
    <x v="8"/>
    <x v="3"/>
    <x v="4"/>
    <x v="1"/>
  </r>
  <r>
    <x v="650"/>
    <x v="0"/>
    <x v="13"/>
    <n v="19.7"/>
    <n v="118.19999999999999"/>
    <d v="2025-01-29T00:00:00"/>
    <d v="2025-02-09T00:00:00"/>
    <x v="2"/>
    <x v="0"/>
    <n v="5"/>
    <x v="0"/>
    <x v="8"/>
    <x v="11"/>
    <x v="4"/>
    <x v="2"/>
  </r>
  <r>
    <x v="651"/>
    <x v="7"/>
    <x v="0"/>
    <n v="46.7"/>
    <n v="46.7"/>
    <d v="2025-01-29T00:00:00"/>
    <d v="2025-02-01T00:00:00"/>
    <x v="2"/>
    <x v="2"/>
    <n v="4"/>
    <x v="0"/>
    <x v="17"/>
    <x v="2"/>
    <x v="4"/>
    <x v="2"/>
  </r>
  <r>
    <x v="652"/>
    <x v="1"/>
    <x v="12"/>
    <n v="43"/>
    <n v="172"/>
    <d v="2025-01-29T00:00:00"/>
    <d v="2025-01-30T00:00:00"/>
    <x v="1"/>
    <x v="2"/>
    <n v="5"/>
    <x v="0"/>
    <x v="17"/>
    <x v="3"/>
    <x v="4"/>
    <x v="1"/>
  </r>
  <r>
    <x v="653"/>
    <x v="6"/>
    <x v="2"/>
    <n v="68.2"/>
    <n v="204.60000000000002"/>
    <d v="2025-01-29T00:00:00"/>
    <d v="2025-02-04T00:00:00"/>
    <x v="2"/>
    <x v="0"/>
    <n v="4"/>
    <x v="0"/>
    <x v="9"/>
    <x v="4"/>
    <x v="4"/>
    <x v="2"/>
  </r>
  <r>
    <x v="654"/>
    <x v="10"/>
    <x v="7"/>
    <n v="24.3"/>
    <n v="243"/>
    <d v="2025-01-29T00:00:00"/>
    <d v="2025-01-30T00:00:00"/>
    <x v="1"/>
    <x v="0"/>
    <n v="5"/>
    <x v="0"/>
    <x v="10"/>
    <x v="3"/>
    <x v="4"/>
    <x v="1"/>
  </r>
  <r>
    <x v="655"/>
    <x v="7"/>
    <x v="1"/>
    <n v="86.8"/>
    <n v="173.6"/>
    <d v="2025-01-29T00:00:00"/>
    <d v="2025-02-02T00:00:00"/>
    <x v="2"/>
    <x v="4"/>
    <n v="5"/>
    <x v="0"/>
    <x v="11"/>
    <x v="5"/>
    <x v="4"/>
    <x v="2"/>
  </r>
  <r>
    <x v="656"/>
    <x v="0"/>
    <x v="1"/>
    <n v="15.8"/>
    <n v="31.6"/>
    <d v="2025-01-29T00:00:00"/>
    <d v="2025-01-31T00:00:00"/>
    <x v="1"/>
    <x v="1"/>
    <n v="4"/>
    <x v="0"/>
    <x v="11"/>
    <x v="1"/>
    <x v="4"/>
    <x v="1"/>
  </r>
  <r>
    <x v="657"/>
    <x v="2"/>
    <x v="12"/>
    <n v="61.6"/>
    <n v="246.4"/>
    <d v="2025-01-29T00:00:00"/>
    <d v="2025-01-30T00:00:00"/>
    <x v="1"/>
    <x v="2"/>
    <n v="4"/>
    <x v="0"/>
    <x v="11"/>
    <x v="3"/>
    <x v="4"/>
    <x v="1"/>
  </r>
  <r>
    <x v="658"/>
    <x v="6"/>
    <x v="2"/>
    <n v="48.7"/>
    <n v="146.10000000000002"/>
    <d v="2025-01-29T00:00:00"/>
    <d v="2025-02-04T00:00:00"/>
    <x v="2"/>
    <x v="1"/>
    <n v="5"/>
    <x v="0"/>
    <x v="45"/>
    <x v="4"/>
    <x v="4"/>
    <x v="2"/>
  </r>
  <r>
    <x v="659"/>
    <x v="8"/>
    <x v="12"/>
    <n v="24.3"/>
    <n v="97.2"/>
    <d v="2025-01-29T00:00:00"/>
    <d v="2025-01-31T00:00:00"/>
    <x v="2"/>
    <x v="1"/>
    <n v="5"/>
    <x v="0"/>
    <x v="21"/>
    <x v="1"/>
    <x v="4"/>
    <x v="2"/>
  </r>
  <r>
    <x v="660"/>
    <x v="2"/>
    <x v="1"/>
    <n v="130.69999999999999"/>
    <n v="261.39999999999998"/>
    <d v="2025-01-29T00:00:00"/>
    <d v="2025-01-30T00:00:00"/>
    <x v="2"/>
    <x v="2"/>
    <n v="4"/>
    <x v="0"/>
    <x v="44"/>
    <x v="3"/>
    <x v="4"/>
    <x v="2"/>
  </r>
  <r>
    <x v="661"/>
    <x v="10"/>
    <x v="0"/>
    <n v="26"/>
    <n v="26"/>
    <d v="2025-01-29T00:00:00"/>
    <d v="2025-01-31T00:00:00"/>
    <x v="1"/>
    <x v="0"/>
    <n v="4"/>
    <x v="0"/>
    <x v="3"/>
    <x v="1"/>
    <x v="4"/>
    <x v="1"/>
  </r>
  <r>
    <x v="662"/>
    <x v="2"/>
    <x v="9"/>
    <n v="94.4"/>
    <n v="472"/>
    <d v="2025-01-29T00:00:00"/>
    <d v="2025-01-30T00:00:00"/>
    <x v="2"/>
    <x v="0"/>
    <n v="4"/>
    <x v="0"/>
    <x v="3"/>
    <x v="3"/>
    <x v="4"/>
    <x v="2"/>
  </r>
  <r>
    <x v="663"/>
    <x v="0"/>
    <x v="13"/>
    <n v="23.7"/>
    <n v="142.19999999999999"/>
    <d v="2025-01-29T00:00:00"/>
    <d v="2025-01-31T00:00:00"/>
    <x v="1"/>
    <x v="2"/>
    <n v="5"/>
    <x v="0"/>
    <x v="3"/>
    <x v="1"/>
    <x v="4"/>
    <x v="1"/>
  </r>
  <r>
    <x v="664"/>
    <x v="9"/>
    <x v="4"/>
    <n v="37.4"/>
    <n v="448.79999999999995"/>
    <d v="2025-01-29T00:00:00"/>
    <d v="2025-01-31T00:00:00"/>
    <x v="1"/>
    <x v="2"/>
    <n v="4"/>
    <x v="0"/>
    <x v="3"/>
    <x v="1"/>
    <x v="4"/>
    <x v="1"/>
  </r>
  <r>
    <x v="665"/>
    <x v="1"/>
    <x v="34"/>
    <n v="55.2"/>
    <n v="1987.2"/>
    <d v="2025-01-29T00:00:00"/>
    <d v="2025-01-29T00:00:00"/>
    <x v="2"/>
    <x v="3"/>
    <n v="3"/>
    <x v="0"/>
    <x v="3"/>
    <x v="7"/>
    <x v="4"/>
    <x v="2"/>
  </r>
  <r>
    <x v="666"/>
    <x v="2"/>
    <x v="11"/>
    <n v="57.1"/>
    <n v="513.9"/>
    <d v="2025-01-29T00:00:00"/>
    <d v="2025-01-31T00:00:00"/>
    <x v="1"/>
    <x v="0"/>
    <n v="5"/>
    <x v="0"/>
    <x v="3"/>
    <x v="1"/>
    <x v="4"/>
    <x v="1"/>
  </r>
  <r>
    <x v="667"/>
    <x v="12"/>
    <x v="0"/>
    <n v="55.3"/>
    <n v="55.3"/>
    <d v="2025-01-29T00:00:00"/>
    <d v="2025-01-30T00:00:00"/>
    <x v="2"/>
    <x v="2"/>
    <n v="5"/>
    <x v="0"/>
    <x v="3"/>
    <x v="3"/>
    <x v="4"/>
    <x v="2"/>
  </r>
  <r>
    <x v="668"/>
    <x v="15"/>
    <x v="3"/>
    <n v="23.9"/>
    <n v="167.29999999999998"/>
    <d v="2025-01-29T00:00:00"/>
    <d v="2025-01-30T00:00:00"/>
    <x v="2"/>
    <x v="4"/>
    <n v="3"/>
    <x v="0"/>
    <x v="3"/>
    <x v="3"/>
    <x v="4"/>
    <x v="2"/>
  </r>
  <r>
    <x v="669"/>
    <x v="0"/>
    <x v="0"/>
    <n v="34.1"/>
    <n v="34.1"/>
    <d v="2025-01-29T00:00:00"/>
    <d v="2025-02-05T00:00:00"/>
    <x v="2"/>
    <x v="2"/>
    <n v="4"/>
    <x v="0"/>
    <x v="3"/>
    <x v="6"/>
    <x v="4"/>
    <x v="2"/>
  </r>
  <r>
    <x v="670"/>
    <x v="12"/>
    <x v="12"/>
    <n v="38.5"/>
    <n v="154"/>
    <d v="2025-01-29T00:00:00"/>
    <d v="2025-02-09T00:00:00"/>
    <x v="2"/>
    <x v="0"/>
    <n v="4"/>
    <x v="0"/>
    <x v="3"/>
    <x v="11"/>
    <x v="4"/>
    <x v="2"/>
  </r>
  <r>
    <x v="671"/>
    <x v="7"/>
    <x v="1"/>
    <n v="105"/>
    <n v="210"/>
    <d v="2025-01-29T00:00:00"/>
    <d v="2025-02-04T00:00:00"/>
    <x v="2"/>
    <x v="0"/>
    <n v="5"/>
    <x v="0"/>
    <x v="3"/>
    <x v="4"/>
    <x v="4"/>
    <x v="2"/>
  </r>
  <r>
    <x v="672"/>
    <x v="8"/>
    <x v="9"/>
    <n v="45.2"/>
    <n v="226"/>
    <d v="2025-01-29T00:00:00"/>
    <d v="2025-01-31T00:00:00"/>
    <x v="2"/>
    <x v="0"/>
    <n v="5"/>
    <x v="0"/>
    <x v="3"/>
    <x v="1"/>
    <x v="4"/>
    <x v="2"/>
  </r>
  <r>
    <x v="673"/>
    <x v="17"/>
    <x v="2"/>
    <n v="24.8"/>
    <n v="74.400000000000006"/>
    <d v="2025-01-29T00:00:00"/>
    <d v="2025-01-29T00:00:00"/>
    <x v="0"/>
    <x v="0"/>
    <n v="3"/>
    <x v="0"/>
    <x v="3"/>
    <x v="7"/>
    <x v="4"/>
    <x v="0"/>
  </r>
  <r>
    <x v="674"/>
    <x v="11"/>
    <x v="12"/>
    <n v="43.8"/>
    <n v="175.2"/>
    <d v="2025-01-29T00:00:00"/>
    <d v="2025-02-05T00:00:00"/>
    <x v="2"/>
    <x v="1"/>
    <n v="5"/>
    <x v="0"/>
    <x v="6"/>
    <x v="6"/>
    <x v="4"/>
    <x v="2"/>
  </r>
  <r>
    <x v="675"/>
    <x v="1"/>
    <x v="0"/>
    <n v="75"/>
    <n v="75"/>
    <d v="2025-01-29T00:00:00"/>
    <d v="2025-01-31T00:00:00"/>
    <x v="2"/>
    <x v="4"/>
    <n v="3"/>
    <x v="0"/>
    <x v="6"/>
    <x v="1"/>
    <x v="4"/>
    <x v="2"/>
  </r>
  <r>
    <x v="676"/>
    <x v="2"/>
    <x v="0"/>
    <n v="169.9"/>
    <n v="169.9"/>
    <d v="2025-01-29T00:00:00"/>
    <d v="2025-01-30T00:00:00"/>
    <x v="1"/>
    <x v="2"/>
    <n v="4"/>
    <x v="0"/>
    <x v="6"/>
    <x v="3"/>
    <x v="4"/>
    <x v="1"/>
  </r>
  <r>
    <x v="677"/>
    <x v="9"/>
    <x v="1"/>
    <n v="72.2"/>
    <n v="144.4"/>
    <d v="2025-01-29T00:00:00"/>
    <d v="2025-01-31T00:00:00"/>
    <x v="2"/>
    <x v="4"/>
    <n v="3"/>
    <x v="0"/>
    <x v="6"/>
    <x v="1"/>
    <x v="4"/>
    <x v="2"/>
  </r>
  <r>
    <x v="678"/>
    <x v="0"/>
    <x v="0"/>
    <n v="20"/>
    <n v="20"/>
    <d v="2025-01-30T00:00:00"/>
    <d v="2025-02-02T00:00:00"/>
    <x v="2"/>
    <x v="2"/>
    <n v="3"/>
    <x v="0"/>
    <x v="7"/>
    <x v="2"/>
    <x v="4"/>
    <x v="2"/>
  </r>
  <r>
    <x v="679"/>
    <x v="9"/>
    <x v="1"/>
    <n v="40.799999999999997"/>
    <n v="81.599999999999994"/>
    <d v="2025-01-30T00:00:00"/>
    <d v="2025-02-01T00:00:00"/>
    <x v="2"/>
    <x v="3"/>
    <n v="5"/>
    <x v="0"/>
    <x v="8"/>
    <x v="1"/>
    <x v="4"/>
    <x v="2"/>
  </r>
  <r>
    <x v="680"/>
    <x v="10"/>
    <x v="12"/>
    <n v="58"/>
    <n v="232"/>
    <d v="2025-01-30T00:00:00"/>
    <d v="2025-02-03T00:00:00"/>
    <x v="2"/>
    <x v="0"/>
    <n v="4"/>
    <x v="0"/>
    <x v="8"/>
    <x v="5"/>
    <x v="4"/>
    <x v="2"/>
  </r>
  <r>
    <x v="681"/>
    <x v="12"/>
    <x v="1"/>
    <n v="43.1"/>
    <n v="86.2"/>
    <d v="2025-01-30T00:00:00"/>
    <d v="2025-01-31T00:00:00"/>
    <x v="2"/>
    <x v="1"/>
    <n v="5"/>
    <x v="0"/>
    <x v="8"/>
    <x v="3"/>
    <x v="4"/>
    <x v="2"/>
  </r>
  <r>
    <x v="682"/>
    <x v="6"/>
    <x v="11"/>
    <n v="74.7"/>
    <n v="672.30000000000007"/>
    <d v="2025-01-30T00:00:00"/>
    <d v="2025-02-01T00:00:00"/>
    <x v="1"/>
    <x v="0"/>
    <n v="5"/>
    <x v="0"/>
    <x v="8"/>
    <x v="1"/>
    <x v="4"/>
    <x v="1"/>
  </r>
  <r>
    <x v="683"/>
    <x v="6"/>
    <x v="0"/>
    <n v="128.19999999999999"/>
    <n v="128.19999999999999"/>
    <d v="2025-01-30T00:00:00"/>
    <d v="2025-01-30T00:00:00"/>
    <x v="1"/>
    <x v="1"/>
    <n v="4"/>
    <x v="0"/>
    <x v="8"/>
    <x v="7"/>
    <x v="4"/>
    <x v="1"/>
  </r>
  <r>
    <x v="684"/>
    <x v="14"/>
    <x v="12"/>
    <n v="26.7"/>
    <n v="106.8"/>
    <d v="2025-01-30T00:00:00"/>
    <d v="2025-01-31T00:00:00"/>
    <x v="1"/>
    <x v="1"/>
    <n v="4"/>
    <x v="0"/>
    <x v="8"/>
    <x v="3"/>
    <x v="4"/>
    <x v="1"/>
  </r>
  <r>
    <x v="685"/>
    <x v="17"/>
    <x v="13"/>
    <n v="31.5"/>
    <n v="189"/>
    <d v="2025-01-30T00:00:00"/>
    <d v="2025-01-31T00:00:00"/>
    <x v="2"/>
    <x v="2"/>
    <n v="4"/>
    <x v="0"/>
    <x v="17"/>
    <x v="3"/>
    <x v="4"/>
    <x v="2"/>
  </r>
  <r>
    <x v="686"/>
    <x v="3"/>
    <x v="3"/>
    <n v="64.7"/>
    <n v="452.90000000000003"/>
    <d v="2025-01-30T00:00:00"/>
    <d v="2025-01-31T00:00:00"/>
    <x v="2"/>
    <x v="0"/>
    <n v="5"/>
    <x v="0"/>
    <x v="9"/>
    <x v="3"/>
    <x v="4"/>
    <x v="2"/>
  </r>
  <r>
    <x v="687"/>
    <x v="5"/>
    <x v="1"/>
    <n v="55.6"/>
    <n v="111.2"/>
    <d v="2025-01-30T00:00:00"/>
    <d v="2025-02-02T00:00:00"/>
    <x v="2"/>
    <x v="3"/>
    <n v="4"/>
    <x v="0"/>
    <x v="11"/>
    <x v="2"/>
    <x v="4"/>
    <x v="2"/>
  </r>
  <r>
    <x v="688"/>
    <x v="3"/>
    <x v="1"/>
    <n v="36.200000000000003"/>
    <n v="72.400000000000006"/>
    <d v="2025-01-30T00:00:00"/>
    <d v="2025-01-31T00:00:00"/>
    <x v="2"/>
    <x v="3"/>
    <n v="4"/>
    <x v="0"/>
    <x v="11"/>
    <x v="3"/>
    <x v="4"/>
    <x v="2"/>
  </r>
  <r>
    <x v="689"/>
    <x v="0"/>
    <x v="0"/>
    <n v="26.6"/>
    <n v="26.6"/>
    <d v="2025-01-30T00:00:00"/>
    <d v="2025-01-31T00:00:00"/>
    <x v="0"/>
    <x v="1"/>
    <n v="3"/>
    <x v="0"/>
    <x v="19"/>
    <x v="3"/>
    <x v="4"/>
    <x v="0"/>
  </r>
  <r>
    <x v="690"/>
    <x v="10"/>
    <x v="12"/>
    <n v="31.5"/>
    <n v="126"/>
    <d v="2025-01-30T00:00:00"/>
    <d v="2025-02-01T00:00:00"/>
    <x v="1"/>
    <x v="0"/>
    <n v="4"/>
    <x v="0"/>
    <x v="31"/>
    <x v="1"/>
    <x v="4"/>
    <x v="1"/>
  </r>
  <r>
    <x v="691"/>
    <x v="10"/>
    <x v="0"/>
    <n v="27"/>
    <n v="27"/>
    <d v="2025-01-30T00:00:00"/>
    <d v="2025-02-01T00:00:00"/>
    <x v="2"/>
    <x v="1"/>
    <n v="5"/>
    <x v="0"/>
    <x v="13"/>
    <x v="1"/>
    <x v="4"/>
    <x v="2"/>
  </r>
  <r>
    <x v="692"/>
    <x v="4"/>
    <x v="0"/>
    <n v="32"/>
    <n v="32"/>
    <d v="2025-01-30T00:00:00"/>
    <d v="2025-02-02T00:00:00"/>
    <x v="1"/>
    <x v="3"/>
    <n v="4"/>
    <x v="0"/>
    <x v="21"/>
    <x v="2"/>
    <x v="4"/>
    <x v="1"/>
  </r>
  <r>
    <x v="693"/>
    <x v="1"/>
    <x v="2"/>
    <n v="48.1"/>
    <n v="144.30000000000001"/>
    <d v="2025-01-30T00:00:00"/>
    <d v="2025-02-01T00:00:00"/>
    <x v="1"/>
    <x v="2"/>
    <n v="3"/>
    <x v="0"/>
    <x v="1"/>
    <x v="1"/>
    <x v="4"/>
    <x v="1"/>
  </r>
  <r>
    <x v="694"/>
    <x v="9"/>
    <x v="1"/>
    <n v="43.4"/>
    <n v="86.8"/>
    <d v="2025-01-30T00:00:00"/>
    <d v="2025-01-31T00:00:00"/>
    <x v="1"/>
    <x v="1"/>
    <n v="3"/>
    <x v="0"/>
    <x v="22"/>
    <x v="3"/>
    <x v="4"/>
    <x v="1"/>
  </r>
  <r>
    <x v="695"/>
    <x v="6"/>
    <x v="1"/>
    <n v="42.6"/>
    <n v="85.2"/>
    <d v="2025-01-30T00:00:00"/>
    <d v="2025-02-02T00:00:00"/>
    <x v="2"/>
    <x v="3"/>
    <n v="4"/>
    <x v="0"/>
    <x v="22"/>
    <x v="2"/>
    <x v="4"/>
    <x v="2"/>
  </r>
  <r>
    <x v="696"/>
    <x v="8"/>
    <x v="1"/>
    <n v="15.9"/>
    <n v="31.8"/>
    <d v="2025-01-30T00:00:00"/>
    <d v="2025-01-31T00:00:00"/>
    <x v="2"/>
    <x v="0"/>
    <n v="4"/>
    <x v="0"/>
    <x v="34"/>
    <x v="3"/>
    <x v="4"/>
    <x v="2"/>
  </r>
  <r>
    <x v="697"/>
    <x v="9"/>
    <x v="1"/>
    <n v="63.2"/>
    <n v="126.4"/>
    <d v="2025-01-30T00:00:00"/>
    <d v="2025-01-31T00:00:00"/>
    <x v="1"/>
    <x v="1"/>
    <n v="4"/>
    <x v="0"/>
    <x v="3"/>
    <x v="3"/>
    <x v="4"/>
    <x v="1"/>
  </r>
  <r>
    <x v="698"/>
    <x v="7"/>
    <x v="12"/>
    <n v="64.8"/>
    <n v="259.2"/>
    <d v="2025-01-30T00:00:00"/>
    <d v="2025-02-01T00:00:00"/>
    <x v="0"/>
    <x v="4"/>
    <n v="3"/>
    <x v="0"/>
    <x v="3"/>
    <x v="1"/>
    <x v="4"/>
    <x v="0"/>
  </r>
  <r>
    <x v="699"/>
    <x v="7"/>
    <x v="2"/>
    <n v="79.8"/>
    <n v="239.39999999999998"/>
    <d v="2025-01-30T00:00:00"/>
    <d v="2025-01-31T00:00:00"/>
    <x v="1"/>
    <x v="0"/>
    <n v="4"/>
    <x v="0"/>
    <x v="3"/>
    <x v="3"/>
    <x v="4"/>
    <x v="1"/>
  </r>
  <r>
    <x v="700"/>
    <x v="9"/>
    <x v="0"/>
    <n v="54.4"/>
    <n v="54.4"/>
    <d v="2025-01-30T00:00:00"/>
    <d v="2025-02-01T00:00:00"/>
    <x v="2"/>
    <x v="4"/>
    <n v="5"/>
    <x v="0"/>
    <x v="3"/>
    <x v="1"/>
    <x v="4"/>
    <x v="2"/>
  </r>
  <r>
    <x v="701"/>
    <x v="6"/>
    <x v="0"/>
    <n v="87.3"/>
    <n v="87.3"/>
    <d v="2025-01-30T00:00:00"/>
    <d v="2025-01-31T00:00:00"/>
    <x v="1"/>
    <x v="1"/>
    <n v="4"/>
    <x v="0"/>
    <x v="3"/>
    <x v="3"/>
    <x v="4"/>
    <x v="1"/>
  </r>
  <r>
    <x v="702"/>
    <x v="8"/>
    <x v="12"/>
    <n v="32.4"/>
    <n v="129.6"/>
    <d v="2025-01-30T00:00:00"/>
    <d v="2025-01-30T00:00:00"/>
    <x v="1"/>
    <x v="1"/>
    <n v="4"/>
    <x v="0"/>
    <x v="3"/>
    <x v="7"/>
    <x v="4"/>
    <x v="1"/>
  </r>
  <r>
    <x v="703"/>
    <x v="2"/>
    <x v="0"/>
    <n v="177.4"/>
    <n v="177.4"/>
    <d v="2025-01-30T00:00:00"/>
    <d v="2025-02-03T00:00:00"/>
    <x v="1"/>
    <x v="0"/>
    <n v="5"/>
    <x v="0"/>
    <x v="3"/>
    <x v="5"/>
    <x v="4"/>
    <x v="1"/>
  </r>
  <r>
    <x v="704"/>
    <x v="7"/>
    <x v="1"/>
    <n v="70.099999999999994"/>
    <n v="140.19999999999999"/>
    <d v="2025-01-30T00:00:00"/>
    <d v="2025-01-31T00:00:00"/>
    <x v="1"/>
    <x v="3"/>
    <n v="3"/>
    <x v="0"/>
    <x v="3"/>
    <x v="3"/>
    <x v="4"/>
    <x v="1"/>
  </r>
  <r>
    <x v="705"/>
    <x v="9"/>
    <x v="13"/>
    <n v="51.1"/>
    <n v="306.60000000000002"/>
    <d v="2025-01-30T00:00:00"/>
    <d v="2025-01-31T00:00:00"/>
    <x v="2"/>
    <x v="0"/>
    <n v="4"/>
    <x v="0"/>
    <x v="3"/>
    <x v="3"/>
    <x v="4"/>
    <x v="2"/>
  </r>
  <r>
    <x v="706"/>
    <x v="2"/>
    <x v="9"/>
    <n v="79.900000000000006"/>
    <n v="399.5"/>
    <d v="2025-01-30T00:00:00"/>
    <d v="2025-02-01T00:00:00"/>
    <x v="1"/>
    <x v="3"/>
    <n v="5"/>
    <x v="0"/>
    <x v="24"/>
    <x v="1"/>
    <x v="4"/>
    <x v="1"/>
  </r>
  <r>
    <x v="707"/>
    <x v="6"/>
    <x v="0"/>
    <n v="57.6"/>
    <n v="57.6"/>
    <d v="2025-01-31T00:00:00"/>
    <d v="2025-02-05T00:00:00"/>
    <x v="1"/>
    <x v="0"/>
    <n v="5"/>
    <x v="0"/>
    <x v="49"/>
    <x v="0"/>
    <x v="4"/>
    <x v="1"/>
  </r>
  <r>
    <x v="708"/>
    <x v="8"/>
    <x v="7"/>
    <n v="59.7"/>
    <n v="597"/>
    <d v="2025-01-31T00:00:00"/>
    <d v="2025-02-04T00:00:00"/>
    <x v="1"/>
    <x v="2"/>
    <n v="4"/>
    <x v="0"/>
    <x v="25"/>
    <x v="5"/>
    <x v="4"/>
    <x v="1"/>
  </r>
  <r>
    <x v="709"/>
    <x v="8"/>
    <x v="9"/>
    <n v="30"/>
    <n v="150"/>
    <d v="2025-01-31T00:00:00"/>
    <d v="2025-02-02T00:00:00"/>
    <x v="1"/>
    <x v="1"/>
    <n v="4"/>
    <x v="0"/>
    <x v="6"/>
    <x v="1"/>
    <x v="4"/>
    <x v="1"/>
  </r>
  <r>
    <x v="710"/>
    <x v="10"/>
    <x v="1"/>
    <n v="69.2"/>
    <n v="138.4"/>
    <d v="2025-01-31T00:00:00"/>
    <d v="2025-02-02T00:00:00"/>
    <x v="0"/>
    <x v="2"/>
    <n v="3"/>
    <x v="0"/>
    <x v="6"/>
    <x v="1"/>
    <x v="4"/>
    <x v="0"/>
  </r>
  <r>
    <x v="711"/>
    <x v="0"/>
    <x v="8"/>
    <n v="10.9"/>
    <n v="87.2"/>
    <d v="2025-01-31T00:00:00"/>
    <d v="2025-02-01T00:00:00"/>
    <x v="2"/>
    <x v="0"/>
    <n v="5"/>
    <x v="0"/>
    <x v="6"/>
    <x v="3"/>
    <x v="4"/>
    <x v="2"/>
  </r>
  <r>
    <x v="712"/>
    <x v="16"/>
    <x v="1"/>
    <n v="48.6"/>
    <n v="97.2"/>
    <d v="2025-01-31T00:00:00"/>
    <d v="2025-02-04T00:00:00"/>
    <x v="1"/>
    <x v="1"/>
    <n v="5"/>
    <x v="0"/>
    <x v="6"/>
    <x v="5"/>
    <x v="4"/>
    <x v="1"/>
  </r>
  <r>
    <x v="713"/>
    <x v="2"/>
    <x v="1"/>
    <n v="61.1"/>
    <n v="122.2"/>
    <d v="2025-01-31T00:00:00"/>
    <d v="2025-02-03T00:00:00"/>
    <x v="2"/>
    <x v="1"/>
    <n v="5"/>
    <x v="0"/>
    <x v="7"/>
    <x v="2"/>
    <x v="4"/>
    <x v="2"/>
  </r>
  <r>
    <x v="714"/>
    <x v="8"/>
    <x v="1"/>
    <n v="23.2"/>
    <n v="46.4"/>
    <d v="2025-01-31T00:00:00"/>
    <d v="2025-02-01T00:00:00"/>
    <x v="1"/>
    <x v="3"/>
    <n v="5"/>
    <x v="0"/>
    <x v="8"/>
    <x v="3"/>
    <x v="4"/>
    <x v="1"/>
  </r>
  <r>
    <x v="715"/>
    <x v="12"/>
    <x v="12"/>
    <n v="55.8"/>
    <n v="223.2"/>
    <d v="2025-01-31T00:00:00"/>
    <d v="2025-02-01T00:00:00"/>
    <x v="1"/>
    <x v="0"/>
    <n v="4"/>
    <x v="0"/>
    <x v="8"/>
    <x v="3"/>
    <x v="4"/>
    <x v="1"/>
  </r>
  <r>
    <x v="716"/>
    <x v="9"/>
    <x v="12"/>
    <n v="24.8"/>
    <n v="99.2"/>
    <d v="2025-01-31T00:00:00"/>
    <d v="2025-02-01T00:00:00"/>
    <x v="2"/>
    <x v="0"/>
    <n v="5"/>
    <x v="0"/>
    <x v="8"/>
    <x v="3"/>
    <x v="4"/>
    <x v="2"/>
  </r>
  <r>
    <x v="717"/>
    <x v="10"/>
    <x v="1"/>
    <n v="27.9"/>
    <n v="55.8"/>
    <d v="2025-01-31T00:00:00"/>
    <d v="2025-01-31T00:00:00"/>
    <x v="1"/>
    <x v="2"/>
    <n v="5"/>
    <x v="0"/>
    <x v="8"/>
    <x v="7"/>
    <x v="4"/>
    <x v="1"/>
  </r>
  <r>
    <x v="718"/>
    <x v="10"/>
    <x v="13"/>
    <n v="51.1"/>
    <n v="306.60000000000002"/>
    <d v="2025-01-31T00:00:00"/>
    <d v="2025-01-31T00:00:00"/>
    <x v="2"/>
    <x v="3"/>
    <n v="4"/>
    <x v="0"/>
    <x v="8"/>
    <x v="7"/>
    <x v="4"/>
    <x v="2"/>
  </r>
  <r>
    <x v="719"/>
    <x v="17"/>
    <x v="5"/>
    <n v="32.700000000000003"/>
    <n v="359.70000000000005"/>
    <d v="2025-01-31T00:00:00"/>
    <d v="2025-02-01T00:00:00"/>
    <x v="1"/>
    <x v="4"/>
    <n v="5"/>
    <x v="0"/>
    <x v="17"/>
    <x v="3"/>
    <x v="4"/>
    <x v="1"/>
  </r>
  <r>
    <x v="720"/>
    <x v="8"/>
    <x v="12"/>
    <n v="22.5"/>
    <n v="90"/>
    <d v="2025-01-31T00:00:00"/>
    <d v="2025-01-31T00:00:00"/>
    <x v="1"/>
    <x v="0"/>
    <n v="5"/>
    <x v="0"/>
    <x v="26"/>
    <x v="7"/>
    <x v="4"/>
    <x v="1"/>
  </r>
  <r>
    <x v="721"/>
    <x v="0"/>
    <x v="3"/>
    <n v="14.6"/>
    <n v="102.2"/>
    <d v="2025-01-31T00:00:00"/>
    <d v="2025-02-01T00:00:00"/>
    <x v="2"/>
    <x v="2"/>
    <n v="4"/>
    <x v="0"/>
    <x v="41"/>
    <x v="3"/>
    <x v="4"/>
    <x v="2"/>
  </r>
  <r>
    <x v="722"/>
    <x v="5"/>
    <x v="2"/>
    <n v="32.5"/>
    <n v="97.5"/>
    <d v="2025-01-31T00:00:00"/>
    <d v="2025-02-03T00:00:00"/>
    <x v="1"/>
    <x v="0"/>
    <n v="4"/>
    <x v="0"/>
    <x v="10"/>
    <x v="2"/>
    <x v="4"/>
    <x v="1"/>
  </r>
  <r>
    <x v="723"/>
    <x v="18"/>
    <x v="0"/>
    <n v="78.099999999999994"/>
    <n v="78.099999999999994"/>
    <d v="2025-01-31T00:00:00"/>
    <d v="2025-02-03T00:00:00"/>
    <x v="1"/>
    <x v="0"/>
    <n v="5"/>
    <x v="0"/>
    <x v="11"/>
    <x v="2"/>
    <x v="4"/>
    <x v="1"/>
  </r>
  <r>
    <x v="724"/>
    <x v="12"/>
    <x v="13"/>
    <n v="110.2"/>
    <n v="661.2"/>
    <d v="2025-01-31T00:00:00"/>
    <d v="2025-01-31T00:00:00"/>
    <x v="1"/>
    <x v="1"/>
    <n v="2"/>
    <x v="0"/>
    <x v="13"/>
    <x v="7"/>
    <x v="4"/>
    <x v="1"/>
  </r>
  <r>
    <x v="725"/>
    <x v="6"/>
    <x v="2"/>
    <n v="86.3"/>
    <n v="258.89999999999998"/>
    <d v="2025-01-31T00:00:00"/>
    <d v="2025-02-02T00:00:00"/>
    <x v="2"/>
    <x v="3"/>
    <n v="4"/>
    <x v="0"/>
    <x v="21"/>
    <x v="1"/>
    <x v="4"/>
    <x v="2"/>
  </r>
  <r>
    <x v="726"/>
    <x v="1"/>
    <x v="13"/>
    <n v="73.599999999999994"/>
    <n v="441.59999999999997"/>
    <d v="2025-01-31T00:00:00"/>
    <d v="2025-02-02T00:00:00"/>
    <x v="3"/>
    <x v="3"/>
    <n v="2"/>
    <x v="0"/>
    <x v="44"/>
    <x v="1"/>
    <x v="4"/>
    <x v="3"/>
  </r>
  <r>
    <x v="727"/>
    <x v="6"/>
    <x v="15"/>
    <n v="67.7"/>
    <n v="880.1"/>
    <d v="2025-01-31T00:00:00"/>
    <d v="2025-02-02T00:00:00"/>
    <x v="2"/>
    <x v="0"/>
    <n v="5"/>
    <x v="0"/>
    <x v="3"/>
    <x v="1"/>
    <x v="4"/>
    <x v="2"/>
  </r>
  <r>
    <x v="728"/>
    <x v="7"/>
    <x v="13"/>
    <n v="142.19999999999999"/>
    <n v="853.19999999999993"/>
    <d v="2025-01-31T00:00:00"/>
    <d v="2025-02-01T00:00:00"/>
    <x v="2"/>
    <x v="2"/>
    <n v="2"/>
    <x v="0"/>
    <x v="3"/>
    <x v="3"/>
    <x v="4"/>
    <x v="2"/>
  </r>
  <r>
    <x v="729"/>
    <x v="1"/>
    <x v="11"/>
    <n v="45.8"/>
    <n v="412.2"/>
    <d v="2025-01-31T00:00:00"/>
    <d v="2025-02-02T00:00:00"/>
    <x v="2"/>
    <x v="1"/>
    <n v="5"/>
    <x v="0"/>
    <x v="3"/>
    <x v="1"/>
    <x v="4"/>
    <x v="2"/>
  </r>
  <r>
    <x v="730"/>
    <x v="10"/>
    <x v="1"/>
    <n v="24.2"/>
    <n v="48.4"/>
    <d v="2025-02-01T00:00:00"/>
    <d v="2025-02-04T00:00:00"/>
    <x v="2"/>
    <x v="3"/>
    <n v="5"/>
    <x v="0"/>
    <x v="3"/>
    <x v="2"/>
    <x v="4"/>
    <x v="2"/>
  </r>
  <r>
    <x v="731"/>
    <x v="2"/>
    <x v="2"/>
    <n v="144.9"/>
    <n v="434.70000000000005"/>
    <d v="2025-02-01T00:00:00"/>
    <d v="2025-02-02T00:00:00"/>
    <x v="3"/>
    <x v="2"/>
    <n v="5"/>
    <x v="0"/>
    <x v="3"/>
    <x v="3"/>
    <x v="4"/>
    <x v="3"/>
  </r>
  <r>
    <x v="732"/>
    <x v="11"/>
    <x v="9"/>
    <n v="32.799999999999997"/>
    <n v="164"/>
    <d v="2025-02-01T00:00:00"/>
    <d v="2025-02-04T00:00:00"/>
    <x v="2"/>
    <x v="2"/>
    <n v="4"/>
    <x v="0"/>
    <x v="23"/>
    <x v="2"/>
    <x v="4"/>
    <x v="2"/>
  </r>
  <r>
    <x v="733"/>
    <x v="7"/>
    <x v="7"/>
    <n v="35.700000000000003"/>
    <n v="357"/>
    <d v="2025-02-01T00:00:00"/>
    <d v="2025-02-01T00:00:00"/>
    <x v="2"/>
    <x v="0"/>
    <n v="3"/>
    <x v="0"/>
    <x v="6"/>
    <x v="7"/>
    <x v="4"/>
    <x v="2"/>
  </r>
  <r>
    <x v="734"/>
    <x v="9"/>
    <x v="1"/>
    <n v="54.6"/>
    <n v="109.2"/>
    <d v="2025-02-01T00:00:00"/>
    <d v="2025-02-02T00:00:00"/>
    <x v="2"/>
    <x v="2"/>
    <n v="4"/>
    <x v="0"/>
    <x v="6"/>
    <x v="3"/>
    <x v="4"/>
    <x v="2"/>
  </r>
  <r>
    <x v="735"/>
    <x v="8"/>
    <x v="1"/>
    <n v="35.700000000000003"/>
    <n v="71.400000000000006"/>
    <d v="2025-02-01T00:00:00"/>
    <d v="2025-02-04T00:00:00"/>
    <x v="0"/>
    <x v="0"/>
    <n v="3"/>
    <x v="0"/>
    <x v="6"/>
    <x v="2"/>
    <x v="4"/>
    <x v="0"/>
  </r>
  <r>
    <x v="736"/>
    <x v="10"/>
    <x v="1"/>
    <n v="52.4"/>
    <n v="104.8"/>
    <d v="2025-02-01T00:00:00"/>
    <d v="2025-02-01T00:00:00"/>
    <x v="2"/>
    <x v="0"/>
    <n v="1"/>
    <x v="0"/>
    <x v="6"/>
    <x v="7"/>
    <x v="4"/>
    <x v="2"/>
  </r>
  <r>
    <x v="737"/>
    <x v="8"/>
    <x v="21"/>
    <n v="16.2"/>
    <n v="226.79999999999998"/>
    <d v="2025-02-01T00:00:00"/>
    <d v="2025-02-02T00:00:00"/>
    <x v="0"/>
    <x v="0"/>
    <n v="3"/>
    <x v="0"/>
    <x v="8"/>
    <x v="3"/>
    <x v="4"/>
    <x v="0"/>
  </r>
  <r>
    <x v="738"/>
    <x v="6"/>
    <x v="35"/>
    <n v="42.8"/>
    <n v="2011.6"/>
    <d v="2025-02-01T00:00:00"/>
    <d v="2025-02-02T00:00:00"/>
    <x v="2"/>
    <x v="0"/>
    <n v="4"/>
    <x v="0"/>
    <x v="8"/>
    <x v="3"/>
    <x v="4"/>
    <x v="2"/>
  </r>
  <r>
    <x v="739"/>
    <x v="6"/>
    <x v="11"/>
    <n v="144.4"/>
    <n v="1299.6000000000001"/>
    <d v="2025-02-01T00:00:00"/>
    <d v="2025-02-04T00:00:00"/>
    <x v="2"/>
    <x v="4"/>
    <n v="4"/>
    <x v="0"/>
    <x v="8"/>
    <x v="2"/>
    <x v="4"/>
    <x v="2"/>
  </r>
  <r>
    <x v="740"/>
    <x v="3"/>
    <x v="34"/>
    <n v="30.6"/>
    <n v="1101.6000000000001"/>
    <d v="2025-02-01T00:00:00"/>
    <d v="2025-02-05T00:00:00"/>
    <x v="2"/>
    <x v="2"/>
    <n v="5"/>
    <x v="0"/>
    <x v="11"/>
    <x v="5"/>
    <x v="4"/>
    <x v="2"/>
  </r>
  <r>
    <x v="741"/>
    <x v="2"/>
    <x v="1"/>
    <n v="117.5"/>
    <n v="235"/>
    <d v="2025-02-01T00:00:00"/>
    <d v="2025-02-02T00:00:00"/>
    <x v="1"/>
    <x v="0"/>
    <n v="4"/>
    <x v="0"/>
    <x v="19"/>
    <x v="3"/>
    <x v="4"/>
    <x v="1"/>
  </r>
  <r>
    <x v="742"/>
    <x v="6"/>
    <x v="1"/>
    <n v="105.7"/>
    <n v="211.4"/>
    <d v="2025-02-01T00:00:00"/>
    <d v="2025-02-02T00:00:00"/>
    <x v="2"/>
    <x v="2"/>
    <n v="5"/>
    <x v="0"/>
    <x v="21"/>
    <x v="3"/>
    <x v="4"/>
    <x v="2"/>
  </r>
  <r>
    <x v="743"/>
    <x v="3"/>
    <x v="2"/>
    <n v="133.69999999999999"/>
    <n v="401.09999999999997"/>
    <d v="2025-02-01T00:00:00"/>
    <d v="2025-02-02T00:00:00"/>
    <x v="0"/>
    <x v="4"/>
    <n v="5"/>
    <x v="0"/>
    <x v="21"/>
    <x v="3"/>
    <x v="4"/>
    <x v="0"/>
  </r>
  <r>
    <x v="744"/>
    <x v="4"/>
    <x v="9"/>
    <n v="46.8"/>
    <n v="234"/>
    <d v="2025-02-02T00:00:00"/>
    <d v="2025-02-10T00:00:00"/>
    <x v="2"/>
    <x v="0"/>
    <n v="3"/>
    <x v="0"/>
    <x v="21"/>
    <x v="9"/>
    <x v="5"/>
    <x v="2"/>
  </r>
  <r>
    <x v="745"/>
    <x v="10"/>
    <x v="2"/>
    <n v="58.4"/>
    <n v="175.2"/>
    <d v="2025-02-02T00:00:00"/>
    <d v="2025-02-04T00:00:00"/>
    <x v="2"/>
    <x v="0"/>
    <n v="4"/>
    <x v="0"/>
    <x v="1"/>
    <x v="1"/>
    <x v="5"/>
    <x v="2"/>
  </r>
  <r>
    <x v="746"/>
    <x v="6"/>
    <x v="11"/>
    <n v="65.099999999999994"/>
    <n v="585.9"/>
    <d v="2025-02-02T00:00:00"/>
    <d v="2025-02-06T00:00:00"/>
    <x v="1"/>
    <x v="1"/>
    <n v="5"/>
    <x v="0"/>
    <x v="22"/>
    <x v="5"/>
    <x v="5"/>
    <x v="1"/>
  </r>
  <r>
    <x v="747"/>
    <x v="8"/>
    <x v="0"/>
    <n v="18.600000000000001"/>
    <n v="18.600000000000001"/>
    <d v="2025-02-02T00:00:00"/>
    <d v="2025-02-05T00:00:00"/>
    <x v="2"/>
    <x v="0"/>
    <n v="2"/>
    <x v="0"/>
    <x v="22"/>
    <x v="2"/>
    <x v="5"/>
    <x v="2"/>
  </r>
  <r>
    <x v="748"/>
    <x v="1"/>
    <x v="5"/>
    <n v="92.3"/>
    <n v="1015.3"/>
    <d v="2025-02-02T00:00:00"/>
    <d v="2025-02-04T00:00:00"/>
    <x v="1"/>
    <x v="1"/>
    <n v="4"/>
    <x v="0"/>
    <x v="3"/>
    <x v="1"/>
    <x v="5"/>
    <x v="1"/>
  </r>
  <r>
    <x v="749"/>
    <x v="6"/>
    <x v="2"/>
    <n v="81.7"/>
    <n v="245.10000000000002"/>
    <d v="2025-02-02T00:00:00"/>
    <d v="2025-02-03T00:00:00"/>
    <x v="0"/>
    <x v="4"/>
    <n v="2"/>
    <x v="0"/>
    <x v="3"/>
    <x v="3"/>
    <x v="5"/>
    <x v="0"/>
  </r>
  <r>
    <x v="750"/>
    <x v="8"/>
    <x v="1"/>
    <n v="40.9"/>
    <n v="81.8"/>
    <d v="2025-02-02T00:00:00"/>
    <d v="2025-02-04T00:00:00"/>
    <x v="1"/>
    <x v="0"/>
    <n v="3"/>
    <x v="0"/>
    <x v="3"/>
    <x v="1"/>
    <x v="5"/>
    <x v="1"/>
  </r>
  <r>
    <x v="751"/>
    <x v="6"/>
    <x v="12"/>
    <n v="43.2"/>
    <n v="172.8"/>
    <d v="2025-02-02T00:00:00"/>
    <d v="2025-02-08T00:00:00"/>
    <x v="2"/>
    <x v="0"/>
    <n v="3"/>
    <x v="0"/>
    <x v="3"/>
    <x v="4"/>
    <x v="5"/>
    <x v="2"/>
  </r>
  <r>
    <x v="752"/>
    <x v="8"/>
    <x v="5"/>
    <n v="25.8"/>
    <n v="283.8"/>
    <d v="2025-02-02T00:00:00"/>
    <d v="2025-02-05T00:00:00"/>
    <x v="1"/>
    <x v="2"/>
    <n v="3"/>
    <x v="0"/>
    <x v="3"/>
    <x v="2"/>
    <x v="5"/>
    <x v="1"/>
  </r>
  <r>
    <x v="753"/>
    <x v="15"/>
    <x v="12"/>
    <n v="36.4"/>
    <n v="145.6"/>
    <d v="2025-02-02T00:00:00"/>
    <d v="2025-02-03T00:00:00"/>
    <x v="1"/>
    <x v="0"/>
    <n v="4"/>
    <x v="0"/>
    <x v="3"/>
    <x v="3"/>
    <x v="5"/>
    <x v="1"/>
  </r>
  <r>
    <x v="754"/>
    <x v="10"/>
    <x v="0"/>
    <n v="59.1"/>
    <n v="59.1"/>
    <d v="2025-02-02T00:00:00"/>
    <d v="2025-02-03T00:00:00"/>
    <x v="2"/>
    <x v="2"/>
    <n v="4"/>
    <x v="0"/>
    <x v="7"/>
    <x v="3"/>
    <x v="5"/>
    <x v="2"/>
  </r>
  <r>
    <x v="755"/>
    <x v="2"/>
    <x v="14"/>
    <n v="74.5"/>
    <n v="1266.5"/>
    <d v="2025-02-02T00:00:00"/>
    <d v="2025-02-04T00:00:00"/>
    <x v="1"/>
    <x v="4"/>
    <n v="4"/>
    <x v="0"/>
    <x v="18"/>
    <x v="1"/>
    <x v="5"/>
    <x v="1"/>
  </r>
  <r>
    <x v="756"/>
    <x v="5"/>
    <x v="0"/>
    <n v="72.8"/>
    <n v="72.8"/>
    <d v="2025-02-02T00:00:00"/>
    <d v="2025-02-03T00:00:00"/>
    <x v="2"/>
    <x v="0"/>
    <n v="3"/>
    <x v="0"/>
    <x v="19"/>
    <x v="3"/>
    <x v="5"/>
    <x v="2"/>
  </r>
  <r>
    <x v="757"/>
    <x v="6"/>
    <x v="12"/>
    <n v="137.30000000000001"/>
    <n v="549.20000000000005"/>
    <d v="2025-02-02T00:00:00"/>
    <d v="2025-02-05T00:00:00"/>
    <x v="2"/>
    <x v="0"/>
    <n v="4"/>
    <x v="0"/>
    <x v="13"/>
    <x v="2"/>
    <x v="5"/>
    <x v="2"/>
  </r>
  <r>
    <x v="758"/>
    <x v="1"/>
    <x v="2"/>
    <n v="48.7"/>
    <n v="146.10000000000002"/>
    <d v="2025-02-02T00:00:00"/>
    <d v="2025-02-07T00:00:00"/>
    <x v="2"/>
    <x v="0"/>
    <n v="3"/>
    <x v="0"/>
    <x v="21"/>
    <x v="0"/>
    <x v="5"/>
    <x v="2"/>
  </r>
  <r>
    <x v="759"/>
    <x v="6"/>
    <x v="12"/>
    <n v="53.7"/>
    <n v="214.8"/>
    <d v="2025-02-02T00:00:00"/>
    <d v="2025-02-06T00:00:00"/>
    <x v="1"/>
    <x v="1"/>
    <n v="2"/>
    <x v="0"/>
    <x v="2"/>
    <x v="5"/>
    <x v="5"/>
    <x v="1"/>
  </r>
  <r>
    <x v="760"/>
    <x v="2"/>
    <x v="3"/>
    <n v="100.9"/>
    <n v="706.30000000000007"/>
    <d v="2025-02-02T00:00:00"/>
    <d v="2025-02-04T00:00:00"/>
    <x v="2"/>
    <x v="0"/>
    <n v="3"/>
    <x v="0"/>
    <x v="2"/>
    <x v="1"/>
    <x v="5"/>
    <x v="2"/>
  </r>
  <r>
    <x v="761"/>
    <x v="10"/>
    <x v="1"/>
    <n v="41.8"/>
    <n v="83.6"/>
    <d v="2025-02-02T00:00:00"/>
    <d v="2025-02-06T00:00:00"/>
    <x v="1"/>
    <x v="3"/>
    <n v="5"/>
    <x v="0"/>
    <x v="22"/>
    <x v="5"/>
    <x v="5"/>
    <x v="1"/>
  </r>
  <r>
    <x v="762"/>
    <x v="4"/>
    <x v="8"/>
    <n v="28.5"/>
    <n v="228"/>
    <d v="2025-02-02T00:00:00"/>
    <d v="2025-02-04T00:00:00"/>
    <x v="1"/>
    <x v="2"/>
    <n v="3"/>
    <x v="0"/>
    <x v="3"/>
    <x v="1"/>
    <x v="5"/>
    <x v="1"/>
  </r>
  <r>
    <x v="763"/>
    <x v="7"/>
    <x v="12"/>
    <n v="88.9"/>
    <n v="355.6"/>
    <d v="2025-02-02T00:00:00"/>
    <d v="2025-02-05T00:00:00"/>
    <x v="2"/>
    <x v="0"/>
    <n v="5"/>
    <x v="0"/>
    <x v="3"/>
    <x v="2"/>
    <x v="5"/>
    <x v="2"/>
  </r>
  <r>
    <x v="764"/>
    <x v="6"/>
    <x v="0"/>
    <n v="62.5"/>
    <n v="62.5"/>
    <d v="2025-02-02T00:00:00"/>
    <d v="2025-02-11T00:00:00"/>
    <x v="2"/>
    <x v="0"/>
    <n v="5"/>
    <x v="0"/>
    <x v="3"/>
    <x v="8"/>
    <x v="5"/>
    <x v="2"/>
  </r>
  <r>
    <x v="765"/>
    <x v="1"/>
    <x v="2"/>
    <n v="46.9"/>
    <n v="140.69999999999999"/>
    <d v="2025-02-02T00:00:00"/>
    <d v="2025-02-03T00:00:00"/>
    <x v="1"/>
    <x v="0"/>
    <n v="5"/>
    <x v="0"/>
    <x v="3"/>
    <x v="3"/>
    <x v="5"/>
    <x v="1"/>
  </r>
  <r>
    <x v="766"/>
    <x v="8"/>
    <x v="2"/>
    <n v="45"/>
    <n v="135"/>
    <d v="2025-02-02T00:00:00"/>
    <d v="2025-02-16T00:00:00"/>
    <x v="1"/>
    <x v="1"/>
    <n v="4"/>
    <x v="0"/>
    <x v="3"/>
    <x v="12"/>
    <x v="5"/>
    <x v="1"/>
  </r>
  <r>
    <x v="767"/>
    <x v="6"/>
    <x v="2"/>
    <n v="45.2"/>
    <n v="135.60000000000002"/>
    <d v="2025-02-02T00:00:00"/>
    <d v="2025-02-04T00:00:00"/>
    <x v="1"/>
    <x v="4"/>
    <n v="5"/>
    <x v="0"/>
    <x v="3"/>
    <x v="1"/>
    <x v="5"/>
    <x v="1"/>
  </r>
  <r>
    <x v="768"/>
    <x v="4"/>
    <x v="1"/>
    <n v="60.1"/>
    <n v="120.2"/>
    <d v="2025-02-02T00:00:00"/>
    <d v="2025-02-03T00:00:00"/>
    <x v="2"/>
    <x v="0"/>
    <n v="5"/>
    <x v="0"/>
    <x v="3"/>
    <x v="3"/>
    <x v="5"/>
    <x v="2"/>
  </r>
  <r>
    <x v="769"/>
    <x v="12"/>
    <x v="12"/>
    <n v="118.7"/>
    <n v="474.8"/>
    <d v="2025-02-02T00:00:00"/>
    <d v="2025-02-04T00:00:00"/>
    <x v="2"/>
    <x v="0"/>
    <n v="4"/>
    <x v="0"/>
    <x v="3"/>
    <x v="1"/>
    <x v="5"/>
    <x v="2"/>
  </r>
  <r>
    <x v="770"/>
    <x v="9"/>
    <x v="0"/>
    <n v="57.8"/>
    <n v="57.8"/>
    <d v="2025-02-02T00:00:00"/>
    <d v="2025-02-11T00:00:00"/>
    <x v="2"/>
    <x v="1"/>
    <n v="4"/>
    <x v="0"/>
    <x v="3"/>
    <x v="8"/>
    <x v="5"/>
    <x v="2"/>
  </r>
  <r>
    <x v="771"/>
    <x v="4"/>
    <x v="0"/>
    <n v="19.5"/>
    <n v="19.5"/>
    <d v="2025-02-02T00:00:00"/>
    <d v="2025-02-03T00:00:00"/>
    <x v="1"/>
    <x v="1"/>
    <n v="3"/>
    <x v="0"/>
    <x v="3"/>
    <x v="3"/>
    <x v="5"/>
    <x v="1"/>
  </r>
  <r>
    <x v="772"/>
    <x v="12"/>
    <x v="0"/>
    <n v="42.6"/>
    <n v="42.6"/>
    <d v="2025-02-02T00:00:00"/>
    <d v="2025-02-03T00:00:00"/>
    <x v="1"/>
    <x v="0"/>
    <n v="3"/>
    <x v="0"/>
    <x v="3"/>
    <x v="3"/>
    <x v="5"/>
    <x v="1"/>
  </r>
  <r>
    <x v="773"/>
    <x v="6"/>
    <x v="1"/>
    <n v="74.8"/>
    <n v="149.6"/>
    <d v="2025-02-02T00:00:00"/>
    <d v="2025-02-03T00:00:00"/>
    <x v="2"/>
    <x v="3"/>
    <n v="5"/>
    <x v="0"/>
    <x v="37"/>
    <x v="3"/>
    <x v="5"/>
    <x v="2"/>
  </r>
  <r>
    <x v="774"/>
    <x v="8"/>
    <x v="2"/>
    <n v="32.5"/>
    <n v="97.5"/>
    <d v="2025-02-02T00:00:00"/>
    <d v="2025-02-03T00:00:00"/>
    <x v="1"/>
    <x v="2"/>
    <n v="2"/>
    <x v="0"/>
    <x v="16"/>
    <x v="3"/>
    <x v="5"/>
    <x v="1"/>
  </r>
  <r>
    <x v="775"/>
    <x v="2"/>
    <x v="2"/>
    <n v="60.5"/>
    <n v="181.5"/>
    <d v="2025-02-02T00:00:00"/>
    <d v="2025-02-02T00:00:00"/>
    <x v="2"/>
    <x v="1"/>
    <n v="5"/>
    <x v="0"/>
    <x v="25"/>
    <x v="7"/>
    <x v="5"/>
    <x v="2"/>
  </r>
  <r>
    <x v="776"/>
    <x v="1"/>
    <x v="3"/>
    <n v="57.2"/>
    <n v="400.40000000000003"/>
    <d v="2025-02-02T00:00:00"/>
    <d v="2025-02-04T00:00:00"/>
    <x v="0"/>
    <x v="2"/>
    <n v="4"/>
    <x v="0"/>
    <x v="25"/>
    <x v="1"/>
    <x v="5"/>
    <x v="0"/>
  </r>
  <r>
    <x v="777"/>
    <x v="16"/>
    <x v="1"/>
    <n v="112"/>
    <n v="224"/>
    <d v="2025-02-02T00:00:00"/>
    <d v="2025-02-03T00:00:00"/>
    <x v="2"/>
    <x v="1"/>
    <n v="3"/>
    <x v="0"/>
    <x v="5"/>
    <x v="3"/>
    <x v="5"/>
    <x v="2"/>
  </r>
  <r>
    <x v="778"/>
    <x v="7"/>
    <x v="7"/>
    <n v="49"/>
    <n v="490"/>
    <d v="2025-02-02T00:00:00"/>
    <d v="2025-02-03T00:00:00"/>
    <x v="3"/>
    <x v="2"/>
    <n v="3"/>
    <x v="0"/>
    <x v="6"/>
    <x v="3"/>
    <x v="5"/>
    <x v="3"/>
  </r>
  <r>
    <x v="779"/>
    <x v="0"/>
    <x v="1"/>
    <n v="33.700000000000003"/>
    <n v="67.400000000000006"/>
    <d v="2025-02-02T00:00:00"/>
    <d v="2025-02-06T00:00:00"/>
    <x v="2"/>
    <x v="3"/>
    <n v="4"/>
    <x v="0"/>
    <x v="6"/>
    <x v="5"/>
    <x v="5"/>
    <x v="2"/>
  </r>
  <r>
    <x v="780"/>
    <x v="4"/>
    <x v="2"/>
    <n v="35.6"/>
    <n v="106.80000000000001"/>
    <d v="2025-02-02T00:00:00"/>
    <d v="2025-02-05T00:00:00"/>
    <x v="2"/>
    <x v="0"/>
    <n v="5"/>
    <x v="0"/>
    <x v="6"/>
    <x v="2"/>
    <x v="5"/>
    <x v="2"/>
  </r>
  <r>
    <x v="781"/>
    <x v="4"/>
    <x v="36"/>
    <n v="30.4"/>
    <n v="1064"/>
    <d v="2025-02-03T00:00:00"/>
    <d v="2025-02-03T00:00:00"/>
    <x v="2"/>
    <x v="0"/>
    <n v="3"/>
    <x v="0"/>
    <x v="7"/>
    <x v="7"/>
    <x v="5"/>
    <x v="2"/>
  </r>
  <r>
    <x v="782"/>
    <x v="10"/>
    <x v="4"/>
    <n v="50.2"/>
    <n v="602.40000000000009"/>
    <d v="2025-02-03T00:00:00"/>
    <d v="2025-02-04T00:00:00"/>
    <x v="1"/>
    <x v="4"/>
    <n v="4"/>
    <x v="0"/>
    <x v="8"/>
    <x v="3"/>
    <x v="5"/>
    <x v="1"/>
  </r>
  <r>
    <x v="783"/>
    <x v="1"/>
    <x v="1"/>
    <n v="43.7"/>
    <n v="87.4"/>
    <d v="2025-02-03T00:00:00"/>
    <d v="2025-02-05T00:00:00"/>
    <x v="2"/>
    <x v="0"/>
    <n v="4"/>
    <x v="0"/>
    <x v="8"/>
    <x v="1"/>
    <x v="5"/>
    <x v="2"/>
  </r>
  <r>
    <x v="784"/>
    <x v="10"/>
    <x v="0"/>
    <n v="33.299999999999997"/>
    <n v="33.299999999999997"/>
    <d v="2025-02-03T00:00:00"/>
    <d v="2025-02-04T00:00:00"/>
    <x v="2"/>
    <x v="2"/>
    <n v="3"/>
    <x v="0"/>
    <x v="8"/>
    <x v="3"/>
    <x v="5"/>
    <x v="2"/>
  </r>
  <r>
    <x v="785"/>
    <x v="8"/>
    <x v="12"/>
    <n v="15.1"/>
    <n v="60.4"/>
    <d v="2025-02-03T00:00:00"/>
    <d v="2025-02-05T00:00:00"/>
    <x v="2"/>
    <x v="4"/>
    <n v="5"/>
    <x v="0"/>
    <x v="8"/>
    <x v="1"/>
    <x v="5"/>
    <x v="2"/>
  </r>
  <r>
    <x v="786"/>
    <x v="6"/>
    <x v="9"/>
    <n v="118.2"/>
    <n v="591"/>
    <d v="2025-02-03T00:00:00"/>
    <d v="2025-02-04T00:00:00"/>
    <x v="2"/>
    <x v="3"/>
    <n v="2"/>
    <x v="0"/>
    <x v="8"/>
    <x v="3"/>
    <x v="5"/>
    <x v="2"/>
  </r>
  <r>
    <x v="787"/>
    <x v="10"/>
    <x v="2"/>
    <n v="28.9"/>
    <n v="86.699999999999989"/>
    <d v="2025-02-03T00:00:00"/>
    <d v="2025-02-05T00:00:00"/>
    <x v="2"/>
    <x v="2"/>
    <n v="3"/>
    <x v="0"/>
    <x v="8"/>
    <x v="1"/>
    <x v="5"/>
    <x v="2"/>
  </r>
  <r>
    <x v="788"/>
    <x v="4"/>
    <x v="2"/>
    <n v="55.6"/>
    <n v="166.8"/>
    <d v="2025-02-03T00:00:00"/>
    <d v="2025-02-04T00:00:00"/>
    <x v="1"/>
    <x v="0"/>
    <n v="3"/>
    <x v="0"/>
    <x v="8"/>
    <x v="3"/>
    <x v="5"/>
    <x v="1"/>
  </r>
  <r>
    <x v="789"/>
    <x v="9"/>
    <x v="12"/>
    <n v="25.6"/>
    <n v="102.4"/>
    <d v="2025-02-03T00:00:00"/>
    <d v="2025-02-05T00:00:00"/>
    <x v="2"/>
    <x v="0"/>
    <n v="3"/>
    <x v="0"/>
    <x v="8"/>
    <x v="1"/>
    <x v="5"/>
    <x v="2"/>
  </r>
  <r>
    <x v="790"/>
    <x v="7"/>
    <x v="2"/>
    <n v="31.3"/>
    <n v="93.9"/>
    <d v="2025-02-03T00:00:00"/>
    <d v="2025-02-04T00:00:00"/>
    <x v="1"/>
    <x v="0"/>
    <n v="4"/>
    <x v="0"/>
    <x v="17"/>
    <x v="3"/>
    <x v="5"/>
    <x v="1"/>
  </r>
  <r>
    <x v="791"/>
    <x v="0"/>
    <x v="2"/>
    <n v="22.1"/>
    <n v="66.300000000000011"/>
    <d v="2025-02-03T00:00:00"/>
    <d v="2025-02-07T00:00:00"/>
    <x v="1"/>
    <x v="0"/>
    <n v="4"/>
    <x v="0"/>
    <x v="17"/>
    <x v="5"/>
    <x v="5"/>
    <x v="1"/>
  </r>
  <r>
    <x v="792"/>
    <x v="2"/>
    <x v="21"/>
    <n v="99.4"/>
    <n v="1391.6000000000001"/>
    <d v="2025-02-03T00:00:00"/>
    <d v="2025-02-04T00:00:00"/>
    <x v="1"/>
    <x v="1"/>
    <n v="4"/>
    <x v="0"/>
    <x v="11"/>
    <x v="3"/>
    <x v="5"/>
    <x v="1"/>
  </r>
  <r>
    <x v="793"/>
    <x v="7"/>
    <x v="13"/>
    <n v="66.599999999999994"/>
    <n v="399.59999999999997"/>
    <d v="2025-02-03T00:00:00"/>
    <d v="2025-02-04T00:00:00"/>
    <x v="2"/>
    <x v="0"/>
    <n v="4"/>
    <x v="0"/>
    <x v="11"/>
    <x v="3"/>
    <x v="5"/>
    <x v="2"/>
  </r>
  <r>
    <x v="794"/>
    <x v="8"/>
    <x v="1"/>
    <n v="22.6"/>
    <n v="45.2"/>
    <d v="2025-02-03T00:00:00"/>
    <d v="2025-02-06T00:00:00"/>
    <x v="1"/>
    <x v="0"/>
    <n v="4"/>
    <x v="0"/>
    <x v="11"/>
    <x v="2"/>
    <x v="5"/>
    <x v="1"/>
  </r>
  <r>
    <x v="795"/>
    <x v="2"/>
    <x v="16"/>
    <n v="66.8"/>
    <n v="1202.3999999999999"/>
    <d v="2025-02-03T00:00:00"/>
    <d v="2025-02-04T00:00:00"/>
    <x v="2"/>
    <x v="0"/>
    <n v="2"/>
    <x v="0"/>
    <x v="13"/>
    <x v="3"/>
    <x v="5"/>
    <x v="2"/>
  </r>
  <r>
    <x v="796"/>
    <x v="0"/>
    <x v="12"/>
    <n v="20.8"/>
    <n v="83.2"/>
    <d v="2025-02-03T00:00:00"/>
    <d v="2025-02-10T00:00:00"/>
    <x v="1"/>
    <x v="1"/>
    <n v="2"/>
    <x v="0"/>
    <x v="1"/>
    <x v="6"/>
    <x v="5"/>
    <x v="1"/>
  </r>
  <r>
    <x v="797"/>
    <x v="2"/>
    <x v="3"/>
    <n v="102.5"/>
    <n v="717.5"/>
    <d v="2025-02-03T00:00:00"/>
    <d v="2025-02-04T00:00:00"/>
    <x v="2"/>
    <x v="4"/>
    <n v="5"/>
    <x v="0"/>
    <x v="3"/>
    <x v="3"/>
    <x v="5"/>
    <x v="2"/>
  </r>
  <r>
    <x v="798"/>
    <x v="0"/>
    <x v="16"/>
    <n v="24.8"/>
    <n v="446.40000000000003"/>
    <d v="2025-02-03T00:00:00"/>
    <d v="2025-02-07T00:00:00"/>
    <x v="2"/>
    <x v="0"/>
    <n v="4"/>
    <x v="0"/>
    <x v="3"/>
    <x v="5"/>
    <x v="5"/>
    <x v="2"/>
  </r>
  <r>
    <x v="799"/>
    <x v="4"/>
    <x v="37"/>
    <n v="31.4"/>
    <n v="973.4"/>
    <d v="2025-02-03T00:00:00"/>
    <d v="2025-02-04T00:00:00"/>
    <x v="2"/>
    <x v="3"/>
    <n v="4"/>
    <x v="0"/>
    <x v="3"/>
    <x v="3"/>
    <x v="5"/>
    <x v="2"/>
  </r>
  <r>
    <x v="800"/>
    <x v="9"/>
    <x v="9"/>
    <n v="59.3"/>
    <n v="296.5"/>
    <d v="2025-02-03T00:00:00"/>
    <d v="2025-02-06T00:00:00"/>
    <x v="1"/>
    <x v="1"/>
    <n v="5"/>
    <x v="0"/>
    <x v="43"/>
    <x v="2"/>
    <x v="5"/>
    <x v="1"/>
  </r>
  <r>
    <x v="801"/>
    <x v="11"/>
    <x v="13"/>
    <n v="39"/>
    <n v="234"/>
    <d v="2025-02-03T00:00:00"/>
    <d v="2025-02-06T00:00:00"/>
    <x v="1"/>
    <x v="1"/>
    <n v="4"/>
    <x v="0"/>
    <x v="6"/>
    <x v="2"/>
    <x v="5"/>
    <x v="1"/>
  </r>
  <r>
    <x v="802"/>
    <x v="5"/>
    <x v="13"/>
    <n v="98.6"/>
    <n v="591.59999999999991"/>
    <d v="2025-02-03T00:00:00"/>
    <d v="2025-02-05T00:00:00"/>
    <x v="2"/>
    <x v="1"/>
    <n v="4"/>
    <x v="0"/>
    <x v="6"/>
    <x v="1"/>
    <x v="5"/>
    <x v="2"/>
  </r>
  <r>
    <x v="803"/>
    <x v="8"/>
    <x v="0"/>
    <n v="20"/>
    <n v="20"/>
    <d v="2025-02-04T00:00:00"/>
    <d v="2025-02-05T00:00:00"/>
    <x v="1"/>
    <x v="3"/>
    <n v="5"/>
    <x v="0"/>
    <x v="8"/>
    <x v="3"/>
    <x v="5"/>
    <x v="1"/>
  </r>
  <r>
    <x v="804"/>
    <x v="1"/>
    <x v="1"/>
    <n v="42.9"/>
    <n v="85.8"/>
    <d v="2025-02-04T00:00:00"/>
    <d v="2025-02-06T00:00:00"/>
    <x v="2"/>
    <x v="0"/>
    <n v="5"/>
    <x v="0"/>
    <x v="8"/>
    <x v="1"/>
    <x v="5"/>
    <x v="2"/>
  </r>
  <r>
    <x v="805"/>
    <x v="7"/>
    <x v="3"/>
    <n v="55.6"/>
    <n v="389.2"/>
    <d v="2025-02-04T00:00:00"/>
    <d v="2025-02-06T00:00:00"/>
    <x v="2"/>
    <x v="2"/>
    <n v="3"/>
    <x v="0"/>
    <x v="8"/>
    <x v="1"/>
    <x v="5"/>
    <x v="2"/>
  </r>
  <r>
    <x v="806"/>
    <x v="8"/>
    <x v="12"/>
    <n v="19.2"/>
    <n v="76.8"/>
    <d v="2025-02-04T00:00:00"/>
    <d v="2025-02-09T00:00:00"/>
    <x v="2"/>
    <x v="0"/>
    <n v="4"/>
    <x v="0"/>
    <x v="41"/>
    <x v="0"/>
    <x v="5"/>
    <x v="2"/>
  </r>
  <r>
    <x v="807"/>
    <x v="5"/>
    <x v="1"/>
    <n v="28.8"/>
    <n v="57.6"/>
    <d v="2025-02-04T00:00:00"/>
    <d v="2025-02-06T00:00:00"/>
    <x v="1"/>
    <x v="1"/>
    <n v="4"/>
    <x v="0"/>
    <x v="18"/>
    <x v="1"/>
    <x v="5"/>
    <x v="1"/>
  </r>
  <r>
    <x v="808"/>
    <x v="4"/>
    <x v="0"/>
    <n v="29.7"/>
    <n v="29.7"/>
    <d v="2025-02-04T00:00:00"/>
    <d v="2025-02-06T00:00:00"/>
    <x v="2"/>
    <x v="2"/>
    <n v="2"/>
    <x v="0"/>
    <x v="20"/>
    <x v="1"/>
    <x v="5"/>
    <x v="2"/>
  </r>
  <r>
    <x v="809"/>
    <x v="6"/>
    <x v="13"/>
    <n v="63.3"/>
    <n v="379.79999999999995"/>
    <d v="2025-02-04T00:00:00"/>
    <d v="2025-02-05T00:00:00"/>
    <x v="0"/>
    <x v="0"/>
    <n v="5"/>
    <x v="0"/>
    <x v="21"/>
    <x v="3"/>
    <x v="5"/>
    <x v="0"/>
  </r>
  <r>
    <x v="810"/>
    <x v="4"/>
    <x v="0"/>
    <n v="46"/>
    <n v="46"/>
    <d v="2025-02-04T00:00:00"/>
    <d v="2025-02-05T00:00:00"/>
    <x v="2"/>
    <x v="0"/>
    <n v="5"/>
    <x v="0"/>
    <x v="21"/>
    <x v="3"/>
    <x v="5"/>
    <x v="2"/>
  </r>
  <r>
    <x v="811"/>
    <x v="11"/>
    <x v="2"/>
    <n v="38"/>
    <n v="114"/>
    <d v="2025-02-04T00:00:00"/>
    <d v="2025-02-06T00:00:00"/>
    <x v="2"/>
    <x v="1"/>
    <n v="5"/>
    <x v="0"/>
    <x v="21"/>
    <x v="1"/>
    <x v="5"/>
    <x v="2"/>
  </r>
  <r>
    <x v="812"/>
    <x v="10"/>
    <x v="15"/>
    <n v="34.6"/>
    <n v="449.8"/>
    <d v="2025-02-04T00:00:00"/>
    <d v="2025-02-06T00:00:00"/>
    <x v="2"/>
    <x v="0"/>
    <n v="3"/>
    <x v="0"/>
    <x v="21"/>
    <x v="1"/>
    <x v="5"/>
    <x v="2"/>
  </r>
  <r>
    <x v="813"/>
    <x v="3"/>
    <x v="7"/>
    <n v="79.7"/>
    <n v="797"/>
    <d v="2025-02-04T00:00:00"/>
    <d v="2025-02-05T00:00:00"/>
    <x v="2"/>
    <x v="4"/>
    <n v="3"/>
    <x v="0"/>
    <x v="21"/>
    <x v="3"/>
    <x v="5"/>
    <x v="2"/>
  </r>
  <r>
    <x v="814"/>
    <x v="8"/>
    <x v="8"/>
    <n v="30.5"/>
    <n v="244"/>
    <d v="2025-02-04T00:00:00"/>
    <d v="2025-02-08T00:00:00"/>
    <x v="1"/>
    <x v="3"/>
    <n v="4"/>
    <x v="0"/>
    <x v="1"/>
    <x v="5"/>
    <x v="5"/>
    <x v="1"/>
  </r>
  <r>
    <x v="815"/>
    <x v="0"/>
    <x v="1"/>
    <n v="20.8"/>
    <n v="41.6"/>
    <d v="2025-02-04T00:00:00"/>
    <d v="2025-02-05T00:00:00"/>
    <x v="2"/>
    <x v="0"/>
    <n v="4"/>
    <x v="0"/>
    <x v="2"/>
    <x v="3"/>
    <x v="5"/>
    <x v="2"/>
  </r>
  <r>
    <x v="816"/>
    <x v="11"/>
    <x v="3"/>
    <n v="48.5"/>
    <n v="339.5"/>
    <d v="2025-02-04T00:00:00"/>
    <d v="2025-02-08T00:00:00"/>
    <x v="2"/>
    <x v="2"/>
    <n v="5"/>
    <x v="0"/>
    <x v="2"/>
    <x v="5"/>
    <x v="5"/>
    <x v="2"/>
  </r>
  <r>
    <x v="817"/>
    <x v="2"/>
    <x v="12"/>
    <n v="61.8"/>
    <n v="247.2"/>
    <d v="2025-02-04T00:00:00"/>
    <d v="2025-02-08T00:00:00"/>
    <x v="2"/>
    <x v="4"/>
    <n v="4"/>
    <x v="0"/>
    <x v="22"/>
    <x v="5"/>
    <x v="5"/>
    <x v="2"/>
  </r>
  <r>
    <x v="818"/>
    <x v="10"/>
    <x v="0"/>
    <n v="46.1"/>
    <n v="46.1"/>
    <d v="2025-02-04T00:00:00"/>
    <d v="2025-02-05T00:00:00"/>
    <x v="3"/>
    <x v="2"/>
    <n v="4"/>
    <x v="0"/>
    <x v="3"/>
    <x v="3"/>
    <x v="5"/>
    <x v="3"/>
  </r>
  <r>
    <x v="819"/>
    <x v="4"/>
    <x v="13"/>
    <n v="44"/>
    <n v="264"/>
    <d v="2025-02-04T00:00:00"/>
    <d v="2025-02-05T00:00:00"/>
    <x v="2"/>
    <x v="0"/>
    <n v="4"/>
    <x v="0"/>
    <x v="3"/>
    <x v="3"/>
    <x v="5"/>
    <x v="2"/>
  </r>
  <r>
    <x v="820"/>
    <x v="18"/>
    <x v="1"/>
    <n v="95.7"/>
    <n v="191.4"/>
    <d v="2025-02-04T00:00:00"/>
    <d v="2025-02-10T00:00:00"/>
    <x v="2"/>
    <x v="3"/>
    <n v="5"/>
    <x v="0"/>
    <x v="3"/>
    <x v="4"/>
    <x v="5"/>
    <x v="2"/>
  </r>
  <r>
    <x v="821"/>
    <x v="7"/>
    <x v="9"/>
    <n v="46.4"/>
    <n v="232"/>
    <d v="2025-02-04T00:00:00"/>
    <d v="2025-02-07T00:00:00"/>
    <x v="2"/>
    <x v="0"/>
    <n v="4"/>
    <x v="0"/>
    <x v="3"/>
    <x v="2"/>
    <x v="5"/>
    <x v="2"/>
  </r>
  <r>
    <x v="822"/>
    <x v="6"/>
    <x v="1"/>
    <n v="47.2"/>
    <n v="94.4"/>
    <d v="2025-02-04T00:00:00"/>
    <d v="2025-02-06T00:00:00"/>
    <x v="2"/>
    <x v="0"/>
    <n v="5"/>
    <x v="0"/>
    <x v="3"/>
    <x v="1"/>
    <x v="5"/>
    <x v="2"/>
  </r>
  <r>
    <x v="823"/>
    <x v="7"/>
    <x v="1"/>
    <n v="58.6"/>
    <n v="117.2"/>
    <d v="2025-02-04T00:00:00"/>
    <d v="2025-02-05T00:00:00"/>
    <x v="2"/>
    <x v="2"/>
    <n v="3"/>
    <x v="0"/>
    <x v="3"/>
    <x v="3"/>
    <x v="5"/>
    <x v="2"/>
  </r>
  <r>
    <x v="824"/>
    <x v="4"/>
    <x v="2"/>
    <n v="57"/>
    <n v="171"/>
    <d v="2025-02-04T00:00:00"/>
    <d v="2025-02-05T00:00:00"/>
    <x v="1"/>
    <x v="0"/>
    <n v="5"/>
    <x v="0"/>
    <x v="3"/>
    <x v="3"/>
    <x v="5"/>
    <x v="1"/>
  </r>
  <r>
    <x v="825"/>
    <x v="8"/>
    <x v="12"/>
    <n v="28.9"/>
    <n v="115.6"/>
    <d v="2025-02-04T00:00:00"/>
    <d v="2025-02-08T00:00:00"/>
    <x v="1"/>
    <x v="2"/>
    <n v="4"/>
    <x v="0"/>
    <x v="3"/>
    <x v="5"/>
    <x v="5"/>
    <x v="1"/>
  </r>
  <r>
    <x v="826"/>
    <x v="12"/>
    <x v="9"/>
    <n v="60.7"/>
    <n v="303.5"/>
    <d v="2025-02-04T00:00:00"/>
    <d v="2025-02-08T00:00:00"/>
    <x v="0"/>
    <x v="1"/>
    <n v="3"/>
    <x v="0"/>
    <x v="3"/>
    <x v="5"/>
    <x v="5"/>
    <x v="0"/>
  </r>
  <r>
    <x v="827"/>
    <x v="6"/>
    <x v="9"/>
    <n v="60.8"/>
    <n v="304"/>
    <d v="2025-02-04T00:00:00"/>
    <d v="2025-02-08T00:00:00"/>
    <x v="1"/>
    <x v="0"/>
    <n v="3"/>
    <x v="0"/>
    <x v="3"/>
    <x v="5"/>
    <x v="5"/>
    <x v="1"/>
  </r>
  <r>
    <x v="828"/>
    <x v="6"/>
    <x v="9"/>
    <n v="64.599999999999994"/>
    <n v="323"/>
    <d v="2025-02-04T00:00:00"/>
    <d v="2025-02-05T00:00:00"/>
    <x v="2"/>
    <x v="3"/>
    <n v="4"/>
    <x v="0"/>
    <x v="3"/>
    <x v="3"/>
    <x v="5"/>
    <x v="2"/>
  </r>
  <r>
    <x v="829"/>
    <x v="8"/>
    <x v="0"/>
    <n v="21.9"/>
    <n v="21.9"/>
    <d v="2025-02-04T00:00:00"/>
    <d v="2025-02-07T00:00:00"/>
    <x v="1"/>
    <x v="1"/>
    <n v="5"/>
    <x v="0"/>
    <x v="4"/>
    <x v="2"/>
    <x v="5"/>
    <x v="1"/>
  </r>
  <r>
    <x v="830"/>
    <x v="4"/>
    <x v="4"/>
    <n v="33.4"/>
    <n v="400.79999999999995"/>
    <d v="2025-02-04T00:00:00"/>
    <d v="2025-02-06T00:00:00"/>
    <x v="2"/>
    <x v="0"/>
    <n v="4"/>
    <x v="0"/>
    <x v="23"/>
    <x v="1"/>
    <x v="5"/>
    <x v="2"/>
  </r>
  <r>
    <x v="831"/>
    <x v="2"/>
    <x v="0"/>
    <n v="51.7"/>
    <n v="51.7"/>
    <d v="2025-02-04T00:00:00"/>
    <d v="2025-02-05T00:00:00"/>
    <x v="0"/>
    <x v="0"/>
    <n v="4"/>
    <x v="0"/>
    <x v="6"/>
    <x v="3"/>
    <x v="5"/>
    <x v="0"/>
  </r>
  <r>
    <x v="832"/>
    <x v="1"/>
    <x v="12"/>
    <n v="84.9"/>
    <n v="339.6"/>
    <d v="2025-02-04T00:00:00"/>
    <d v="2025-02-05T00:00:00"/>
    <x v="2"/>
    <x v="1"/>
    <n v="3"/>
    <x v="0"/>
    <x v="6"/>
    <x v="3"/>
    <x v="5"/>
    <x v="2"/>
  </r>
  <r>
    <x v="833"/>
    <x v="1"/>
    <x v="5"/>
    <n v="62.3"/>
    <n v="685.3"/>
    <d v="2025-02-04T00:00:00"/>
    <d v="2025-02-05T00:00:00"/>
    <x v="2"/>
    <x v="2"/>
    <n v="5"/>
    <x v="0"/>
    <x v="7"/>
    <x v="3"/>
    <x v="5"/>
    <x v="2"/>
  </r>
  <r>
    <x v="834"/>
    <x v="4"/>
    <x v="0"/>
    <n v="50.7"/>
    <n v="50.7"/>
    <d v="2025-02-04T00:00:00"/>
    <d v="2025-02-06T00:00:00"/>
    <x v="1"/>
    <x v="2"/>
    <n v="5"/>
    <x v="0"/>
    <x v="8"/>
    <x v="1"/>
    <x v="5"/>
    <x v="1"/>
  </r>
  <r>
    <x v="835"/>
    <x v="18"/>
    <x v="0"/>
    <n v="39.5"/>
    <n v="39.5"/>
    <d v="2025-02-04T00:00:00"/>
    <d v="2025-02-05T00:00:00"/>
    <x v="1"/>
    <x v="4"/>
    <n v="3"/>
    <x v="0"/>
    <x v="8"/>
    <x v="3"/>
    <x v="5"/>
    <x v="1"/>
  </r>
  <r>
    <x v="836"/>
    <x v="12"/>
    <x v="2"/>
    <n v="30.9"/>
    <n v="92.699999999999989"/>
    <d v="2025-02-04T00:00:00"/>
    <d v="2025-02-05T00:00:00"/>
    <x v="0"/>
    <x v="4"/>
    <n v="5"/>
    <x v="0"/>
    <x v="8"/>
    <x v="3"/>
    <x v="5"/>
    <x v="0"/>
  </r>
  <r>
    <x v="837"/>
    <x v="1"/>
    <x v="3"/>
    <n v="36.4"/>
    <n v="254.79999999999998"/>
    <d v="2025-02-04T00:00:00"/>
    <d v="2025-02-07T00:00:00"/>
    <x v="2"/>
    <x v="0"/>
    <n v="5"/>
    <x v="0"/>
    <x v="8"/>
    <x v="2"/>
    <x v="5"/>
    <x v="2"/>
  </r>
  <r>
    <x v="838"/>
    <x v="6"/>
    <x v="8"/>
    <n v="105.6"/>
    <n v="844.8"/>
    <d v="2025-02-04T00:00:00"/>
    <d v="2025-02-14T00:00:00"/>
    <x v="2"/>
    <x v="0"/>
    <n v="4"/>
    <x v="0"/>
    <x v="8"/>
    <x v="14"/>
    <x v="5"/>
    <x v="2"/>
  </r>
  <r>
    <x v="839"/>
    <x v="8"/>
    <x v="1"/>
    <n v="22.1"/>
    <n v="44.2"/>
    <d v="2025-02-04T00:00:00"/>
    <d v="2025-02-05T00:00:00"/>
    <x v="2"/>
    <x v="0"/>
    <n v="5"/>
    <x v="0"/>
    <x v="17"/>
    <x v="3"/>
    <x v="5"/>
    <x v="2"/>
  </r>
  <r>
    <x v="840"/>
    <x v="0"/>
    <x v="2"/>
    <n v="22.6"/>
    <n v="67.800000000000011"/>
    <d v="2025-02-04T00:00:00"/>
    <d v="2025-02-05T00:00:00"/>
    <x v="2"/>
    <x v="2"/>
    <n v="4"/>
    <x v="0"/>
    <x v="17"/>
    <x v="3"/>
    <x v="5"/>
    <x v="2"/>
  </r>
  <r>
    <x v="841"/>
    <x v="10"/>
    <x v="13"/>
    <n v="26.3"/>
    <n v="157.80000000000001"/>
    <d v="2025-02-04T00:00:00"/>
    <d v="2025-02-04T00:00:00"/>
    <x v="2"/>
    <x v="2"/>
    <n v="4"/>
    <x v="0"/>
    <x v="9"/>
    <x v="7"/>
    <x v="5"/>
    <x v="2"/>
  </r>
  <r>
    <x v="842"/>
    <x v="1"/>
    <x v="12"/>
    <n v="37.799999999999997"/>
    <n v="151.19999999999999"/>
    <d v="2025-02-04T00:00:00"/>
    <d v="2025-02-05T00:00:00"/>
    <x v="2"/>
    <x v="0"/>
    <n v="5"/>
    <x v="0"/>
    <x v="11"/>
    <x v="3"/>
    <x v="5"/>
    <x v="2"/>
  </r>
  <r>
    <x v="843"/>
    <x v="6"/>
    <x v="14"/>
    <n v="96"/>
    <n v="1632"/>
    <d v="2025-02-04T00:00:00"/>
    <d v="2025-02-07T00:00:00"/>
    <x v="2"/>
    <x v="4"/>
    <n v="3"/>
    <x v="0"/>
    <x v="18"/>
    <x v="2"/>
    <x v="5"/>
    <x v="2"/>
  </r>
  <r>
    <x v="844"/>
    <x v="1"/>
    <x v="0"/>
    <n v="83.6"/>
    <n v="83.6"/>
    <d v="2025-02-04T00:00:00"/>
    <d v="2025-02-07T00:00:00"/>
    <x v="2"/>
    <x v="2"/>
    <n v="3"/>
    <x v="0"/>
    <x v="19"/>
    <x v="2"/>
    <x v="5"/>
    <x v="2"/>
  </r>
  <r>
    <x v="845"/>
    <x v="2"/>
    <x v="13"/>
    <n v="72.599999999999994"/>
    <n v="435.59999999999997"/>
    <d v="2025-02-04T00:00:00"/>
    <d v="2025-02-05T00:00:00"/>
    <x v="2"/>
    <x v="0"/>
    <n v="4"/>
    <x v="0"/>
    <x v="21"/>
    <x v="3"/>
    <x v="5"/>
    <x v="2"/>
  </r>
  <r>
    <x v="846"/>
    <x v="5"/>
    <x v="28"/>
    <n v="69.099999999999994"/>
    <n v="1382"/>
    <d v="2025-02-05T00:00:00"/>
    <d v="2025-02-11T00:00:00"/>
    <x v="1"/>
    <x v="0"/>
    <n v="5"/>
    <x v="0"/>
    <x v="21"/>
    <x v="4"/>
    <x v="5"/>
    <x v="1"/>
  </r>
  <r>
    <x v="847"/>
    <x v="4"/>
    <x v="1"/>
    <n v="22.6"/>
    <n v="45.2"/>
    <d v="2025-02-05T00:00:00"/>
    <d v="2025-02-07T00:00:00"/>
    <x v="2"/>
    <x v="1"/>
    <n v="5"/>
    <x v="0"/>
    <x v="21"/>
    <x v="1"/>
    <x v="5"/>
    <x v="2"/>
  </r>
  <r>
    <x v="848"/>
    <x v="6"/>
    <x v="1"/>
    <n v="45.3"/>
    <n v="90.6"/>
    <d v="2025-02-05T00:00:00"/>
    <d v="2025-02-09T00:00:00"/>
    <x v="1"/>
    <x v="4"/>
    <n v="5"/>
    <x v="0"/>
    <x v="21"/>
    <x v="5"/>
    <x v="5"/>
    <x v="1"/>
  </r>
  <r>
    <x v="849"/>
    <x v="2"/>
    <x v="1"/>
    <n v="115.1"/>
    <n v="230.2"/>
    <d v="2025-02-05T00:00:00"/>
    <d v="2025-02-06T00:00:00"/>
    <x v="2"/>
    <x v="1"/>
    <n v="4"/>
    <x v="0"/>
    <x v="1"/>
    <x v="3"/>
    <x v="5"/>
    <x v="2"/>
  </r>
  <r>
    <x v="850"/>
    <x v="18"/>
    <x v="12"/>
    <n v="79"/>
    <n v="316"/>
    <d v="2025-02-05T00:00:00"/>
    <d v="2025-02-07T00:00:00"/>
    <x v="1"/>
    <x v="2"/>
    <n v="2"/>
    <x v="0"/>
    <x v="1"/>
    <x v="1"/>
    <x v="5"/>
    <x v="1"/>
  </r>
  <r>
    <x v="851"/>
    <x v="6"/>
    <x v="9"/>
    <n v="52.8"/>
    <n v="264"/>
    <d v="2025-02-05T00:00:00"/>
    <d v="2025-02-06T00:00:00"/>
    <x v="2"/>
    <x v="0"/>
    <n v="4"/>
    <x v="0"/>
    <x v="42"/>
    <x v="3"/>
    <x v="5"/>
    <x v="2"/>
  </r>
  <r>
    <x v="852"/>
    <x v="8"/>
    <x v="1"/>
    <n v="34.1"/>
    <n v="68.2"/>
    <d v="2025-02-05T00:00:00"/>
    <d v="2025-02-06T00:00:00"/>
    <x v="1"/>
    <x v="3"/>
    <n v="5"/>
    <x v="0"/>
    <x v="44"/>
    <x v="3"/>
    <x v="5"/>
    <x v="1"/>
  </r>
  <r>
    <x v="853"/>
    <x v="6"/>
    <x v="9"/>
    <n v="107.9"/>
    <n v="539.5"/>
    <d v="2025-02-05T00:00:00"/>
    <d v="2025-02-05T00:00:00"/>
    <x v="2"/>
    <x v="0"/>
    <n v="5"/>
    <x v="0"/>
    <x v="50"/>
    <x v="7"/>
    <x v="5"/>
    <x v="2"/>
  </r>
  <r>
    <x v="854"/>
    <x v="8"/>
    <x v="15"/>
    <n v="48.5"/>
    <n v="630.5"/>
    <d v="2025-02-05T00:00:00"/>
    <d v="2025-02-05T00:00:00"/>
    <x v="1"/>
    <x v="2"/>
    <n v="5"/>
    <x v="0"/>
    <x v="3"/>
    <x v="7"/>
    <x v="5"/>
    <x v="1"/>
  </r>
  <r>
    <x v="855"/>
    <x v="5"/>
    <x v="2"/>
    <n v="34.700000000000003"/>
    <n v="104.10000000000001"/>
    <d v="2025-02-05T00:00:00"/>
    <d v="2025-02-06T00:00:00"/>
    <x v="0"/>
    <x v="4"/>
    <n v="3"/>
    <x v="0"/>
    <x v="3"/>
    <x v="3"/>
    <x v="5"/>
    <x v="0"/>
  </r>
  <r>
    <x v="856"/>
    <x v="8"/>
    <x v="0"/>
    <n v="16.8"/>
    <n v="16.8"/>
    <d v="2025-02-05T00:00:00"/>
    <d v="2025-02-07T00:00:00"/>
    <x v="2"/>
    <x v="3"/>
    <n v="4"/>
    <x v="0"/>
    <x v="3"/>
    <x v="1"/>
    <x v="5"/>
    <x v="2"/>
  </r>
  <r>
    <x v="857"/>
    <x v="8"/>
    <x v="13"/>
    <n v="18.3"/>
    <n v="109.80000000000001"/>
    <d v="2025-02-05T00:00:00"/>
    <d v="2025-02-08T00:00:00"/>
    <x v="2"/>
    <x v="0"/>
    <n v="4"/>
    <x v="0"/>
    <x v="3"/>
    <x v="2"/>
    <x v="5"/>
    <x v="2"/>
  </r>
  <r>
    <x v="858"/>
    <x v="18"/>
    <x v="2"/>
    <n v="55.9"/>
    <n v="167.7"/>
    <d v="2025-02-05T00:00:00"/>
    <d v="2025-02-11T00:00:00"/>
    <x v="1"/>
    <x v="3"/>
    <n v="3"/>
    <x v="0"/>
    <x v="3"/>
    <x v="4"/>
    <x v="5"/>
    <x v="1"/>
  </r>
  <r>
    <x v="859"/>
    <x v="8"/>
    <x v="2"/>
    <n v="39.200000000000003"/>
    <n v="117.60000000000001"/>
    <d v="2025-02-05T00:00:00"/>
    <d v="2025-02-07T00:00:00"/>
    <x v="2"/>
    <x v="0"/>
    <n v="3"/>
    <x v="0"/>
    <x v="3"/>
    <x v="1"/>
    <x v="5"/>
    <x v="2"/>
  </r>
  <r>
    <x v="860"/>
    <x v="15"/>
    <x v="12"/>
    <n v="66.5"/>
    <n v="266"/>
    <d v="2025-02-05T00:00:00"/>
    <d v="2025-02-07T00:00:00"/>
    <x v="0"/>
    <x v="3"/>
    <n v="3"/>
    <x v="0"/>
    <x v="3"/>
    <x v="1"/>
    <x v="5"/>
    <x v="0"/>
  </r>
  <r>
    <x v="861"/>
    <x v="6"/>
    <x v="13"/>
    <n v="52.1"/>
    <n v="312.60000000000002"/>
    <d v="2025-02-05T00:00:00"/>
    <d v="2025-02-07T00:00:00"/>
    <x v="1"/>
    <x v="1"/>
    <n v="3"/>
    <x v="0"/>
    <x v="16"/>
    <x v="1"/>
    <x v="5"/>
    <x v="1"/>
  </r>
  <r>
    <x v="862"/>
    <x v="8"/>
    <x v="1"/>
    <n v="19"/>
    <n v="38"/>
    <d v="2025-02-05T00:00:00"/>
    <d v="2025-02-06T00:00:00"/>
    <x v="1"/>
    <x v="4"/>
    <n v="5"/>
    <x v="0"/>
    <x v="6"/>
    <x v="3"/>
    <x v="5"/>
    <x v="1"/>
  </r>
  <r>
    <x v="863"/>
    <x v="7"/>
    <x v="2"/>
    <n v="84.8"/>
    <n v="254.39999999999998"/>
    <d v="2025-02-05T00:00:00"/>
    <d v="2025-02-07T00:00:00"/>
    <x v="2"/>
    <x v="2"/>
    <n v="4"/>
    <x v="0"/>
    <x v="8"/>
    <x v="1"/>
    <x v="5"/>
    <x v="2"/>
  </r>
  <r>
    <x v="864"/>
    <x v="2"/>
    <x v="12"/>
    <n v="63.9"/>
    <n v="255.6"/>
    <d v="2025-02-05T00:00:00"/>
    <d v="2025-02-08T00:00:00"/>
    <x v="2"/>
    <x v="0"/>
    <n v="4"/>
    <x v="0"/>
    <x v="8"/>
    <x v="2"/>
    <x v="5"/>
    <x v="2"/>
  </r>
  <r>
    <x v="865"/>
    <x v="2"/>
    <x v="2"/>
    <n v="65.5"/>
    <n v="196.5"/>
    <d v="2025-02-05T00:00:00"/>
    <d v="2025-02-05T00:00:00"/>
    <x v="2"/>
    <x v="1"/>
    <n v="3"/>
    <x v="0"/>
    <x v="8"/>
    <x v="7"/>
    <x v="5"/>
    <x v="2"/>
  </r>
  <r>
    <x v="866"/>
    <x v="12"/>
    <x v="1"/>
    <n v="116.2"/>
    <n v="232.4"/>
    <d v="2025-02-05T00:00:00"/>
    <d v="2025-02-11T00:00:00"/>
    <x v="1"/>
    <x v="3"/>
    <n v="4"/>
    <x v="0"/>
    <x v="17"/>
    <x v="4"/>
    <x v="5"/>
    <x v="1"/>
  </r>
  <r>
    <x v="867"/>
    <x v="10"/>
    <x v="12"/>
    <n v="22.9"/>
    <n v="91.6"/>
    <d v="2025-02-05T00:00:00"/>
    <d v="2025-02-07T00:00:00"/>
    <x v="2"/>
    <x v="2"/>
    <n v="3"/>
    <x v="0"/>
    <x v="38"/>
    <x v="1"/>
    <x v="5"/>
    <x v="2"/>
  </r>
  <r>
    <x v="868"/>
    <x v="10"/>
    <x v="2"/>
    <n v="53.7"/>
    <n v="161.10000000000002"/>
    <d v="2025-02-05T00:00:00"/>
    <d v="2025-02-06T00:00:00"/>
    <x v="1"/>
    <x v="0"/>
    <n v="2"/>
    <x v="0"/>
    <x v="18"/>
    <x v="3"/>
    <x v="5"/>
    <x v="1"/>
  </r>
  <r>
    <x v="869"/>
    <x v="6"/>
    <x v="9"/>
    <n v="43.2"/>
    <n v="216"/>
    <d v="2025-02-05T00:00:00"/>
    <d v="2025-02-07T00:00:00"/>
    <x v="2"/>
    <x v="0"/>
    <n v="4"/>
    <x v="0"/>
    <x v="19"/>
    <x v="1"/>
    <x v="5"/>
    <x v="2"/>
  </r>
  <r>
    <x v="870"/>
    <x v="1"/>
    <x v="2"/>
    <n v="84.5"/>
    <n v="253.5"/>
    <d v="2025-02-05T00:00:00"/>
    <d v="2025-02-07T00:00:00"/>
    <x v="1"/>
    <x v="2"/>
    <n v="5"/>
    <x v="0"/>
    <x v="51"/>
    <x v="1"/>
    <x v="5"/>
    <x v="1"/>
  </r>
  <r>
    <x v="871"/>
    <x v="3"/>
    <x v="1"/>
    <n v="42.2"/>
    <n v="84.4"/>
    <d v="2025-02-05T00:00:00"/>
    <d v="2025-02-06T00:00:00"/>
    <x v="2"/>
    <x v="1"/>
    <n v="5"/>
    <x v="0"/>
    <x v="1"/>
    <x v="3"/>
    <x v="5"/>
    <x v="2"/>
  </r>
  <r>
    <x v="872"/>
    <x v="2"/>
    <x v="13"/>
    <n v="94.7"/>
    <n v="568.20000000000005"/>
    <d v="2025-02-05T00:00:00"/>
    <d v="2025-02-08T00:00:00"/>
    <x v="2"/>
    <x v="1"/>
    <n v="5"/>
    <x v="0"/>
    <x v="2"/>
    <x v="2"/>
    <x v="5"/>
    <x v="2"/>
  </r>
  <r>
    <x v="873"/>
    <x v="8"/>
    <x v="16"/>
    <n v="16.7"/>
    <n v="300.59999999999997"/>
    <d v="2025-02-05T00:00:00"/>
    <d v="2025-02-17T00:00:00"/>
    <x v="2"/>
    <x v="0"/>
    <n v="5"/>
    <x v="0"/>
    <x v="2"/>
    <x v="13"/>
    <x v="5"/>
    <x v="2"/>
  </r>
  <r>
    <x v="874"/>
    <x v="2"/>
    <x v="1"/>
    <n v="83.6"/>
    <n v="167.2"/>
    <d v="2025-02-05T00:00:00"/>
    <d v="2025-02-11T00:00:00"/>
    <x v="2"/>
    <x v="1"/>
    <n v="4"/>
    <x v="0"/>
    <x v="3"/>
    <x v="4"/>
    <x v="5"/>
    <x v="2"/>
  </r>
  <r>
    <x v="875"/>
    <x v="7"/>
    <x v="13"/>
    <n v="33.6"/>
    <n v="201.60000000000002"/>
    <d v="2025-02-06T00:00:00"/>
    <d v="2025-02-07T00:00:00"/>
    <x v="2"/>
    <x v="3"/>
    <n v="4"/>
    <x v="0"/>
    <x v="3"/>
    <x v="3"/>
    <x v="5"/>
    <x v="2"/>
  </r>
  <r>
    <x v="876"/>
    <x v="7"/>
    <x v="1"/>
    <n v="64.7"/>
    <n v="129.4"/>
    <d v="2025-02-06T00:00:00"/>
    <d v="2025-02-08T00:00:00"/>
    <x v="1"/>
    <x v="1"/>
    <n v="5"/>
    <x v="0"/>
    <x v="3"/>
    <x v="1"/>
    <x v="5"/>
    <x v="1"/>
  </r>
  <r>
    <x v="877"/>
    <x v="0"/>
    <x v="2"/>
    <n v="15.7"/>
    <n v="47.099999999999994"/>
    <d v="2025-02-06T00:00:00"/>
    <d v="2025-02-12T00:00:00"/>
    <x v="2"/>
    <x v="0"/>
    <n v="4"/>
    <x v="0"/>
    <x v="3"/>
    <x v="4"/>
    <x v="5"/>
    <x v="2"/>
  </r>
  <r>
    <x v="878"/>
    <x v="15"/>
    <x v="13"/>
    <n v="49.4"/>
    <n v="296.39999999999998"/>
    <d v="2025-02-06T00:00:00"/>
    <d v="2025-02-06T00:00:00"/>
    <x v="1"/>
    <x v="1"/>
    <n v="4"/>
    <x v="0"/>
    <x v="3"/>
    <x v="7"/>
    <x v="5"/>
    <x v="1"/>
  </r>
  <r>
    <x v="879"/>
    <x v="10"/>
    <x v="13"/>
    <n v="37"/>
    <n v="222"/>
    <d v="2025-02-06T00:00:00"/>
    <d v="2025-02-09T00:00:00"/>
    <x v="2"/>
    <x v="1"/>
    <n v="5"/>
    <x v="0"/>
    <x v="3"/>
    <x v="2"/>
    <x v="5"/>
    <x v="2"/>
  </r>
  <r>
    <x v="880"/>
    <x v="2"/>
    <x v="1"/>
    <n v="83.7"/>
    <n v="167.4"/>
    <d v="2025-02-06T00:00:00"/>
    <d v="2025-02-08T00:00:00"/>
    <x v="2"/>
    <x v="3"/>
    <n v="5"/>
    <x v="0"/>
    <x v="3"/>
    <x v="1"/>
    <x v="5"/>
    <x v="2"/>
  </r>
  <r>
    <x v="881"/>
    <x v="1"/>
    <x v="9"/>
    <n v="35.1"/>
    <n v="175.5"/>
    <d v="2025-02-06T00:00:00"/>
    <d v="2025-02-07T00:00:00"/>
    <x v="2"/>
    <x v="0"/>
    <n v="4"/>
    <x v="0"/>
    <x v="3"/>
    <x v="3"/>
    <x v="5"/>
    <x v="2"/>
  </r>
  <r>
    <x v="882"/>
    <x v="16"/>
    <x v="8"/>
    <n v="74"/>
    <n v="592"/>
    <d v="2025-02-06T00:00:00"/>
    <d v="2025-02-07T00:00:00"/>
    <x v="2"/>
    <x v="4"/>
    <n v="4"/>
    <x v="0"/>
    <x v="37"/>
    <x v="3"/>
    <x v="5"/>
    <x v="2"/>
  </r>
  <r>
    <x v="883"/>
    <x v="6"/>
    <x v="25"/>
    <n v="55.5"/>
    <n v="1332"/>
    <d v="2025-02-06T00:00:00"/>
    <d v="2025-02-09T00:00:00"/>
    <x v="1"/>
    <x v="3"/>
    <n v="4"/>
    <x v="0"/>
    <x v="49"/>
    <x v="2"/>
    <x v="5"/>
    <x v="1"/>
  </r>
  <r>
    <x v="884"/>
    <x v="11"/>
    <x v="1"/>
    <n v="38.9"/>
    <n v="77.8"/>
    <d v="2025-02-06T00:00:00"/>
    <d v="2025-02-08T00:00:00"/>
    <x v="2"/>
    <x v="1"/>
    <n v="5"/>
    <x v="0"/>
    <x v="25"/>
    <x v="1"/>
    <x v="5"/>
    <x v="2"/>
  </r>
  <r>
    <x v="885"/>
    <x v="16"/>
    <x v="1"/>
    <n v="64.599999999999994"/>
    <n v="129.19999999999999"/>
    <d v="2025-02-06T00:00:00"/>
    <d v="2025-02-13T00:00:00"/>
    <x v="1"/>
    <x v="2"/>
    <n v="3"/>
    <x v="0"/>
    <x v="25"/>
    <x v="6"/>
    <x v="5"/>
    <x v="1"/>
  </r>
  <r>
    <x v="886"/>
    <x v="2"/>
    <x v="2"/>
    <n v="95.3"/>
    <n v="285.89999999999998"/>
    <d v="2025-02-06T00:00:00"/>
    <d v="2025-02-07T00:00:00"/>
    <x v="1"/>
    <x v="0"/>
    <n v="4"/>
    <x v="0"/>
    <x v="5"/>
    <x v="3"/>
    <x v="5"/>
    <x v="1"/>
  </r>
  <r>
    <x v="887"/>
    <x v="13"/>
    <x v="2"/>
    <n v="25.8"/>
    <n v="77.400000000000006"/>
    <d v="2025-02-06T00:00:00"/>
    <d v="2025-02-07T00:00:00"/>
    <x v="2"/>
    <x v="1"/>
    <n v="3"/>
    <x v="0"/>
    <x v="6"/>
    <x v="3"/>
    <x v="5"/>
    <x v="2"/>
  </r>
  <r>
    <x v="888"/>
    <x v="0"/>
    <x v="1"/>
    <n v="11.6"/>
    <n v="23.2"/>
    <d v="2025-02-06T00:00:00"/>
    <d v="2025-02-10T00:00:00"/>
    <x v="2"/>
    <x v="1"/>
    <n v="3"/>
    <x v="0"/>
    <x v="6"/>
    <x v="5"/>
    <x v="5"/>
    <x v="2"/>
  </r>
  <r>
    <x v="889"/>
    <x v="7"/>
    <x v="0"/>
    <n v="52.3"/>
    <n v="52.3"/>
    <d v="2025-02-06T00:00:00"/>
    <d v="2025-02-07T00:00:00"/>
    <x v="2"/>
    <x v="1"/>
    <n v="4"/>
    <x v="0"/>
    <x v="8"/>
    <x v="3"/>
    <x v="5"/>
    <x v="2"/>
  </r>
  <r>
    <x v="890"/>
    <x v="2"/>
    <x v="7"/>
    <n v="112.2"/>
    <n v="1122"/>
    <d v="2025-02-06T00:00:00"/>
    <d v="2025-02-07T00:00:00"/>
    <x v="2"/>
    <x v="1"/>
    <n v="3"/>
    <x v="0"/>
    <x v="8"/>
    <x v="3"/>
    <x v="5"/>
    <x v="2"/>
  </r>
  <r>
    <x v="891"/>
    <x v="4"/>
    <x v="9"/>
    <n v="34.6"/>
    <n v="173"/>
    <d v="2025-02-06T00:00:00"/>
    <d v="2025-02-08T00:00:00"/>
    <x v="1"/>
    <x v="2"/>
    <n v="4"/>
    <x v="0"/>
    <x v="8"/>
    <x v="1"/>
    <x v="5"/>
    <x v="1"/>
  </r>
  <r>
    <x v="892"/>
    <x v="14"/>
    <x v="12"/>
    <n v="20.100000000000001"/>
    <n v="80.400000000000006"/>
    <d v="2025-02-06T00:00:00"/>
    <d v="2025-02-12T00:00:00"/>
    <x v="1"/>
    <x v="1"/>
    <n v="5"/>
    <x v="0"/>
    <x v="8"/>
    <x v="4"/>
    <x v="5"/>
    <x v="1"/>
  </r>
  <r>
    <x v="893"/>
    <x v="2"/>
    <x v="12"/>
    <n v="56.4"/>
    <n v="225.6"/>
    <d v="2025-02-06T00:00:00"/>
    <d v="2025-02-08T00:00:00"/>
    <x v="2"/>
    <x v="2"/>
    <n v="4"/>
    <x v="0"/>
    <x v="10"/>
    <x v="1"/>
    <x v="5"/>
    <x v="2"/>
  </r>
  <r>
    <x v="894"/>
    <x v="13"/>
    <x v="11"/>
    <n v="55.3"/>
    <n v="497.7"/>
    <d v="2025-02-06T00:00:00"/>
    <d v="2025-02-08T00:00:00"/>
    <x v="2"/>
    <x v="1"/>
    <n v="2"/>
    <x v="0"/>
    <x v="11"/>
    <x v="1"/>
    <x v="5"/>
    <x v="2"/>
  </r>
  <r>
    <x v="895"/>
    <x v="2"/>
    <x v="31"/>
    <n v="75.5"/>
    <n v="2114"/>
    <d v="2025-02-06T00:00:00"/>
    <d v="2025-02-07T00:00:00"/>
    <x v="2"/>
    <x v="0"/>
    <n v="4"/>
    <x v="0"/>
    <x v="11"/>
    <x v="3"/>
    <x v="5"/>
    <x v="2"/>
  </r>
  <r>
    <x v="896"/>
    <x v="8"/>
    <x v="0"/>
    <n v="23.6"/>
    <n v="23.6"/>
    <d v="2025-02-06T00:00:00"/>
    <d v="2025-02-11T00:00:00"/>
    <x v="2"/>
    <x v="0"/>
    <n v="4"/>
    <x v="0"/>
    <x v="19"/>
    <x v="0"/>
    <x v="5"/>
    <x v="2"/>
  </r>
  <r>
    <x v="897"/>
    <x v="9"/>
    <x v="1"/>
    <n v="70.7"/>
    <n v="141.4"/>
    <d v="2025-02-06T00:00:00"/>
    <d v="2025-02-08T00:00:00"/>
    <x v="2"/>
    <x v="2"/>
    <n v="4"/>
    <x v="0"/>
    <x v="19"/>
    <x v="1"/>
    <x v="5"/>
    <x v="2"/>
  </r>
  <r>
    <x v="898"/>
    <x v="12"/>
    <x v="1"/>
    <n v="43.2"/>
    <n v="86.4"/>
    <d v="2025-02-06T00:00:00"/>
    <d v="2025-02-07T00:00:00"/>
    <x v="2"/>
    <x v="2"/>
    <n v="4"/>
    <x v="0"/>
    <x v="31"/>
    <x v="3"/>
    <x v="5"/>
    <x v="2"/>
  </r>
  <r>
    <x v="899"/>
    <x v="9"/>
    <x v="11"/>
    <n v="70"/>
    <n v="630"/>
    <d v="2025-02-06T00:00:00"/>
    <d v="2025-02-07T00:00:00"/>
    <x v="0"/>
    <x v="1"/>
    <n v="4"/>
    <x v="0"/>
    <x v="52"/>
    <x v="3"/>
    <x v="5"/>
    <x v="0"/>
  </r>
  <r>
    <x v="900"/>
    <x v="0"/>
    <x v="1"/>
    <n v="20.5"/>
    <n v="41"/>
    <d v="2025-02-06T00:00:00"/>
    <d v="2025-02-08T00:00:00"/>
    <x v="2"/>
    <x v="2"/>
    <n v="2"/>
    <x v="0"/>
    <x v="13"/>
    <x v="1"/>
    <x v="5"/>
    <x v="2"/>
  </r>
  <r>
    <x v="901"/>
    <x v="0"/>
    <x v="12"/>
    <n v="29.1"/>
    <n v="116.4"/>
    <d v="2025-02-06T00:00:00"/>
    <d v="2025-02-07T00:00:00"/>
    <x v="2"/>
    <x v="3"/>
    <n v="4"/>
    <x v="0"/>
    <x v="28"/>
    <x v="3"/>
    <x v="5"/>
    <x v="2"/>
  </r>
  <r>
    <x v="902"/>
    <x v="6"/>
    <x v="11"/>
    <n v="53.6"/>
    <n v="482.40000000000003"/>
    <d v="2025-02-06T00:00:00"/>
    <d v="2025-02-07T00:00:00"/>
    <x v="1"/>
    <x v="2"/>
    <n v="3"/>
    <x v="0"/>
    <x v="3"/>
    <x v="3"/>
    <x v="5"/>
    <x v="1"/>
  </r>
  <r>
    <x v="903"/>
    <x v="6"/>
    <x v="9"/>
    <n v="72.3"/>
    <n v="361.5"/>
    <d v="2025-02-06T00:00:00"/>
    <d v="2025-02-08T00:00:00"/>
    <x v="2"/>
    <x v="1"/>
    <n v="4"/>
    <x v="0"/>
    <x v="3"/>
    <x v="1"/>
    <x v="5"/>
    <x v="2"/>
  </r>
  <r>
    <x v="904"/>
    <x v="13"/>
    <x v="12"/>
    <n v="22.6"/>
    <n v="90.4"/>
    <d v="2025-02-06T00:00:00"/>
    <d v="2025-02-09T00:00:00"/>
    <x v="3"/>
    <x v="0"/>
    <n v="3"/>
    <x v="0"/>
    <x v="3"/>
    <x v="2"/>
    <x v="5"/>
    <x v="3"/>
  </r>
  <r>
    <x v="905"/>
    <x v="9"/>
    <x v="1"/>
    <n v="44.2"/>
    <n v="88.4"/>
    <d v="2025-02-06T00:00:00"/>
    <d v="2025-02-10T00:00:00"/>
    <x v="0"/>
    <x v="2"/>
    <n v="2"/>
    <x v="0"/>
    <x v="3"/>
    <x v="5"/>
    <x v="5"/>
    <x v="0"/>
  </r>
  <r>
    <x v="906"/>
    <x v="9"/>
    <x v="2"/>
    <n v="94.1"/>
    <n v="282.29999999999995"/>
    <d v="2025-02-06T00:00:00"/>
    <d v="2025-02-19T00:00:00"/>
    <x v="2"/>
    <x v="2"/>
    <n v="5"/>
    <x v="0"/>
    <x v="3"/>
    <x v="10"/>
    <x v="5"/>
    <x v="2"/>
  </r>
  <r>
    <x v="907"/>
    <x v="8"/>
    <x v="2"/>
    <n v="17.899999999999999"/>
    <n v="53.699999999999996"/>
    <d v="2025-02-06T00:00:00"/>
    <d v="2025-02-08T00:00:00"/>
    <x v="1"/>
    <x v="1"/>
    <n v="3"/>
    <x v="0"/>
    <x v="3"/>
    <x v="1"/>
    <x v="5"/>
    <x v="1"/>
  </r>
  <r>
    <x v="908"/>
    <x v="12"/>
    <x v="3"/>
    <n v="52.7"/>
    <n v="368.90000000000003"/>
    <d v="2025-02-06T00:00:00"/>
    <d v="2025-02-07T00:00:00"/>
    <x v="1"/>
    <x v="1"/>
    <n v="3"/>
    <x v="0"/>
    <x v="3"/>
    <x v="3"/>
    <x v="5"/>
    <x v="1"/>
  </r>
  <r>
    <x v="909"/>
    <x v="8"/>
    <x v="0"/>
    <n v="36.799999999999997"/>
    <n v="36.799999999999997"/>
    <d v="2025-02-06T00:00:00"/>
    <d v="2025-02-06T00:00:00"/>
    <x v="0"/>
    <x v="0"/>
    <n v="5"/>
    <x v="0"/>
    <x v="3"/>
    <x v="7"/>
    <x v="5"/>
    <x v="0"/>
  </r>
  <r>
    <x v="910"/>
    <x v="4"/>
    <x v="0"/>
    <n v="52.5"/>
    <n v="52.5"/>
    <d v="2025-02-06T00:00:00"/>
    <d v="2025-02-07T00:00:00"/>
    <x v="1"/>
    <x v="0"/>
    <n v="3"/>
    <x v="0"/>
    <x v="6"/>
    <x v="3"/>
    <x v="5"/>
    <x v="1"/>
  </r>
  <r>
    <x v="911"/>
    <x v="2"/>
    <x v="1"/>
    <n v="133.80000000000001"/>
    <n v="267.60000000000002"/>
    <d v="2025-02-06T00:00:00"/>
    <d v="2025-02-08T00:00:00"/>
    <x v="1"/>
    <x v="0"/>
    <n v="3"/>
    <x v="0"/>
    <x v="7"/>
    <x v="1"/>
    <x v="5"/>
    <x v="1"/>
  </r>
  <r>
    <x v="912"/>
    <x v="6"/>
    <x v="1"/>
    <n v="53.2"/>
    <n v="106.4"/>
    <d v="2025-02-06T00:00:00"/>
    <d v="2025-02-08T00:00:00"/>
    <x v="1"/>
    <x v="0"/>
    <n v="4"/>
    <x v="0"/>
    <x v="17"/>
    <x v="1"/>
    <x v="5"/>
    <x v="1"/>
  </r>
  <r>
    <x v="913"/>
    <x v="14"/>
    <x v="13"/>
    <n v="18.7"/>
    <n v="112.19999999999999"/>
    <d v="2025-02-06T00:00:00"/>
    <d v="2025-02-08T00:00:00"/>
    <x v="0"/>
    <x v="0"/>
    <n v="3"/>
    <x v="0"/>
    <x v="10"/>
    <x v="1"/>
    <x v="5"/>
    <x v="0"/>
  </r>
  <r>
    <x v="914"/>
    <x v="6"/>
    <x v="12"/>
    <n v="108.8"/>
    <n v="435.2"/>
    <d v="2025-02-06T00:00:00"/>
    <d v="2025-02-07T00:00:00"/>
    <x v="2"/>
    <x v="3"/>
    <n v="5"/>
    <x v="0"/>
    <x v="11"/>
    <x v="3"/>
    <x v="5"/>
    <x v="2"/>
  </r>
  <r>
    <x v="915"/>
    <x v="15"/>
    <x v="9"/>
    <n v="38.5"/>
    <n v="192.5"/>
    <d v="2025-02-06T00:00:00"/>
    <d v="2025-02-10T00:00:00"/>
    <x v="2"/>
    <x v="0"/>
    <n v="3"/>
    <x v="0"/>
    <x v="14"/>
    <x v="5"/>
    <x v="5"/>
    <x v="2"/>
  </r>
  <r>
    <x v="916"/>
    <x v="10"/>
    <x v="7"/>
    <n v="46.5"/>
    <n v="465"/>
    <d v="2025-02-06T00:00:00"/>
    <d v="2025-02-08T00:00:00"/>
    <x v="1"/>
    <x v="2"/>
    <n v="3"/>
    <x v="0"/>
    <x v="2"/>
    <x v="1"/>
    <x v="5"/>
    <x v="1"/>
  </r>
  <r>
    <x v="917"/>
    <x v="2"/>
    <x v="2"/>
    <n v="75.8"/>
    <n v="227.39999999999998"/>
    <d v="2025-02-06T00:00:00"/>
    <d v="2025-02-10T00:00:00"/>
    <x v="2"/>
    <x v="1"/>
    <n v="2"/>
    <x v="0"/>
    <x v="44"/>
    <x v="5"/>
    <x v="5"/>
    <x v="2"/>
  </r>
  <r>
    <x v="918"/>
    <x v="8"/>
    <x v="0"/>
    <n v="20.9"/>
    <n v="20.9"/>
    <d v="2025-02-06T00:00:00"/>
    <d v="2025-02-10T00:00:00"/>
    <x v="1"/>
    <x v="0"/>
    <n v="4"/>
    <x v="0"/>
    <x v="22"/>
    <x v="5"/>
    <x v="5"/>
    <x v="1"/>
  </r>
  <r>
    <x v="919"/>
    <x v="18"/>
    <x v="2"/>
    <n v="47.4"/>
    <n v="142.19999999999999"/>
    <d v="2025-02-06T00:00:00"/>
    <d v="2025-02-09T00:00:00"/>
    <x v="2"/>
    <x v="0"/>
    <n v="4"/>
    <x v="0"/>
    <x v="3"/>
    <x v="2"/>
    <x v="5"/>
    <x v="2"/>
  </r>
  <r>
    <x v="920"/>
    <x v="9"/>
    <x v="1"/>
    <n v="53.8"/>
    <n v="107.6"/>
    <d v="2025-02-06T00:00:00"/>
    <d v="2025-02-07T00:00:00"/>
    <x v="0"/>
    <x v="0"/>
    <n v="3"/>
    <x v="0"/>
    <x v="3"/>
    <x v="3"/>
    <x v="5"/>
    <x v="0"/>
  </r>
  <r>
    <x v="921"/>
    <x v="8"/>
    <x v="2"/>
    <n v="24.6"/>
    <n v="73.800000000000011"/>
    <d v="2025-02-06T00:00:00"/>
    <d v="2025-02-08T00:00:00"/>
    <x v="3"/>
    <x v="1"/>
    <n v="5"/>
    <x v="0"/>
    <x v="3"/>
    <x v="1"/>
    <x v="5"/>
    <x v="3"/>
  </r>
  <r>
    <x v="922"/>
    <x v="9"/>
    <x v="2"/>
    <n v="70.900000000000006"/>
    <n v="212.70000000000002"/>
    <d v="2025-02-06T00:00:00"/>
    <d v="2025-02-11T00:00:00"/>
    <x v="2"/>
    <x v="2"/>
    <n v="5"/>
    <x v="0"/>
    <x v="3"/>
    <x v="0"/>
    <x v="5"/>
    <x v="2"/>
  </r>
  <r>
    <x v="923"/>
    <x v="17"/>
    <x v="2"/>
    <n v="31.9"/>
    <n v="95.699999999999989"/>
    <d v="2025-02-06T00:00:00"/>
    <d v="2025-02-08T00:00:00"/>
    <x v="2"/>
    <x v="2"/>
    <n v="5"/>
    <x v="0"/>
    <x v="3"/>
    <x v="1"/>
    <x v="5"/>
    <x v="2"/>
  </r>
  <r>
    <x v="924"/>
    <x v="0"/>
    <x v="1"/>
    <n v="20.399999999999999"/>
    <n v="40.799999999999997"/>
    <d v="2025-02-06T00:00:00"/>
    <d v="2025-02-10T00:00:00"/>
    <x v="1"/>
    <x v="3"/>
    <n v="5"/>
    <x v="0"/>
    <x v="3"/>
    <x v="5"/>
    <x v="5"/>
    <x v="1"/>
  </r>
  <r>
    <x v="925"/>
    <x v="8"/>
    <x v="1"/>
    <n v="18.600000000000001"/>
    <n v="37.200000000000003"/>
    <d v="2025-02-06T00:00:00"/>
    <d v="2025-02-08T00:00:00"/>
    <x v="0"/>
    <x v="0"/>
    <n v="3"/>
    <x v="0"/>
    <x v="3"/>
    <x v="1"/>
    <x v="5"/>
    <x v="0"/>
  </r>
  <r>
    <x v="926"/>
    <x v="4"/>
    <x v="9"/>
    <n v="48.3"/>
    <n v="241.5"/>
    <d v="2025-02-06T00:00:00"/>
    <d v="2025-02-08T00:00:00"/>
    <x v="2"/>
    <x v="1"/>
    <n v="4"/>
    <x v="0"/>
    <x v="3"/>
    <x v="1"/>
    <x v="5"/>
    <x v="2"/>
  </r>
  <r>
    <x v="927"/>
    <x v="0"/>
    <x v="12"/>
    <n v="27.7"/>
    <n v="110.8"/>
    <d v="2025-02-06T00:00:00"/>
    <d v="2025-02-08T00:00:00"/>
    <x v="2"/>
    <x v="0"/>
    <n v="4"/>
    <x v="0"/>
    <x v="3"/>
    <x v="1"/>
    <x v="5"/>
    <x v="2"/>
  </r>
  <r>
    <x v="928"/>
    <x v="4"/>
    <x v="9"/>
    <n v="22.5"/>
    <n v="112.5"/>
    <d v="2025-02-06T00:00:00"/>
    <d v="2025-02-08T00:00:00"/>
    <x v="2"/>
    <x v="4"/>
    <n v="5"/>
    <x v="0"/>
    <x v="3"/>
    <x v="1"/>
    <x v="5"/>
    <x v="2"/>
  </r>
  <r>
    <x v="929"/>
    <x v="17"/>
    <x v="9"/>
    <n v="21.6"/>
    <n v="108"/>
    <d v="2025-02-06T00:00:00"/>
    <d v="2025-02-14T00:00:00"/>
    <x v="2"/>
    <x v="0"/>
    <n v="3"/>
    <x v="0"/>
    <x v="3"/>
    <x v="9"/>
    <x v="5"/>
    <x v="2"/>
  </r>
  <r>
    <x v="930"/>
    <x v="10"/>
    <x v="3"/>
    <n v="26.3"/>
    <n v="184.1"/>
    <d v="2025-02-06T00:00:00"/>
    <d v="2025-02-06T00:00:00"/>
    <x v="2"/>
    <x v="2"/>
    <n v="3"/>
    <x v="0"/>
    <x v="3"/>
    <x v="7"/>
    <x v="5"/>
    <x v="2"/>
  </r>
  <r>
    <x v="931"/>
    <x v="6"/>
    <x v="3"/>
    <n v="103"/>
    <n v="721"/>
    <d v="2025-02-07T00:00:00"/>
    <d v="2025-02-08T00:00:00"/>
    <x v="1"/>
    <x v="0"/>
    <n v="5"/>
    <x v="0"/>
    <x v="6"/>
    <x v="3"/>
    <x v="5"/>
    <x v="1"/>
  </r>
  <r>
    <x v="932"/>
    <x v="5"/>
    <x v="20"/>
    <n v="46.6"/>
    <n v="699"/>
    <d v="2025-02-07T00:00:00"/>
    <d v="2025-02-08T00:00:00"/>
    <x v="2"/>
    <x v="0"/>
    <n v="3"/>
    <x v="0"/>
    <x v="6"/>
    <x v="3"/>
    <x v="5"/>
    <x v="2"/>
  </r>
  <r>
    <x v="933"/>
    <x v="0"/>
    <x v="9"/>
    <n v="32.200000000000003"/>
    <n v="161"/>
    <d v="2025-02-07T00:00:00"/>
    <d v="2025-02-10T00:00:00"/>
    <x v="2"/>
    <x v="0"/>
    <n v="5"/>
    <x v="0"/>
    <x v="36"/>
    <x v="2"/>
    <x v="5"/>
    <x v="2"/>
  </r>
  <r>
    <x v="934"/>
    <x v="8"/>
    <x v="2"/>
    <n v="22"/>
    <n v="66"/>
    <d v="2025-02-07T00:00:00"/>
    <d v="2025-02-14T00:00:00"/>
    <x v="1"/>
    <x v="1"/>
    <n v="4"/>
    <x v="0"/>
    <x v="7"/>
    <x v="6"/>
    <x v="5"/>
    <x v="1"/>
  </r>
  <r>
    <x v="935"/>
    <x v="0"/>
    <x v="1"/>
    <n v="25.2"/>
    <n v="50.4"/>
    <d v="2025-02-07T00:00:00"/>
    <d v="2025-02-11T00:00:00"/>
    <x v="2"/>
    <x v="0"/>
    <n v="4"/>
    <x v="0"/>
    <x v="7"/>
    <x v="5"/>
    <x v="5"/>
    <x v="2"/>
  </r>
  <r>
    <x v="936"/>
    <x v="1"/>
    <x v="13"/>
    <n v="68.7"/>
    <n v="412.20000000000005"/>
    <d v="2025-02-07T00:00:00"/>
    <d v="2025-02-09T00:00:00"/>
    <x v="1"/>
    <x v="4"/>
    <n v="4"/>
    <x v="0"/>
    <x v="8"/>
    <x v="1"/>
    <x v="5"/>
    <x v="1"/>
  </r>
  <r>
    <x v="937"/>
    <x v="0"/>
    <x v="2"/>
    <n v="22.2"/>
    <n v="66.599999999999994"/>
    <d v="2025-02-07T00:00:00"/>
    <d v="2025-02-10T00:00:00"/>
    <x v="1"/>
    <x v="2"/>
    <n v="5"/>
    <x v="0"/>
    <x v="8"/>
    <x v="2"/>
    <x v="5"/>
    <x v="1"/>
  </r>
  <r>
    <x v="938"/>
    <x v="1"/>
    <x v="3"/>
    <n v="36"/>
    <n v="252"/>
    <d v="2025-02-07T00:00:00"/>
    <d v="2025-02-08T00:00:00"/>
    <x v="2"/>
    <x v="1"/>
    <n v="4"/>
    <x v="0"/>
    <x v="8"/>
    <x v="3"/>
    <x v="5"/>
    <x v="2"/>
  </r>
  <r>
    <x v="939"/>
    <x v="18"/>
    <x v="0"/>
    <n v="50.6"/>
    <n v="50.6"/>
    <d v="2025-02-07T00:00:00"/>
    <d v="2025-02-09T00:00:00"/>
    <x v="2"/>
    <x v="0"/>
    <n v="3"/>
    <x v="0"/>
    <x v="8"/>
    <x v="1"/>
    <x v="5"/>
    <x v="2"/>
  </r>
  <r>
    <x v="940"/>
    <x v="15"/>
    <x v="1"/>
    <n v="44.9"/>
    <n v="89.8"/>
    <d v="2025-02-07T00:00:00"/>
    <d v="2025-02-09T00:00:00"/>
    <x v="1"/>
    <x v="0"/>
    <n v="3"/>
    <x v="0"/>
    <x v="8"/>
    <x v="1"/>
    <x v="5"/>
    <x v="1"/>
  </r>
  <r>
    <x v="941"/>
    <x v="6"/>
    <x v="2"/>
    <n v="71.599999999999994"/>
    <n v="214.79999999999998"/>
    <d v="2025-02-07T00:00:00"/>
    <d v="2025-02-11T00:00:00"/>
    <x v="1"/>
    <x v="1"/>
    <n v="5"/>
    <x v="0"/>
    <x v="10"/>
    <x v="5"/>
    <x v="5"/>
    <x v="1"/>
  </r>
  <r>
    <x v="942"/>
    <x v="6"/>
    <x v="13"/>
    <n v="51.5"/>
    <n v="309"/>
    <d v="2025-02-07T00:00:00"/>
    <d v="2025-02-09T00:00:00"/>
    <x v="0"/>
    <x v="4"/>
    <n v="4"/>
    <x v="0"/>
    <x v="11"/>
    <x v="1"/>
    <x v="5"/>
    <x v="0"/>
  </r>
  <r>
    <x v="943"/>
    <x v="7"/>
    <x v="9"/>
    <n v="55.5"/>
    <n v="277.5"/>
    <d v="2025-02-07T00:00:00"/>
    <d v="2025-02-08T00:00:00"/>
    <x v="1"/>
    <x v="1"/>
    <n v="3"/>
    <x v="0"/>
    <x v="11"/>
    <x v="3"/>
    <x v="5"/>
    <x v="1"/>
  </r>
  <r>
    <x v="944"/>
    <x v="6"/>
    <x v="0"/>
    <n v="51.7"/>
    <n v="51.7"/>
    <d v="2025-02-07T00:00:00"/>
    <d v="2025-02-21T00:00:00"/>
    <x v="1"/>
    <x v="2"/>
    <n v="4"/>
    <x v="0"/>
    <x v="19"/>
    <x v="12"/>
    <x v="5"/>
    <x v="1"/>
  </r>
  <r>
    <x v="945"/>
    <x v="8"/>
    <x v="38"/>
    <n v="45.5"/>
    <n v="955.5"/>
    <d v="2025-02-07T00:00:00"/>
    <d v="2025-02-08T00:00:00"/>
    <x v="2"/>
    <x v="3"/>
    <n v="5"/>
    <x v="0"/>
    <x v="19"/>
    <x v="3"/>
    <x v="5"/>
    <x v="2"/>
  </r>
  <r>
    <x v="946"/>
    <x v="8"/>
    <x v="1"/>
    <n v="33.799999999999997"/>
    <n v="67.599999999999994"/>
    <d v="2025-02-07T00:00:00"/>
    <d v="2025-02-13T00:00:00"/>
    <x v="2"/>
    <x v="3"/>
    <n v="4"/>
    <x v="0"/>
    <x v="20"/>
    <x v="4"/>
    <x v="5"/>
    <x v="2"/>
  </r>
  <r>
    <x v="947"/>
    <x v="3"/>
    <x v="2"/>
    <n v="76.5"/>
    <n v="229.5"/>
    <d v="2025-02-07T00:00:00"/>
    <d v="2025-02-08T00:00:00"/>
    <x v="2"/>
    <x v="0"/>
    <n v="3"/>
    <x v="0"/>
    <x v="21"/>
    <x v="3"/>
    <x v="5"/>
    <x v="2"/>
  </r>
  <r>
    <x v="948"/>
    <x v="9"/>
    <x v="2"/>
    <n v="42.6"/>
    <n v="127.80000000000001"/>
    <d v="2025-02-07T00:00:00"/>
    <d v="2025-02-13T00:00:00"/>
    <x v="2"/>
    <x v="2"/>
    <n v="5"/>
    <x v="0"/>
    <x v="2"/>
    <x v="4"/>
    <x v="5"/>
    <x v="2"/>
  </r>
  <r>
    <x v="949"/>
    <x v="6"/>
    <x v="2"/>
    <n v="44.1"/>
    <n v="132.30000000000001"/>
    <d v="2025-02-07T00:00:00"/>
    <d v="2025-02-09T00:00:00"/>
    <x v="2"/>
    <x v="1"/>
    <n v="3"/>
    <x v="0"/>
    <x v="22"/>
    <x v="1"/>
    <x v="5"/>
    <x v="2"/>
  </r>
  <r>
    <x v="950"/>
    <x v="8"/>
    <x v="1"/>
    <n v="40.9"/>
    <n v="81.8"/>
    <d v="2025-02-07T00:00:00"/>
    <d v="2025-02-11T00:00:00"/>
    <x v="1"/>
    <x v="0"/>
    <n v="4"/>
    <x v="0"/>
    <x v="3"/>
    <x v="5"/>
    <x v="5"/>
    <x v="1"/>
  </r>
  <r>
    <x v="951"/>
    <x v="9"/>
    <x v="2"/>
    <n v="49.1"/>
    <n v="147.30000000000001"/>
    <d v="2025-02-07T00:00:00"/>
    <d v="2025-02-11T00:00:00"/>
    <x v="2"/>
    <x v="3"/>
    <n v="3"/>
    <x v="0"/>
    <x v="3"/>
    <x v="5"/>
    <x v="5"/>
    <x v="2"/>
  </r>
  <r>
    <x v="952"/>
    <x v="18"/>
    <x v="0"/>
    <n v="85.3"/>
    <n v="85.3"/>
    <d v="2025-02-07T00:00:00"/>
    <d v="2025-02-11T00:00:00"/>
    <x v="1"/>
    <x v="1"/>
    <n v="3"/>
    <x v="0"/>
    <x v="3"/>
    <x v="5"/>
    <x v="5"/>
    <x v="1"/>
  </r>
  <r>
    <x v="953"/>
    <x v="6"/>
    <x v="12"/>
    <n v="43.1"/>
    <n v="172.4"/>
    <d v="2025-02-08T00:00:00"/>
    <d v="2025-02-11T00:00:00"/>
    <x v="1"/>
    <x v="0"/>
    <n v="4"/>
    <x v="0"/>
    <x v="3"/>
    <x v="2"/>
    <x v="5"/>
    <x v="1"/>
  </r>
  <r>
    <x v="954"/>
    <x v="4"/>
    <x v="12"/>
    <n v="46.2"/>
    <n v="184.8"/>
    <d v="2025-02-08T00:00:00"/>
    <d v="2025-02-09T00:00:00"/>
    <x v="1"/>
    <x v="2"/>
    <n v="4"/>
    <x v="0"/>
    <x v="3"/>
    <x v="3"/>
    <x v="5"/>
    <x v="1"/>
  </r>
  <r>
    <x v="955"/>
    <x v="1"/>
    <x v="0"/>
    <n v="74.400000000000006"/>
    <n v="74.400000000000006"/>
    <d v="2025-02-08T00:00:00"/>
    <d v="2025-02-10T00:00:00"/>
    <x v="1"/>
    <x v="4"/>
    <n v="5"/>
    <x v="0"/>
    <x v="3"/>
    <x v="1"/>
    <x v="5"/>
    <x v="1"/>
  </r>
  <r>
    <x v="956"/>
    <x v="17"/>
    <x v="1"/>
    <n v="51.2"/>
    <n v="102.4"/>
    <d v="2025-02-08T00:00:00"/>
    <d v="2025-02-09T00:00:00"/>
    <x v="1"/>
    <x v="1"/>
    <n v="4"/>
    <x v="0"/>
    <x v="3"/>
    <x v="3"/>
    <x v="5"/>
    <x v="1"/>
  </r>
  <r>
    <x v="957"/>
    <x v="14"/>
    <x v="12"/>
    <n v="11.8"/>
    <n v="47.2"/>
    <d v="2025-02-08T00:00:00"/>
    <d v="2025-02-08T00:00:00"/>
    <x v="1"/>
    <x v="2"/>
    <n v="4"/>
    <x v="0"/>
    <x v="3"/>
    <x v="7"/>
    <x v="5"/>
    <x v="1"/>
  </r>
  <r>
    <x v="958"/>
    <x v="10"/>
    <x v="6"/>
    <n v="40.799999999999997"/>
    <n v="1101.5999999999999"/>
    <d v="2025-02-08T00:00:00"/>
    <d v="2025-02-09T00:00:00"/>
    <x v="2"/>
    <x v="3"/>
    <n v="5"/>
    <x v="0"/>
    <x v="3"/>
    <x v="3"/>
    <x v="5"/>
    <x v="2"/>
  </r>
  <r>
    <x v="959"/>
    <x v="8"/>
    <x v="0"/>
    <n v="24.7"/>
    <n v="24.7"/>
    <d v="2025-02-08T00:00:00"/>
    <d v="2025-02-10T00:00:00"/>
    <x v="2"/>
    <x v="2"/>
    <n v="3"/>
    <x v="0"/>
    <x v="3"/>
    <x v="1"/>
    <x v="5"/>
    <x v="2"/>
  </r>
  <r>
    <x v="960"/>
    <x v="8"/>
    <x v="3"/>
    <n v="22.1"/>
    <n v="154.70000000000002"/>
    <d v="2025-02-08T00:00:00"/>
    <d v="2025-02-08T00:00:00"/>
    <x v="2"/>
    <x v="2"/>
    <n v="2"/>
    <x v="0"/>
    <x v="3"/>
    <x v="7"/>
    <x v="5"/>
    <x v="2"/>
  </r>
  <r>
    <x v="961"/>
    <x v="8"/>
    <x v="0"/>
    <n v="18.100000000000001"/>
    <n v="18.100000000000001"/>
    <d v="2025-02-08T00:00:00"/>
    <d v="2025-02-12T00:00:00"/>
    <x v="1"/>
    <x v="3"/>
    <n v="5"/>
    <x v="0"/>
    <x v="3"/>
    <x v="5"/>
    <x v="5"/>
    <x v="1"/>
  </r>
  <r>
    <x v="962"/>
    <x v="17"/>
    <x v="1"/>
    <n v="58.8"/>
    <n v="117.6"/>
    <d v="2025-02-08T00:00:00"/>
    <d v="2025-02-11T00:00:00"/>
    <x v="2"/>
    <x v="0"/>
    <n v="4"/>
    <x v="0"/>
    <x v="25"/>
    <x v="2"/>
    <x v="5"/>
    <x v="2"/>
  </r>
  <r>
    <x v="963"/>
    <x v="18"/>
    <x v="1"/>
    <n v="30.8"/>
    <n v="61.6"/>
    <d v="2025-02-08T00:00:00"/>
    <d v="2025-02-09T00:00:00"/>
    <x v="2"/>
    <x v="0"/>
    <n v="4"/>
    <x v="0"/>
    <x v="6"/>
    <x v="3"/>
    <x v="5"/>
    <x v="2"/>
  </r>
  <r>
    <x v="964"/>
    <x v="0"/>
    <x v="1"/>
    <n v="12"/>
    <n v="24"/>
    <d v="2025-02-08T00:00:00"/>
    <d v="2025-02-12T00:00:00"/>
    <x v="2"/>
    <x v="0"/>
    <n v="4"/>
    <x v="0"/>
    <x v="6"/>
    <x v="5"/>
    <x v="5"/>
    <x v="2"/>
  </r>
  <r>
    <x v="965"/>
    <x v="0"/>
    <x v="12"/>
    <n v="13.6"/>
    <n v="54.4"/>
    <d v="2025-02-08T00:00:00"/>
    <d v="2025-02-11T00:00:00"/>
    <x v="1"/>
    <x v="2"/>
    <n v="4"/>
    <x v="0"/>
    <x v="6"/>
    <x v="2"/>
    <x v="5"/>
    <x v="1"/>
  </r>
  <r>
    <x v="966"/>
    <x v="0"/>
    <x v="0"/>
    <n v="17.899999999999999"/>
    <n v="17.899999999999999"/>
    <d v="2025-02-08T00:00:00"/>
    <d v="2025-02-09T00:00:00"/>
    <x v="1"/>
    <x v="3"/>
    <n v="4"/>
    <x v="0"/>
    <x v="6"/>
    <x v="3"/>
    <x v="5"/>
    <x v="1"/>
  </r>
  <r>
    <x v="967"/>
    <x v="9"/>
    <x v="1"/>
    <n v="38.6"/>
    <n v="77.2"/>
    <d v="2025-02-08T00:00:00"/>
    <d v="2025-02-12T00:00:00"/>
    <x v="2"/>
    <x v="4"/>
    <n v="4"/>
    <x v="0"/>
    <x v="7"/>
    <x v="5"/>
    <x v="5"/>
    <x v="2"/>
  </r>
  <r>
    <x v="968"/>
    <x v="5"/>
    <x v="9"/>
    <n v="32.700000000000003"/>
    <n v="163.5"/>
    <d v="2025-02-08T00:00:00"/>
    <d v="2025-02-09T00:00:00"/>
    <x v="1"/>
    <x v="2"/>
    <n v="5"/>
    <x v="0"/>
    <x v="8"/>
    <x v="3"/>
    <x v="5"/>
    <x v="1"/>
  </r>
  <r>
    <x v="969"/>
    <x v="3"/>
    <x v="1"/>
    <n v="111.4"/>
    <n v="222.8"/>
    <d v="2025-02-08T00:00:00"/>
    <d v="2025-02-09T00:00:00"/>
    <x v="2"/>
    <x v="1"/>
    <n v="4"/>
    <x v="0"/>
    <x v="8"/>
    <x v="3"/>
    <x v="5"/>
    <x v="2"/>
  </r>
  <r>
    <x v="970"/>
    <x v="2"/>
    <x v="13"/>
    <n v="80.3"/>
    <n v="481.79999999999995"/>
    <d v="2025-02-08T00:00:00"/>
    <d v="2025-02-10T00:00:00"/>
    <x v="2"/>
    <x v="1"/>
    <n v="4"/>
    <x v="0"/>
    <x v="8"/>
    <x v="1"/>
    <x v="5"/>
    <x v="2"/>
  </r>
  <r>
    <x v="971"/>
    <x v="6"/>
    <x v="1"/>
    <n v="58.9"/>
    <n v="117.8"/>
    <d v="2025-02-08T00:00:00"/>
    <d v="2025-02-09T00:00:00"/>
    <x v="1"/>
    <x v="1"/>
    <n v="4"/>
    <x v="0"/>
    <x v="8"/>
    <x v="3"/>
    <x v="5"/>
    <x v="1"/>
  </r>
  <r>
    <x v="972"/>
    <x v="6"/>
    <x v="2"/>
    <n v="51.9"/>
    <n v="155.69999999999999"/>
    <d v="2025-02-08T00:00:00"/>
    <d v="2025-02-10T00:00:00"/>
    <x v="2"/>
    <x v="1"/>
    <n v="2"/>
    <x v="0"/>
    <x v="8"/>
    <x v="1"/>
    <x v="5"/>
    <x v="2"/>
  </r>
  <r>
    <x v="973"/>
    <x v="2"/>
    <x v="2"/>
    <n v="50.3"/>
    <n v="150.89999999999998"/>
    <d v="2025-02-08T00:00:00"/>
    <d v="2025-02-09T00:00:00"/>
    <x v="1"/>
    <x v="2"/>
    <n v="4"/>
    <x v="0"/>
    <x v="17"/>
    <x v="3"/>
    <x v="5"/>
    <x v="1"/>
  </r>
  <r>
    <x v="974"/>
    <x v="11"/>
    <x v="13"/>
    <n v="45"/>
    <n v="270"/>
    <d v="2025-02-08T00:00:00"/>
    <d v="2025-02-14T00:00:00"/>
    <x v="2"/>
    <x v="3"/>
    <n v="4"/>
    <x v="0"/>
    <x v="9"/>
    <x v="4"/>
    <x v="5"/>
    <x v="2"/>
  </r>
  <r>
    <x v="975"/>
    <x v="10"/>
    <x v="13"/>
    <n v="44.7"/>
    <n v="268.20000000000005"/>
    <d v="2025-02-08T00:00:00"/>
    <d v="2025-02-10T00:00:00"/>
    <x v="2"/>
    <x v="2"/>
    <n v="4"/>
    <x v="0"/>
    <x v="11"/>
    <x v="1"/>
    <x v="5"/>
    <x v="2"/>
  </r>
  <r>
    <x v="976"/>
    <x v="18"/>
    <x v="20"/>
    <n v="33"/>
    <n v="495"/>
    <d v="2025-02-08T00:00:00"/>
    <d v="2025-02-09T00:00:00"/>
    <x v="2"/>
    <x v="2"/>
    <n v="4"/>
    <x v="0"/>
    <x v="11"/>
    <x v="3"/>
    <x v="5"/>
    <x v="2"/>
  </r>
  <r>
    <x v="977"/>
    <x v="1"/>
    <x v="9"/>
    <n v="44.9"/>
    <n v="224.5"/>
    <d v="2025-02-08T00:00:00"/>
    <d v="2025-02-11T00:00:00"/>
    <x v="2"/>
    <x v="2"/>
    <n v="5"/>
    <x v="0"/>
    <x v="18"/>
    <x v="2"/>
    <x v="5"/>
    <x v="2"/>
  </r>
  <r>
    <x v="978"/>
    <x v="10"/>
    <x v="1"/>
    <n v="34.6"/>
    <n v="69.2"/>
    <d v="2025-02-08T00:00:00"/>
    <d v="2025-02-12T00:00:00"/>
    <x v="2"/>
    <x v="0"/>
    <n v="3"/>
    <x v="0"/>
    <x v="19"/>
    <x v="5"/>
    <x v="5"/>
    <x v="2"/>
  </r>
  <r>
    <x v="979"/>
    <x v="7"/>
    <x v="3"/>
    <n v="47.1"/>
    <n v="329.7"/>
    <d v="2025-02-08T00:00:00"/>
    <d v="2025-02-13T00:00:00"/>
    <x v="2"/>
    <x v="0"/>
    <n v="4"/>
    <x v="0"/>
    <x v="13"/>
    <x v="0"/>
    <x v="5"/>
    <x v="2"/>
  </r>
  <r>
    <x v="980"/>
    <x v="4"/>
    <x v="9"/>
    <n v="26.1"/>
    <n v="130.5"/>
    <d v="2025-02-08T00:00:00"/>
    <d v="2025-02-13T00:00:00"/>
    <x v="1"/>
    <x v="0"/>
    <n v="5"/>
    <x v="0"/>
    <x v="21"/>
    <x v="0"/>
    <x v="5"/>
    <x v="1"/>
  </r>
  <r>
    <x v="981"/>
    <x v="12"/>
    <x v="9"/>
    <n v="66.8"/>
    <n v="334"/>
    <d v="2025-02-08T00:00:00"/>
    <d v="2025-02-11T00:00:00"/>
    <x v="2"/>
    <x v="0"/>
    <n v="4"/>
    <x v="0"/>
    <x v="21"/>
    <x v="2"/>
    <x v="5"/>
    <x v="2"/>
  </r>
  <r>
    <x v="982"/>
    <x v="2"/>
    <x v="1"/>
    <n v="167.9"/>
    <n v="335.8"/>
    <d v="2025-02-08T00:00:00"/>
    <d v="2025-02-09T00:00:00"/>
    <x v="2"/>
    <x v="3"/>
    <n v="5"/>
    <x v="0"/>
    <x v="21"/>
    <x v="3"/>
    <x v="5"/>
    <x v="2"/>
  </r>
  <r>
    <x v="983"/>
    <x v="10"/>
    <x v="11"/>
    <n v="34.6"/>
    <n v="311.40000000000003"/>
    <d v="2025-02-08T00:00:00"/>
    <d v="2025-02-09T00:00:00"/>
    <x v="2"/>
    <x v="2"/>
    <n v="3"/>
    <x v="0"/>
    <x v="21"/>
    <x v="3"/>
    <x v="5"/>
    <x v="2"/>
  </r>
  <r>
    <x v="984"/>
    <x v="8"/>
    <x v="2"/>
    <n v="35.1"/>
    <n v="105.30000000000001"/>
    <d v="2025-02-09T00:00:00"/>
    <d v="2025-02-13T00:00:00"/>
    <x v="1"/>
    <x v="4"/>
    <n v="5"/>
    <x v="0"/>
    <x v="1"/>
    <x v="5"/>
    <x v="6"/>
    <x v="1"/>
  </r>
  <r>
    <x v="985"/>
    <x v="6"/>
    <x v="12"/>
    <n v="104.5"/>
    <n v="418"/>
    <d v="2025-02-09T00:00:00"/>
    <d v="2025-02-10T00:00:00"/>
    <x v="1"/>
    <x v="1"/>
    <n v="3"/>
    <x v="0"/>
    <x v="1"/>
    <x v="3"/>
    <x v="6"/>
    <x v="1"/>
  </r>
  <r>
    <x v="986"/>
    <x v="8"/>
    <x v="0"/>
    <n v="37.9"/>
    <n v="37.9"/>
    <d v="2025-02-09T00:00:00"/>
    <d v="2025-02-11T00:00:00"/>
    <x v="0"/>
    <x v="1"/>
    <n v="5"/>
    <x v="0"/>
    <x v="2"/>
    <x v="1"/>
    <x v="6"/>
    <x v="0"/>
  </r>
  <r>
    <x v="987"/>
    <x v="4"/>
    <x v="2"/>
    <n v="25.5"/>
    <n v="76.5"/>
    <d v="2025-02-09T00:00:00"/>
    <d v="2025-02-12T00:00:00"/>
    <x v="1"/>
    <x v="3"/>
    <n v="4"/>
    <x v="0"/>
    <x v="2"/>
    <x v="2"/>
    <x v="6"/>
    <x v="1"/>
  </r>
  <r>
    <x v="988"/>
    <x v="0"/>
    <x v="2"/>
    <n v="32"/>
    <n v="96"/>
    <d v="2025-02-09T00:00:00"/>
    <d v="2025-02-13T00:00:00"/>
    <x v="2"/>
    <x v="1"/>
    <n v="4"/>
    <x v="0"/>
    <x v="22"/>
    <x v="5"/>
    <x v="6"/>
    <x v="2"/>
  </r>
  <r>
    <x v="989"/>
    <x v="1"/>
    <x v="0"/>
    <n v="47.1"/>
    <n v="47.1"/>
    <d v="2025-02-09T00:00:00"/>
    <d v="2025-02-10T00:00:00"/>
    <x v="2"/>
    <x v="0"/>
    <n v="4"/>
    <x v="0"/>
    <x v="34"/>
    <x v="3"/>
    <x v="6"/>
    <x v="2"/>
  </r>
  <r>
    <x v="990"/>
    <x v="6"/>
    <x v="1"/>
    <n v="50.6"/>
    <n v="101.2"/>
    <d v="2025-02-09T00:00:00"/>
    <d v="2025-02-15T00:00:00"/>
    <x v="0"/>
    <x v="0"/>
    <n v="4"/>
    <x v="0"/>
    <x v="3"/>
    <x v="4"/>
    <x v="6"/>
    <x v="0"/>
  </r>
  <r>
    <x v="991"/>
    <x v="6"/>
    <x v="9"/>
    <n v="81.7"/>
    <n v="408.5"/>
    <d v="2025-02-09T00:00:00"/>
    <d v="2025-02-10T00:00:00"/>
    <x v="2"/>
    <x v="1"/>
    <n v="5"/>
    <x v="0"/>
    <x v="3"/>
    <x v="3"/>
    <x v="6"/>
    <x v="2"/>
  </r>
  <r>
    <x v="992"/>
    <x v="5"/>
    <x v="1"/>
    <n v="50.7"/>
    <n v="101.4"/>
    <d v="2025-02-09T00:00:00"/>
    <d v="2025-02-10T00:00:00"/>
    <x v="3"/>
    <x v="2"/>
    <n v="5"/>
    <x v="0"/>
    <x v="3"/>
    <x v="3"/>
    <x v="6"/>
    <x v="3"/>
  </r>
  <r>
    <x v="993"/>
    <x v="2"/>
    <x v="10"/>
    <n v="67.3"/>
    <n v="1278.7"/>
    <d v="2025-02-09T00:00:00"/>
    <d v="2025-02-13T00:00:00"/>
    <x v="2"/>
    <x v="2"/>
    <n v="4"/>
    <x v="0"/>
    <x v="3"/>
    <x v="5"/>
    <x v="6"/>
    <x v="2"/>
  </r>
  <r>
    <x v="994"/>
    <x v="2"/>
    <x v="12"/>
    <n v="64.8"/>
    <n v="259.2"/>
    <d v="2025-02-09T00:00:00"/>
    <d v="2025-02-12T00:00:00"/>
    <x v="2"/>
    <x v="3"/>
    <n v="4"/>
    <x v="0"/>
    <x v="3"/>
    <x v="2"/>
    <x v="6"/>
    <x v="2"/>
  </r>
  <r>
    <x v="995"/>
    <x v="5"/>
    <x v="32"/>
    <n v="61.3"/>
    <n v="1348.6"/>
    <d v="2025-02-09T00:00:00"/>
    <d v="2025-02-10T00:00:00"/>
    <x v="2"/>
    <x v="0"/>
    <n v="5"/>
    <x v="0"/>
    <x v="3"/>
    <x v="3"/>
    <x v="6"/>
    <x v="2"/>
  </r>
  <r>
    <x v="996"/>
    <x v="14"/>
    <x v="0"/>
    <n v="32.9"/>
    <n v="32.9"/>
    <d v="2025-02-09T00:00:00"/>
    <d v="2025-02-12T00:00:00"/>
    <x v="2"/>
    <x v="4"/>
    <n v="4"/>
    <x v="0"/>
    <x v="3"/>
    <x v="2"/>
    <x v="6"/>
    <x v="2"/>
  </r>
  <r>
    <x v="997"/>
    <x v="6"/>
    <x v="1"/>
    <n v="100.8"/>
    <n v="201.6"/>
    <d v="2025-02-09T00:00:00"/>
    <d v="2025-02-12T00:00:00"/>
    <x v="2"/>
    <x v="0"/>
    <n v="4"/>
    <x v="0"/>
    <x v="3"/>
    <x v="2"/>
    <x v="6"/>
    <x v="2"/>
  </r>
  <r>
    <x v="998"/>
    <x v="8"/>
    <x v="12"/>
    <n v="25.1"/>
    <n v="100.4"/>
    <d v="2025-02-09T00:00:00"/>
    <d v="2025-02-11T00:00:00"/>
    <x v="2"/>
    <x v="1"/>
    <n v="4"/>
    <x v="0"/>
    <x v="3"/>
    <x v="1"/>
    <x v="6"/>
    <x v="2"/>
  </r>
  <r>
    <x v="999"/>
    <x v="17"/>
    <x v="0"/>
    <n v="48.5"/>
    <n v="48.5"/>
    <d v="2025-02-09T00:00:00"/>
    <d v="2025-02-10T00:00:00"/>
    <x v="2"/>
    <x v="0"/>
    <n v="3"/>
    <x v="0"/>
    <x v="3"/>
    <x v="3"/>
    <x v="6"/>
    <x v="2"/>
  </r>
  <r>
    <x v="1000"/>
    <x v="7"/>
    <x v="1"/>
    <n v="33.6"/>
    <n v="67.2"/>
    <d v="2025-02-09T00:00:00"/>
    <d v="2025-02-13T00:00:00"/>
    <x v="2"/>
    <x v="2"/>
    <n v="5"/>
    <x v="0"/>
    <x v="3"/>
    <x v="5"/>
    <x v="6"/>
    <x v="2"/>
  </r>
  <r>
    <x v="1001"/>
    <x v="8"/>
    <x v="0"/>
    <n v="39.299999999999997"/>
    <n v="39.299999999999997"/>
    <d v="2025-02-09T00:00:00"/>
    <d v="2025-02-20T00:00:00"/>
    <x v="2"/>
    <x v="1"/>
    <n v="3"/>
    <x v="0"/>
    <x v="49"/>
    <x v="11"/>
    <x v="6"/>
    <x v="2"/>
  </r>
  <r>
    <x v="1002"/>
    <x v="4"/>
    <x v="7"/>
    <n v="48.8"/>
    <n v="488"/>
    <d v="2025-02-09T00:00:00"/>
    <d v="2025-02-11T00:00:00"/>
    <x v="2"/>
    <x v="3"/>
    <n v="3"/>
    <x v="0"/>
    <x v="25"/>
    <x v="1"/>
    <x v="6"/>
    <x v="2"/>
  </r>
  <r>
    <x v="1003"/>
    <x v="6"/>
    <x v="8"/>
    <n v="72.8"/>
    <n v="582.4"/>
    <d v="2025-02-09T00:00:00"/>
    <d v="2025-02-11T00:00:00"/>
    <x v="1"/>
    <x v="1"/>
    <n v="5"/>
    <x v="0"/>
    <x v="5"/>
    <x v="1"/>
    <x v="6"/>
    <x v="1"/>
  </r>
  <r>
    <x v="1004"/>
    <x v="10"/>
    <x v="8"/>
    <n v="46.2"/>
    <n v="369.6"/>
    <d v="2025-02-09T00:00:00"/>
    <d v="2025-02-10T00:00:00"/>
    <x v="1"/>
    <x v="3"/>
    <n v="2"/>
    <x v="0"/>
    <x v="5"/>
    <x v="3"/>
    <x v="6"/>
    <x v="1"/>
  </r>
  <r>
    <x v="1005"/>
    <x v="4"/>
    <x v="1"/>
    <n v="20.7"/>
    <n v="41.4"/>
    <d v="2025-02-09T00:00:00"/>
    <d v="2025-02-10T00:00:00"/>
    <x v="2"/>
    <x v="2"/>
    <n v="1"/>
    <x v="0"/>
    <x v="6"/>
    <x v="3"/>
    <x v="6"/>
    <x v="2"/>
  </r>
  <r>
    <x v="1006"/>
    <x v="0"/>
    <x v="0"/>
    <n v="35.700000000000003"/>
    <n v="35.700000000000003"/>
    <d v="2025-02-09T00:00:00"/>
    <d v="2025-02-11T00:00:00"/>
    <x v="2"/>
    <x v="3"/>
    <n v="4"/>
    <x v="0"/>
    <x v="6"/>
    <x v="1"/>
    <x v="6"/>
    <x v="2"/>
  </r>
  <r>
    <x v="1007"/>
    <x v="2"/>
    <x v="27"/>
    <n v="166.2"/>
    <n v="2659.2"/>
    <d v="2025-02-09T00:00:00"/>
    <d v="2025-02-11T00:00:00"/>
    <x v="0"/>
    <x v="2"/>
    <n v="4"/>
    <x v="0"/>
    <x v="7"/>
    <x v="1"/>
    <x v="6"/>
    <x v="0"/>
  </r>
  <r>
    <x v="1008"/>
    <x v="6"/>
    <x v="12"/>
    <n v="85.8"/>
    <n v="343.2"/>
    <d v="2025-02-09T00:00:00"/>
    <d v="2025-02-10T00:00:00"/>
    <x v="2"/>
    <x v="1"/>
    <n v="3"/>
    <x v="0"/>
    <x v="7"/>
    <x v="3"/>
    <x v="6"/>
    <x v="2"/>
  </r>
  <r>
    <x v="1009"/>
    <x v="8"/>
    <x v="2"/>
    <n v="26"/>
    <n v="78"/>
    <d v="2025-02-09T00:00:00"/>
    <d v="2025-02-11T00:00:00"/>
    <x v="3"/>
    <x v="1"/>
    <n v="4"/>
    <x v="0"/>
    <x v="7"/>
    <x v="1"/>
    <x v="6"/>
    <x v="3"/>
  </r>
  <r>
    <x v="1010"/>
    <x v="2"/>
    <x v="15"/>
    <n v="116.6"/>
    <n v="1515.8"/>
    <d v="2025-02-09T00:00:00"/>
    <d v="2025-02-12T00:00:00"/>
    <x v="2"/>
    <x v="0"/>
    <n v="4"/>
    <x v="0"/>
    <x v="8"/>
    <x v="2"/>
    <x v="6"/>
    <x v="2"/>
  </r>
  <r>
    <x v="1011"/>
    <x v="9"/>
    <x v="3"/>
    <n v="53.9"/>
    <n v="377.3"/>
    <d v="2025-02-09T00:00:00"/>
    <d v="2025-02-12T00:00:00"/>
    <x v="3"/>
    <x v="0"/>
    <n v="5"/>
    <x v="0"/>
    <x v="8"/>
    <x v="2"/>
    <x v="6"/>
    <x v="3"/>
  </r>
  <r>
    <x v="1012"/>
    <x v="12"/>
    <x v="9"/>
    <n v="72.3"/>
    <n v="361.5"/>
    <d v="2025-02-09T00:00:00"/>
    <d v="2025-02-11T00:00:00"/>
    <x v="0"/>
    <x v="2"/>
    <n v="5"/>
    <x v="0"/>
    <x v="8"/>
    <x v="1"/>
    <x v="6"/>
    <x v="0"/>
  </r>
  <r>
    <x v="1013"/>
    <x v="5"/>
    <x v="1"/>
    <n v="31.4"/>
    <n v="62.8"/>
    <d v="2025-02-09T00:00:00"/>
    <d v="2025-02-11T00:00:00"/>
    <x v="2"/>
    <x v="0"/>
    <n v="4"/>
    <x v="0"/>
    <x v="8"/>
    <x v="1"/>
    <x v="6"/>
    <x v="2"/>
  </r>
  <r>
    <x v="1014"/>
    <x v="13"/>
    <x v="1"/>
    <n v="53.1"/>
    <n v="106.2"/>
    <d v="2025-02-09T00:00:00"/>
    <d v="2025-02-12T00:00:00"/>
    <x v="1"/>
    <x v="1"/>
    <n v="4"/>
    <x v="0"/>
    <x v="8"/>
    <x v="2"/>
    <x v="6"/>
    <x v="1"/>
  </r>
  <r>
    <x v="1015"/>
    <x v="2"/>
    <x v="12"/>
    <n v="56.2"/>
    <n v="224.8"/>
    <d v="2025-02-09T00:00:00"/>
    <d v="2025-02-10T00:00:00"/>
    <x v="2"/>
    <x v="0"/>
    <n v="4"/>
    <x v="0"/>
    <x v="8"/>
    <x v="3"/>
    <x v="6"/>
    <x v="2"/>
  </r>
  <r>
    <x v="1016"/>
    <x v="1"/>
    <x v="7"/>
    <n v="77.3"/>
    <n v="773"/>
    <d v="2025-02-09T00:00:00"/>
    <d v="2025-02-10T00:00:00"/>
    <x v="2"/>
    <x v="2"/>
    <n v="4"/>
    <x v="0"/>
    <x v="11"/>
    <x v="3"/>
    <x v="6"/>
    <x v="2"/>
  </r>
  <r>
    <x v="1017"/>
    <x v="6"/>
    <x v="15"/>
    <n v="57.8"/>
    <n v="751.4"/>
    <d v="2025-02-09T00:00:00"/>
    <d v="2025-02-10T00:00:00"/>
    <x v="0"/>
    <x v="0"/>
    <n v="4"/>
    <x v="0"/>
    <x v="53"/>
    <x v="3"/>
    <x v="6"/>
    <x v="0"/>
  </r>
  <r>
    <x v="1018"/>
    <x v="12"/>
    <x v="20"/>
    <n v="42.1"/>
    <n v="631.5"/>
    <d v="2025-02-09T00:00:00"/>
    <d v="2025-02-11T00:00:00"/>
    <x v="2"/>
    <x v="1"/>
    <n v="3"/>
    <x v="0"/>
    <x v="53"/>
    <x v="1"/>
    <x v="6"/>
    <x v="2"/>
  </r>
  <r>
    <x v="1019"/>
    <x v="8"/>
    <x v="11"/>
    <n v="22.8"/>
    <n v="205.20000000000002"/>
    <d v="2025-02-09T00:00:00"/>
    <d v="2025-02-13T00:00:00"/>
    <x v="1"/>
    <x v="2"/>
    <n v="5"/>
    <x v="0"/>
    <x v="19"/>
    <x v="5"/>
    <x v="6"/>
    <x v="1"/>
  </r>
  <r>
    <x v="1020"/>
    <x v="2"/>
    <x v="2"/>
    <n v="171.1"/>
    <n v="513.29999999999995"/>
    <d v="2025-02-10T00:00:00"/>
    <d v="2025-02-17T00:00:00"/>
    <x v="2"/>
    <x v="2"/>
    <n v="3"/>
    <x v="0"/>
    <x v="19"/>
    <x v="6"/>
    <x v="6"/>
    <x v="2"/>
  </r>
  <r>
    <x v="1021"/>
    <x v="8"/>
    <x v="0"/>
    <n v="28"/>
    <n v="28"/>
    <d v="2025-02-10T00:00:00"/>
    <d v="2025-02-12T00:00:00"/>
    <x v="1"/>
    <x v="2"/>
    <n v="5"/>
    <x v="0"/>
    <x v="21"/>
    <x v="1"/>
    <x v="6"/>
    <x v="1"/>
  </r>
  <r>
    <x v="1022"/>
    <x v="6"/>
    <x v="3"/>
    <n v="50.2"/>
    <n v="351.40000000000003"/>
    <d v="2025-02-10T00:00:00"/>
    <d v="2025-02-12T00:00:00"/>
    <x v="1"/>
    <x v="2"/>
    <n v="4"/>
    <x v="0"/>
    <x v="21"/>
    <x v="1"/>
    <x v="6"/>
    <x v="1"/>
  </r>
  <r>
    <x v="1023"/>
    <x v="6"/>
    <x v="1"/>
    <n v="56"/>
    <n v="112"/>
    <d v="2025-02-10T00:00:00"/>
    <d v="2025-02-10T00:00:00"/>
    <x v="1"/>
    <x v="0"/>
    <n v="5"/>
    <x v="0"/>
    <x v="22"/>
    <x v="7"/>
    <x v="6"/>
    <x v="1"/>
  </r>
  <r>
    <x v="1024"/>
    <x v="1"/>
    <x v="1"/>
    <n v="38.299999999999997"/>
    <n v="76.599999999999994"/>
    <d v="2025-02-10T00:00:00"/>
    <d v="2025-02-11T00:00:00"/>
    <x v="2"/>
    <x v="1"/>
    <n v="4"/>
    <x v="0"/>
    <x v="3"/>
    <x v="3"/>
    <x v="6"/>
    <x v="2"/>
  </r>
  <r>
    <x v="1025"/>
    <x v="0"/>
    <x v="9"/>
    <n v="22.3"/>
    <n v="111.5"/>
    <d v="2025-02-10T00:00:00"/>
    <d v="2025-02-14T00:00:00"/>
    <x v="2"/>
    <x v="2"/>
    <n v="3"/>
    <x v="0"/>
    <x v="3"/>
    <x v="5"/>
    <x v="6"/>
    <x v="2"/>
  </r>
  <r>
    <x v="1026"/>
    <x v="0"/>
    <x v="2"/>
    <n v="22.3"/>
    <n v="66.900000000000006"/>
    <d v="2025-02-10T00:00:00"/>
    <d v="2025-02-13T00:00:00"/>
    <x v="2"/>
    <x v="2"/>
    <n v="4"/>
    <x v="0"/>
    <x v="3"/>
    <x v="2"/>
    <x v="6"/>
    <x v="2"/>
  </r>
  <r>
    <x v="1027"/>
    <x v="1"/>
    <x v="0"/>
    <n v="32.9"/>
    <n v="32.9"/>
    <d v="2025-02-10T00:00:00"/>
    <d v="2025-02-15T00:00:00"/>
    <x v="2"/>
    <x v="0"/>
    <n v="4"/>
    <x v="0"/>
    <x v="3"/>
    <x v="0"/>
    <x v="6"/>
    <x v="2"/>
  </r>
  <r>
    <x v="1028"/>
    <x v="10"/>
    <x v="2"/>
    <n v="31.9"/>
    <n v="95.699999999999989"/>
    <d v="2025-02-10T00:00:00"/>
    <d v="2025-02-15T00:00:00"/>
    <x v="2"/>
    <x v="0"/>
    <n v="4"/>
    <x v="0"/>
    <x v="3"/>
    <x v="0"/>
    <x v="6"/>
    <x v="2"/>
  </r>
  <r>
    <x v="1029"/>
    <x v="6"/>
    <x v="1"/>
    <n v="94"/>
    <n v="188"/>
    <d v="2025-02-10T00:00:00"/>
    <d v="2025-02-11T00:00:00"/>
    <x v="1"/>
    <x v="2"/>
    <n v="5"/>
    <x v="0"/>
    <x v="3"/>
    <x v="3"/>
    <x v="6"/>
    <x v="1"/>
  </r>
  <r>
    <x v="1030"/>
    <x v="10"/>
    <x v="1"/>
    <n v="30.7"/>
    <n v="61.4"/>
    <d v="2025-02-10T00:00:00"/>
    <d v="2025-02-11T00:00:00"/>
    <x v="2"/>
    <x v="0"/>
    <n v="3"/>
    <x v="0"/>
    <x v="3"/>
    <x v="3"/>
    <x v="6"/>
    <x v="2"/>
  </r>
  <r>
    <x v="1031"/>
    <x v="5"/>
    <x v="9"/>
    <n v="90.5"/>
    <n v="452.5"/>
    <d v="2025-02-10T00:00:00"/>
    <d v="2025-02-17T00:00:00"/>
    <x v="1"/>
    <x v="0"/>
    <n v="5"/>
    <x v="0"/>
    <x v="3"/>
    <x v="6"/>
    <x v="6"/>
    <x v="1"/>
  </r>
  <r>
    <x v="1032"/>
    <x v="8"/>
    <x v="9"/>
    <n v="25.3"/>
    <n v="126.5"/>
    <d v="2025-02-10T00:00:00"/>
    <d v="2025-02-14T00:00:00"/>
    <x v="2"/>
    <x v="0"/>
    <n v="5"/>
    <x v="0"/>
    <x v="3"/>
    <x v="5"/>
    <x v="6"/>
    <x v="2"/>
  </r>
  <r>
    <x v="1033"/>
    <x v="6"/>
    <x v="2"/>
    <n v="58.1"/>
    <n v="174.3"/>
    <d v="2025-02-10T00:00:00"/>
    <d v="2025-02-14T00:00:00"/>
    <x v="0"/>
    <x v="0"/>
    <n v="5"/>
    <x v="0"/>
    <x v="3"/>
    <x v="5"/>
    <x v="6"/>
    <x v="0"/>
  </r>
  <r>
    <x v="1034"/>
    <x v="2"/>
    <x v="2"/>
    <n v="74.900000000000006"/>
    <n v="224.70000000000002"/>
    <d v="2025-02-10T00:00:00"/>
    <d v="2025-02-11T00:00:00"/>
    <x v="2"/>
    <x v="4"/>
    <n v="4"/>
    <x v="0"/>
    <x v="3"/>
    <x v="3"/>
    <x v="6"/>
    <x v="2"/>
  </r>
  <r>
    <x v="1035"/>
    <x v="4"/>
    <x v="1"/>
    <n v="32.5"/>
    <n v="65"/>
    <d v="2025-02-10T00:00:00"/>
    <d v="2025-02-11T00:00:00"/>
    <x v="1"/>
    <x v="2"/>
    <n v="5"/>
    <x v="0"/>
    <x v="43"/>
    <x v="3"/>
    <x v="6"/>
    <x v="1"/>
  </r>
  <r>
    <x v="1036"/>
    <x v="4"/>
    <x v="9"/>
    <n v="62"/>
    <n v="310"/>
    <d v="2025-02-10T00:00:00"/>
    <d v="2025-02-11T00:00:00"/>
    <x v="1"/>
    <x v="4"/>
    <n v="5"/>
    <x v="0"/>
    <x v="25"/>
    <x v="3"/>
    <x v="6"/>
    <x v="1"/>
  </r>
  <r>
    <x v="1037"/>
    <x v="13"/>
    <x v="13"/>
    <n v="28.9"/>
    <n v="173.39999999999998"/>
    <d v="2025-02-10T00:00:00"/>
    <d v="2025-02-13T00:00:00"/>
    <x v="2"/>
    <x v="0"/>
    <n v="3"/>
    <x v="0"/>
    <x v="6"/>
    <x v="2"/>
    <x v="6"/>
    <x v="2"/>
  </r>
  <r>
    <x v="1038"/>
    <x v="6"/>
    <x v="8"/>
    <n v="42.8"/>
    <n v="342.4"/>
    <d v="2025-02-10T00:00:00"/>
    <d v="2025-02-12T00:00:00"/>
    <x v="2"/>
    <x v="0"/>
    <n v="5"/>
    <x v="0"/>
    <x v="6"/>
    <x v="1"/>
    <x v="6"/>
    <x v="2"/>
  </r>
  <r>
    <x v="1039"/>
    <x v="8"/>
    <x v="8"/>
    <n v="39.4"/>
    <n v="315.2"/>
    <d v="2025-02-10T00:00:00"/>
    <d v="2025-02-12T00:00:00"/>
    <x v="1"/>
    <x v="0"/>
    <n v="4"/>
    <x v="0"/>
    <x v="36"/>
    <x v="1"/>
    <x v="6"/>
    <x v="1"/>
  </r>
  <r>
    <x v="1040"/>
    <x v="18"/>
    <x v="2"/>
    <n v="66.400000000000006"/>
    <n v="199.20000000000002"/>
    <d v="2025-02-10T00:00:00"/>
    <d v="2025-02-11T00:00:00"/>
    <x v="0"/>
    <x v="2"/>
    <n v="3"/>
    <x v="0"/>
    <x v="7"/>
    <x v="3"/>
    <x v="6"/>
    <x v="0"/>
  </r>
  <r>
    <x v="1041"/>
    <x v="17"/>
    <x v="12"/>
    <n v="35.9"/>
    <n v="143.6"/>
    <d v="2025-02-10T00:00:00"/>
    <d v="2025-02-17T00:00:00"/>
    <x v="2"/>
    <x v="1"/>
    <n v="4"/>
    <x v="0"/>
    <x v="7"/>
    <x v="6"/>
    <x v="6"/>
    <x v="2"/>
  </r>
  <r>
    <x v="1042"/>
    <x v="0"/>
    <x v="12"/>
    <n v="26.9"/>
    <n v="107.6"/>
    <d v="2025-02-10T00:00:00"/>
    <d v="2025-02-11T00:00:00"/>
    <x v="1"/>
    <x v="1"/>
    <n v="4"/>
    <x v="0"/>
    <x v="7"/>
    <x v="3"/>
    <x v="6"/>
    <x v="1"/>
  </r>
  <r>
    <x v="1043"/>
    <x v="2"/>
    <x v="0"/>
    <n v="55.1"/>
    <n v="55.1"/>
    <d v="2025-02-10T00:00:00"/>
    <d v="2025-02-11T00:00:00"/>
    <x v="2"/>
    <x v="0"/>
    <n v="4"/>
    <x v="0"/>
    <x v="7"/>
    <x v="3"/>
    <x v="6"/>
    <x v="2"/>
  </r>
  <r>
    <x v="1044"/>
    <x v="4"/>
    <x v="1"/>
    <n v="23.9"/>
    <n v="47.8"/>
    <d v="2025-02-10T00:00:00"/>
    <d v="2025-02-11T00:00:00"/>
    <x v="1"/>
    <x v="0"/>
    <n v="5"/>
    <x v="0"/>
    <x v="8"/>
    <x v="3"/>
    <x v="6"/>
    <x v="1"/>
  </r>
  <r>
    <x v="1045"/>
    <x v="9"/>
    <x v="15"/>
    <n v="21.1"/>
    <n v="274.3"/>
    <d v="2025-02-10T00:00:00"/>
    <d v="2025-02-18T00:00:00"/>
    <x v="2"/>
    <x v="0"/>
    <n v="3"/>
    <x v="0"/>
    <x v="8"/>
    <x v="9"/>
    <x v="6"/>
    <x v="2"/>
  </r>
  <r>
    <x v="1046"/>
    <x v="8"/>
    <x v="9"/>
    <n v="33.799999999999997"/>
    <n v="169"/>
    <d v="2025-02-10T00:00:00"/>
    <d v="2025-02-12T00:00:00"/>
    <x v="2"/>
    <x v="0"/>
    <n v="4"/>
    <x v="0"/>
    <x v="8"/>
    <x v="1"/>
    <x v="6"/>
    <x v="2"/>
  </r>
  <r>
    <x v="1047"/>
    <x v="2"/>
    <x v="12"/>
    <n v="56.1"/>
    <n v="224.4"/>
    <d v="2025-02-10T00:00:00"/>
    <d v="2025-02-10T00:00:00"/>
    <x v="2"/>
    <x v="3"/>
    <n v="5"/>
    <x v="0"/>
    <x v="9"/>
    <x v="7"/>
    <x v="6"/>
    <x v="2"/>
  </r>
  <r>
    <x v="1048"/>
    <x v="3"/>
    <x v="0"/>
    <n v="58.5"/>
    <n v="58.5"/>
    <d v="2025-02-11T00:00:00"/>
    <d v="2025-02-15T00:00:00"/>
    <x v="2"/>
    <x v="1"/>
    <n v="5"/>
    <x v="0"/>
    <x v="9"/>
    <x v="5"/>
    <x v="6"/>
    <x v="2"/>
  </r>
  <r>
    <x v="1049"/>
    <x v="6"/>
    <x v="0"/>
    <n v="84.2"/>
    <n v="84.2"/>
    <d v="2025-02-11T00:00:00"/>
    <d v="2025-02-13T00:00:00"/>
    <x v="1"/>
    <x v="3"/>
    <n v="4"/>
    <x v="0"/>
    <x v="11"/>
    <x v="1"/>
    <x v="6"/>
    <x v="1"/>
  </r>
  <r>
    <x v="1050"/>
    <x v="11"/>
    <x v="12"/>
    <n v="52"/>
    <n v="208"/>
    <d v="2025-02-11T00:00:00"/>
    <d v="2025-02-14T00:00:00"/>
    <x v="1"/>
    <x v="0"/>
    <n v="4"/>
    <x v="0"/>
    <x v="11"/>
    <x v="2"/>
    <x v="6"/>
    <x v="1"/>
  </r>
  <r>
    <x v="1051"/>
    <x v="4"/>
    <x v="9"/>
    <n v="31.5"/>
    <n v="157.5"/>
    <d v="2025-02-11T00:00:00"/>
    <d v="2025-02-12T00:00:00"/>
    <x v="2"/>
    <x v="0"/>
    <n v="5"/>
    <x v="0"/>
    <x v="11"/>
    <x v="3"/>
    <x v="6"/>
    <x v="2"/>
  </r>
  <r>
    <x v="1052"/>
    <x v="16"/>
    <x v="2"/>
    <n v="46.2"/>
    <n v="138.60000000000002"/>
    <d v="2025-02-11T00:00:00"/>
    <d v="2025-02-12T00:00:00"/>
    <x v="1"/>
    <x v="0"/>
    <n v="4"/>
    <x v="0"/>
    <x v="53"/>
    <x v="3"/>
    <x v="6"/>
    <x v="1"/>
  </r>
  <r>
    <x v="1053"/>
    <x v="2"/>
    <x v="13"/>
    <n v="135"/>
    <n v="810"/>
    <d v="2025-02-11T00:00:00"/>
    <d v="2025-02-12T00:00:00"/>
    <x v="2"/>
    <x v="1"/>
    <n v="5"/>
    <x v="0"/>
    <x v="18"/>
    <x v="3"/>
    <x v="6"/>
    <x v="2"/>
  </r>
  <r>
    <x v="1054"/>
    <x v="12"/>
    <x v="2"/>
    <n v="92.2"/>
    <n v="276.60000000000002"/>
    <d v="2025-02-11T00:00:00"/>
    <d v="2025-02-15T00:00:00"/>
    <x v="1"/>
    <x v="0"/>
    <n v="4"/>
    <x v="0"/>
    <x v="21"/>
    <x v="5"/>
    <x v="6"/>
    <x v="1"/>
  </r>
  <r>
    <x v="1055"/>
    <x v="8"/>
    <x v="0"/>
    <n v="36.6"/>
    <n v="36.6"/>
    <d v="2025-02-11T00:00:00"/>
    <d v="2025-02-13T00:00:00"/>
    <x v="1"/>
    <x v="2"/>
    <n v="5"/>
    <x v="0"/>
    <x v="21"/>
    <x v="1"/>
    <x v="6"/>
    <x v="1"/>
  </r>
  <r>
    <x v="1056"/>
    <x v="9"/>
    <x v="1"/>
    <n v="50.6"/>
    <n v="101.2"/>
    <d v="2025-02-11T00:00:00"/>
    <d v="2025-02-14T00:00:00"/>
    <x v="2"/>
    <x v="0"/>
    <n v="4"/>
    <x v="0"/>
    <x v="2"/>
    <x v="2"/>
    <x v="6"/>
    <x v="2"/>
  </r>
  <r>
    <x v="1057"/>
    <x v="18"/>
    <x v="3"/>
    <n v="56.7"/>
    <n v="396.90000000000003"/>
    <d v="2025-02-11T00:00:00"/>
    <d v="2025-02-14T00:00:00"/>
    <x v="2"/>
    <x v="0"/>
    <n v="4"/>
    <x v="0"/>
    <x v="2"/>
    <x v="2"/>
    <x v="6"/>
    <x v="2"/>
  </r>
  <r>
    <x v="1058"/>
    <x v="9"/>
    <x v="15"/>
    <n v="22.9"/>
    <n v="297.7"/>
    <d v="2025-02-11T00:00:00"/>
    <d v="2025-02-12T00:00:00"/>
    <x v="2"/>
    <x v="0"/>
    <n v="3"/>
    <x v="0"/>
    <x v="44"/>
    <x v="3"/>
    <x v="6"/>
    <x v="2"/>
  </r>
  <r>
    <x v="1059"/>
    <x v="15"/>
    <x v="10"/>
    <n v="53.6"/>
    <n v="1018.4"/>
    <d v="2025-02-11T00:00:00"/>
    <d v="2025-02-12T00:00:00"/>
    <x v="1"/>
    <x v="0"/>
    <n v="4"/>
    <x v="0"/>
    <x v="22"/>
    <x v="3"/>
    <x v="6"/>
    <x v="1"/>
  </r>
  <r>
    <x v="1060"/>
    <x v="18"/>
    <x v="1"/>
    <n v="30.2"/>
    <n v="60.4"/>
    <d v="2025-02-11T00:00:00"/>
    <d v="2025-02-13T00:00:00"/>
    <x v="0"/>
    <x v="2"/>
    <n v="5"/>
    <x v="0"/>
    <x v="3"/>
    <x v="1"/>
    <x v="6"/>
    <x v="0"/>
  </r>
  <r>
    <x v="1061"/>
    <x v="15"/>
    <x v="13"/>
    <n v="83.4"/>
    <n v="500.40000000000003"/>
    <d v="2025-02-11T00:00:00"/>
    <d v="2025-02-12T00:00:00"/>
    <x v="1"/>
    <x v="1"/>
    <n v="5"/>
    <x v="0"/>
    <x v="3"/>
    <x v="3"/>
    <x v="6"/>
    <x v="1"/>
  </r>
  <r>
    <x v="1062"/>
    <x v="13"/>
    <x v="4"/>
    <n v="16.600000000000001"/>
    <n v="199.20000000000002"/>
    <d v="2025-02-11T00:00:00"/>
    <d v="2025-02-13T00:00:00"/>
    <x v="1"/>
    <x v="1"/>
    <n v="4"/>
    <x v="0"/>
    <x v="3"/>
    <x v="1"/>
    <x v="6"/>
    <x v="1"/>
  </r>
  <r>
    <x v="1063"/>
    <x v="8"/>
    <x v="14"/>
    <n v="21.9"/>
    <n v="372.29999999999995"/>
    <d v="2025-02-11T00:00:00"/>
    <d v="2025-02-13T00:00:00"/>
    <x v="2"/>
    <x v="4"/>
    <n v="3"/>
    <x v="0"/>
    <x v="3"/>
    <x v="1"/>
    <x v="6"/>
    <x v="2"/>
  </r>
  <r>
    <x v="1064"/>
    <x v="8"/>
    <x v="31"/>
    <n v="33.799999999999997"/>
    <n v="946.39999999999986"/>
    <d v="2025-02-11T00:00:00"/>
    <d v="2025-02-13T00:00:00"/>
    <x v="1"/>
    <x v="2"/>
    <n v="2"/>
    <x v="0"/>
    <x v="3"/>
    <x v="1"/>
    <x v="6"/>
    <x v="1"/>
  </r>
  <r>
    <x v="1065"/>
    <x v="18"/>
    <x v="1"/>
    <n v="53.2"/>
    <n v="106.4"/>
    <d v="2025-02-11T00:00:00"/>
    <d v="2025-02-11T00:00:00"/>
    <x v="1"/>
    <x v="1"/>
    <n v="4"/>
    <x v="0"/>
    <x v="3"/>
    <x v="7"/>
    <x v="6"/>
    <x v="1"/>
  </r>
  <r>
    <x v="1066"/>
    <x v="2"/>
    <x v="1"/>
    <n v="176.7"/>
    <n v="353.4"/>
    <d v="2025-02-11T00:00:00"/>
    <d v="2025-02-14T00:00:00"/>
    <x v="2"/>
    <x v="2"/>
    <n v="4"/>
    <x v="0"/>
    <x v="3"/>
    <x v="2"/>
    <x v="6"/>
    <x v="2"/>
  </r>
  <r>
    <x v="1067"/>
    <x v="12"/>
    <x v="2"/>
    <n v="54"/>
    <n v="162"/>
    <d v="2025-02-11T00:00:00"/>
    <d v="2025-02-14T00:00:00"/>
    <x v="1"/>
    <x v="0"/>
    <n v="3"/>
    <x v="0"/>
    <x v="3"/>
    <x v="2"/>
    <x v="6"/>
    <x v="1"/>
  </r>
  <r>
    <x v="1068"/>
    <x v="9"/>
    <x v="1"/>
    <n v="70.099999999999994"/>
    <n v="140.19999999999999"/>
    <d v="2025-02-11T00:00:00"/>
    <d v="2025-02-19T00:00:00"/>
    <x v="2"/>
    <x v="3"/>
    <n v="5"/>
    <x v="0"/>
    <x v="3"/>
    <x v="9"/>
    <x v="6"/>
    <x v="2"/>
  </r>
  <r>
    <x v="1069"/>
    <x v="8"/>
    <x v="0"/>
    <n v="26.5"/>
    <n v="26.5"/>
    <d v="2025-02-11T00:00:00"/>
    <d v="2025-02-13T00:00:00"/>
    <x v="2"/>
    <x v="1"/>
    <n v="4"/>
    <x v="0"/>
    <x v="3"/>
    <x v="1"/>
    <x v="6"/>
    <x v="2"/>
  </r>
  <r>
    <x v="1070"/>
    <x v="7"/>
    <x v="9"/>
    <n v="89"/>
    <n v="445"/>
    <d v="2025-02-11T00:00:00"/>
    <d v="2025-02-13T00:00:00"/>
    <x v="1"/>
    <x v="2"/>
    <n v="2"/>
    <x v="0"/>
    <x v="3"/>
    <x v="1"/>
    <x v="6"/>
    <x v="1"/>
  </r>
  <r>
    <x v="1071"/>
    <x v="1"/>
    <x v="13"/>
    <n v="47"/>
    <n v="282"/>
    <d v="2025-02-11T00:00:00"/>
    <d v="2025-02-14T00:00:00"/>
    <x v="2"/>
    <x v="3"/>
    <n v="4"/>
    <x v="0"/>
    <x v="24"/>
    <x v="2"/>
    <x v="6"/>
    <x v="2"/>
  </r>
  <r>
    <x v="1072"/>
    <x v="3"/>
    <x v="1"/>
    <n v="55.2"/>
    <n v="110.4"/>
    <d v="2025-02-11T00:00:00"/>
    <d v="2025-02-14T00:00:00"/>
    <x v="1"/>
    <x v="1"/>
    <n v="3"/>
    <x v="0"/>
    <x v="6"/>
    <x v="2"/>
    <x v="6"/>
    <x v="1"/>
  </r>
  <r>
    <x v="1073"/>
    <x v="8"/>
    <x v="39"/>
    <n v="33.299999999999997"/>
    <n v="1398.6"/>
    <d v="2025-02-11T00:00:00"/>
    <d v="2025-02-25T00:00:00"/>
    <x v="1"/>
    <x v="1"/>
    <n v="5"/>
    <x v="0"/>
    <x v="6"/>
    <x v="12"/>
    <x v="6"/>
    <x v="1"/>
  </r>
  <r>
    <x v="1074"/>
    <x v="2"/>
    <x v="12"/>
    <n v="110.9"/>
    <n v="443.6"/>
    <d v="2025-02-12T00:00:00"/>
    <d v="2025-02-12T00:00:00"/>
    <x v="1"/>
    <x v="2"/>
    <n v="2"/>
    <x v="0"/>
    <x v="6"/>
    <x v="7"/>
    <x v="6"/>
    <x v="1"/>
  </r>
  <r>
    <x v="1075"/>
    <x v="2"/>
    <x v="13"/>
    <n v="67.3"/>
    <n v="403.79999999999995"/>
    <d v="2025-02-12T00:00:00"/>
    <d v="2025-02-13T00:00:00"/>
    <x v="1"/>
    <x v="0"/>
    <n v="4"/>
    <x v="0"/>
    <x v="8"/>
    <x v="3"/>
    <x v="6"/>
    <x v="1"/>
  </r>
  <r>
    <x v="1076"/>
    <x v="6"/>
    <x v="2"/>
    <n v="69.7"/>
    <n v="209.10000000000002"/>
    <d v="2025-02-12T00:00:00"/>
    <d v="2025-02-13T00:00:00"/>
    <x v="1"/>
    <x v="2"/>
    <n v="3"/>
    <x v="0"/>
    <x v="8"/>
    <x v="3"/>
    <x v="6"/>
    <x v="1"/>
  </r>
  <r>
    <x v="1077"/>
    <x v="5"/>
    <x v="0"/>
    <n v="39.1"/>
    <n v="39.1"/>
    <d v="2025-02-12T00:00:00"/>
    <d v="2025-02-17T00:00:00"/>
    <x v="1"/>
    <x v="0"/>
    <n v="3"/>
    <x v="0"/>
    <x v="17"/>
    <x v="0"/>
    <x v="6"/>
    <x v="1"/>
  </r>
  <r>
    <x v="1078"/>
    <x v="2"/>
    <x v="2"/>
    <n v="208.6"/>
    <n v="625.79999999999995"/>
    <d v="2025-02-12T00:00:00"/>
    <d v="2025-02-12T00:00:00"/>
    <x v="1"/>
    <x v="4"/>
    <n v="5"/>
    <x v="0"/>
    <x v="17"/>
    <x v="7"/>
    <x v="6"/>
    <x v="1"/>
  </r>
  <r>
    <x v="1079"/>
    <x v="15"/>
    <x v="2"/>
    <n v="27.8"/>
    <n v="83.4"/>
    <d v="2025-02-12T00:00:00"/>
    <d v="2025-02-13T00:00:00"/>
    <x v="1"/>
    <x v="3"/>
    <n v="3"/>
    <x v="0"/>
    <x v="11"/>
    <x v="3"/>
    <x v="6"/>
    <x v="1"/>
  </r>
  <r>
    <x v="1080"/>
    <x v="10"/>
    <x v="9"/>
    <n v="29.4"/>
    <n v="147"/>
    <d v="2025-02-12T00:00:00"/>
    <d v="2025-02-14T00:00:00"/>
    <x v="2"/>
    <x v="0"/>
    <n v="4"/>
    <x v="0"/>
    <x v="11"/>
    <x v="1"/>
    <x v="6"/>
    <x v="2"/>
  </r>
  <r>
    <x v="1081"/>
    <x v="9"/>
    <x v="1"/>
    <n v="29.2"/>
    <n v="58.4"/>
    <d v="2025-02-12T00:00:00"/>
    <d v="2025-02-14T00:00:00"/>
    <x v="2"/>
    <x v="1"/>
    <n v="5"/>
    <x v="0"/>
    <x v="20"/>
    <x v="1"/>
    <x v="6"/>
    <x v="2"/>
  </r>
  <r>
    <x v="1082"/>
    <x v="10"/>
    <x v="9"/>
    <n v="26.5"/>
    <n v="132.5"/>
    <d v="2025-02-12T00:00:00"/>
    <d v="2025-02-14T00:00:00"/>
    <x v="2"/>
    <x v="0"/>
    <n v="4"/>
    <x v="0"/>
    <x v="52"/>
    <x v="1"/>
    <x v="6"/>
    <x v="2"/>
  </r>
  <r>
    <x v="1083"/>
    <x v="5"/>
    <x v="0"/>
    <n v="30.3"/>
    <n v="30.3"/>
    <d v="2025-02-12T00:00:00"/>
    <d v="2025-02-13T00:00:00"/>
    <x v="2"/>
    <x v="4"/>
    <n v="3"/>
    <x v="0"/>
    <x v="13"/>
    <x v="3"/>
    <x v="6"/>
    <x v="2"/>
  </r>
  <r>
    <x v="1084"/>
    <x v="16"/>
    <x v="4"/>
    <n v="39.700000000000003"/>
    <n v="476.40000000000003"/>
    <d v="2025-02-12T00:00:00"/>
    <d v="2025-02-13T00:00:00"/>
    <x v="2"/>
    <x v="0"/>
    <n v="4"/>
    <x v="0"/>
    <x v="21"/>
    <x v="3"/>
    <x v="6"/>
    <x v="2"/>
  </r>
  <r>
    <x v="1085"/>
    <x v="7"/>
    <x v="7"/>
    <n v="58.9"/>
    <n v="589"/>
    <d v="2025-02-12T00:00:00"/>
    <d v="2025-02-14T00:00:00"/>
    <x v="2"/>
    <x v="1"/>
    <n v="2"/>
    <x v="0"/>
    <x v="21"/>
    <x v="1"/>
    <x v="6"/>
    <x v="2"/>
  </r>
  <r>
    <x v="1086"/>
    <x v="2"/>
    <x v="1"/>
    <n v="174.1"/>
    <n v="348.2"/>
    <d v="2025-02-12T00:00:00"/>
    <d v="2025-02-14T00:00:00"/>
    <x v="2"/>
    <x v="0"/>
    <n v="3"/>
    <x v="0"/>
    <x v="46"/>
    <x v="1"/>
    <x v="6"/>
    <x v="2"/>
  </r>
  <r>
    <x v="1087"/>
    <x v="6"/>
    <x v="1"/>
    <n v="70.8"/>
    <n v="141.6"/>
    <d v="2025-02-12T00:00:00"/>
    <d v="2025-02-15T00:00:00"/>
    <x v="1"/>
    <x v="2"/>
    <n v="4"/>
    <x v="0"/>
    <x v="22"/>
    <x v="2"/>
    <x v="6"/>
    <x v="1"/>
  </r>
  <r>
    <x v="1088"/>
    <x v="7"/>
    <x v="1"/>
    <n v="57.4"/>
    <n v="114.8"/>
    <d v="2025-02-12T00:00:00"/>
    <d v="2025-02-14T00:00:00"/>
    <x v="2"/>
    <x v="1"/>
    <n v="3"/>
    <x v="0"/>
    <x v="34"/>
    <x v="1"/>
    <x v="6"/>
    <x v="2"/>
  </r>
  <r>
    <x v="1089"/>
    <x v="0"/>
    <x v="1"/>
    <n v="28.5"/>
    <n v="57"/>
    <d v="2025-02-12T00:00:00"/>
    <d v="2025-02-14T00:00:00"/>
    <x v="1"/>
    <x v="3"/>
    <n v="3"/>
    <x v="0"/>
    <x v="3"/>
    <x v="1"/>
    <x v="6"/>
    <x v="1"/>
  </r>
  <r>
    <x v="1090"/>
    <x v="2"/>
    <x v="28"/>
    <n v="106.6"/>
    <n v="2132"/>
    <d v="2025-02-12T00:00:00"/>
    <d v="2025-02-13T00:00:00"/>
    <x v="0"/>
    <x v="1"/>
    <n v="2"/>
    <x v="0"/>
    <x v="3"/>
    <x v="3"/>
    <x v="6"/>
    <x v="0"/>
  </r>
  <r>
    <x v="1091"/>
    <x v="2"/>
    <x v="2"/>
    <n v="119.7"/>
    <n v="359.1"/>
    <d v="2025-02-12T00:00:00"/>
    <d v="2025-02-13T00:00:00"/>
    <x v="2"/>
    <x v="1"/>
    <n v="2"/>
    <x v="0"/>
    <x v="3"/>
    <x v="3"/>
    <x v="6"/>
    <x v="2"/>
  </r>
  <r>
    <x v="1092"/>
    <x v="18"/>
    <x v="0"/>
    <n v="73.3"/>
    <n v="73.3"/>
    <d v="2025-02-12T00:00:00"/>
    <d v="2025-02-17T00:00:00"/>
    <x v="2"/>
    <x v="0"/>
    <n v="5"/>
    <x v="0"/>
    <x v="3"/>
    <x v="0"/>
    <x v="6"/>
    <x v="2"/>
  </r>
  <r>
    <x v="1093"/>
    <x v="0"/>
    <x v="1"/>
    <n v="25.8"/>
    <n v="51.6"/>
    <d v="2025-02-12T00:00:00"/>
    <d v="2025-02-26T00:00:00"/>
    <x v="1"/>
    <x v="2"/>
    <n v="4"/>
    <x v="0"/>
    <x v="3"/>
    <x v="12"/>
    <x v="6"/>
    <x v="1"/>
  </r>
  <r>
    <x v="1094"/>
    <x v="17"/>
    <x v="2"/>
    <n v="49.1"/>
    <n v="147.30000000000001"/>
    <d v="2025-02-12T00:00:00"/>
    <d v="2025-02-14T00:00:00"/>
    <x v="2"/>
    <x v="0"/>
    <n v="4"/>
    <x v="0"/>
    <x v="24"/>
    <x v="1"/>
    <x v="6"/>
    <x v="2"/>
  </r>
  <r>
    <x v="1095"/>
    <x v="1"/>
    <x v="0"/>
    <n v="44.9"/>
    <n v="44.9"/>
    <d v="2025-02-12T00:00:00"/>
    <d v="2025-02-15T00:00:00"/>
    <x v="2"/>
    <x v="3"/>
    <n v="5"/>
    <x v="0"/>
    <x v="6"/>
    <x v="2"/>
    <x v="6"/>
    <x v="2"/>
  </r>
  <r>
    <x v="1096"/>
    <x v="15"/>
    <x v="3"/>
    <n v="29.9"/>
    <n v="209.29999999999998"/>
    <d v="2025-02-12T00:00:00"/>
    <d v="2025-02-13T00:00:00"/>
    <x v="2"/>
    <x v="0"/>
    <n v="4"/>
    <x v="0"/>
    <x v="6"/>
    <x v="3"/>
    <x v="6"/>
    <x v="2"/>
  </r>
  <r>
    <x v="1097"/>
    <x v="7"/>
    <x v="1"/>
    <n v="54.3"/>
    <n v="108.6"/>
    <d v="2025-02-13T00:00:00"/>
    <d v="2025-02-14T00:00:00"/>
    <x v="1"/>
    <x v="3"/>
    <n v="4"/>
    <x v="0"/>
    <x v="36"/>
    <x v="3"/>
    <x v="6"/>
    <x v="1"/>
  </r>
  <r>
    <x v="1098"/>
    <x v="9"/>
    <x v="12"/>
    <n v="57"/>
    <n v="228"/>
    <d v="2025-02-13T00:00:00"/>
    <d v="2025-02-15T00:00:00"/>
    <x v="2"/>
    <x v="0"/>
    <n v="4"/>
    <x v="0"/>
    <x v="8"/>
    <x v="1"/>
    <x v="6"/>
    <x v="2"/>
  </r>
  <r>
    <x v="1099"/>
    <x v="2"/>
    <x v="0"/>
    <n v="139.19999999999999"/>
    <n v="139.19999999999999"/>
    <d v="2025-02-13T00:00:00"/>
    <d v="2025-02-14T00:00:00"/>
    <x v="2"/>
    <x v="3"/>
    <n v="5"/>
    <x v="0"/>
    <x v="8"/>
    <x v="3"/>
    <x v="6"/>
    <x v="2"/>
  </r>
  <r>
    <x v="1100"/>
    <x v="10"/>
    <x v="0"/>
    <n v="33"/>
    <n v="33"/>
    <d v="2025-02-13T00:00:00"/>
    <d v="2025-02-16T00:00:00"/>
    <x v="2"/>
    <x v="0"/>
    <n v="5"/>
    <x v="0"/>
    <x v="8"/>
    <x v="2"/>
    <x v="6"/>
    <x v="2"/>
  </r>
  <r>
    <x v="1101"/>
    <x v="11"/>
    <x v="13"/>
    <n v="80.2"/>
    <n v="481.20000000000005"/>
    <d v="2025-02-13T00:00:00"/>
    <d v="2025-02-15T00:00:00"/>
    <x v="1"/>
    <x v="1"/>
    <n v="2"/>
    <x v="0"/>
    <x v="8"/>
    <x v="1"/>
    <x v="6"/>
    <x v="1"/>
  </r>
  <r>
    <x v="1102"/>
    <x v="18"/>
    <x v="8"/>
    <n v="49"/>
    <n v="392"/>
    <d v="2025-02-13T00:00:00"/>
    <d v="2025-02-14T00:00:00"/>
    <x v="0"/>
    <x v="2"/>
    <n v="3"/>
    <x v="0"/>
    <x v="9"/>
    <x v="3"/>
    <x v="6"/>
    <x v="0"/>
  </r>
  <r>
    <x v="1103"/>
    <x v="1"/>
    <x v="12"/>
    <n v="104.4"/>
    <n v="417.6"/>
    <d v="2025-02-13T00:00:00"/>
    <d v="2025-02-13T00:00:00"/>
    <x v="2"/>
    <x v="0"/>
    <n v="4"/>
    <x v="0"/>
    <x v="9"/>
    <x v="7"/>
    <x v="6"/>
    <x v="2"/>
  </r>
  <r>
    <x v="1104"/>
    <x v="3"/>
    <x v="0"/>
    <n v="41.6"/>
    <n v="41.6"/>
    <d v="2025-02-13T00:00:00"/>
    <d v="2025-02-16T00:00:00"/>
    <x v="1"/>
    <x v="3"/>
    <n v="4"/>
    <x v="0"/>
    <x v="11"/>
    <x v="2"/>
    <x v="6"/>
    <x v="1"/>
  </r>
  <r>
    <x v="1105"/>
    <x v="19"/>
    <x v="1"/>
    <n v="16.399999999999999"/>
    <n v="32.799999999999997"/>
    <d v="2025-02-13T00:00:00"/>
    <d v="2025-02-14T00:00:00"/>
    <x v="3"/>
    <x v="0"/>
    <n v="5"/>
    <x v="0"/>
    <x v="11"/>
    <x v="3"/>
    <x v="6"/>
    <x v="3"/>
  </r>
  <r>
    <x v="1106"/>
    <x v="8"/>
    <x v="1"/>
    <n v="22"/>
    <n v="44"/>
    <d v="2025-02-13T00:00:00"/>
    <d v="2025-02-14T00:00:00"/>
    <x v="1"/>
    <x v="2"/>
    <n v="5"/>
    <x v="0"/>
    <x v="53"/>
    <x v="3"/>
    <x v="6"/>
    <x v="1"/>
  </r>
  <r>
    <x v="1107"/>
    <x v="15"/>
    <x v="1"/>
    <n v="33.6"/>
    <n v="67.2"/>
    <d v="2025-02-13T00:00:00"/>
    <d v="2025-02-18T00:00:00"/>
    <x v="2"/>
    <x v="0"/>
    <n v="4"/>
    <x v="0"/>
    <x v="21"/>
    <x v="0"/>
    <x v="6"/>
    <x v="2"/>
  </r>
  <r>
    <x v="1108"/>
    <x v="11"/>
    <x v="13"/>
    <n v="43"/>
    <n v="258"/>
    <d v="2025-02-13T00:00:00"/>
    <d v="2025-02-14T00:00:00"/>
    <x v="2"/>
    <x v="2"/>
    <n v="4"/>
    <x v="0"/>
    <x v="21"/>
    <x v="3"/>
    <x v="6"/>
    <x v="2"/>
  </r>
  <r>
    <x v="1109"/>
    <x v="6"/>
    <x v="9"/>
    <n v="108.8"/>
    <n v="544"/>
    <d v="2025-02-13T00:00:00"/>
    <d v="2025-02-16T00:00:00"/>
    <x v="2"/>
    <x v="4"/>
    <n v="5"/>
    <x v="0"/>
    <x v="21"/>
    <x v="2"/>
    <x v="6"/>
    <x v="2"/>
  </r>
  <r>
    <x v="1110"/>
    <x v="0"/>
    <x v="11"/>
    <n v="29.3"/>
    <n v="263.7"/>
    <d v="2025-02-13T00:00:00"/>
    <d v="2025-02-15T00:00:00"/>
    <x v="1"/>
    <x v="4"/>
    <n v="5"/>
    <x v="0"/>
    <x v="21"/>
    <x v="1"/>
    <x v="6"/>
    <x v="1"/>
  </r>
  <r>
    <x v="1111"/>
    <x v="2"/>
    <x v="0"/>
    <n v="122.7"/>
    <n v="122.7"/>
    <d v="2025-02-13T00:00:00"/>
    <d v="2025-02-16T00:00:00"/>
    <x v="3"/>
    <x v="0"/>
    <n v="5"/>
    <x v="0"/>
    <x v="1"/>
    <x v="2"/>
    <x v="6"/>
    <x v="3"/>
  </r>
  <r>
    <x v="1112"/>
    <x v="4"/>
    <x v="3"/>
    <n v="22.9"/>
    <n v="160.29999999999998"/>
    <d v="2025-02-13T00:00:00"/>
    <d v="2025-02-14T00:00:00"/>
    <x v="2"/>
    <x v="0"/>
    <n v="4"/>
    <x v="0"/>
    <x v="42"/>
    <x v="3"/>
    <x v="6"/>
    <x v="2"/>
  </r>
  <r>
    <x v="1113"/>
    <x v="8"/>
    <x v="7"/>
    <n v="25.5"/>
    <n v="255"/>
    <d v="2025-02-13T00:00:00"/>
    <d v="2025-02-20T00:00:00"/>
    <x v="2"/>
    <x v="0"/>
    <n v="4"/>
    <x v="0"/>
    <x v="33"/>
    <x v="6"/>
    <x v="6"/>
    <x v="2"/>
  </r>
  <r>
    <x v="1114"/>
    <x v="17"/>
    <x v="2"/>
    <n v="23.4"/>
    <n v="70.199999999999989"/>
    <d v="2025-02-13T00:00:00"/>
    <d v="2025-02-17T00:00:00"/>
    <x v="2"/>
    <x v="0"/>
    <n v="5"/>
    <x v="0"/>
    <x v="3"/>
    <x v="5"/>
    <x v="6"/>
    <x v="2"/>
  </r>
  <r>
    <x v="1115"/>
    <x v="5"/>
    <x v="8"/>
    <n v="27.4"/>
    <n v="219.2"/>
    <d v="2025-02-13T00:00:00"/>
    <d v="2025-02-16T00:00:00"/>
    <x v="2"/>
    <x v="2"/>
    <n v="4"/>
    <x v="0"/>
    <x v="3"/>
    <x v="2"/>
    <x v="6"/>
    <x v="2"/>
  </r>
  <r>
    <x v="1116"/>
    <x v="5"/>
    <x v="9"/>
    <n v="68.400000000000006"/>
    <n v="342"/>
    <d v="2025-02-13T00:00:00"/>
    <d v="2025-02-14T00:00:00"/>
    <x v="2"/>
    <x v="0"/>
    <n v="4"/>
    <x v="0"/>
    <x v="3"/>
    <x v="3"/>
    <x v="6"/>
    <x v="2"/>
  </r>
  <r>
    <x v="1117"/>
    <x v="6"/>
    <x v="0"/>
    <n v="51.9"/>
    <n v="51.9"/>
    <d v="2025-02-13T00:00:00"/>
    <d v="2025-02-13T00:00:00"/>
    <x v="2"/>
    <x v="0"/>
    <n v="4"/>
    <x v="0"/>
    <x v="3"/>
    <x v="7"/>
    <x v="6"/>
    <x v="2"/>
  </r>
  <r>
    <x v="1118"/>
    <x v="0"/>
    <x v="9"/>
    <n v="26.4"/>
    <n v="132"/>
    <d v="2025-02-13T00:00:00"/>
    <d v="2025-02-16T00:00:00"/>
    <x v="2"/>
    <x v="0"/>
    <n v="5"/>
    <x v="0"/>
    <x v="3"/>
    <x v="2"/>
    <x v="6"/>
    <x v="2"/>
  </r>
  <r>
    <x v="1119"/>
    <x v="12"/>
    <x v="1"/>
    <n v="117"/>
    <n v="234"/>
    <d v="2025-02-13T00:00:00"/>
    <d v="2025-02-14T00:00:00"/>
    <x v="2"/>
    <x v="1"/>
    <n v="3"/>
    <x v="0"/>
    <x v="3"/>
    <x v="3"/>
    <x v="6"/>
    <x v="2"/>
  </r>
  <r>
    <x v="1120"/>
    <x v="7"/>
    <x v="2"/>
    <n v="49.6"/>
    <n v="148.80000000000001"/>
    <d v="2025-02-14T00:00:00"/>
    <d v="2025-02-16T00:00:00"/>
    <x v="2"/>
    <x v="0"/>
    <n v="4"/>
    <x v="0"/>
    <x v="3"/>
    <x v="1"/>
    <x v="6"/>
    <x v="2"/>
  </r>
  <r>
    <x v="1121"/>
    <x v="4"/>
    <x v="2"/>
    <n v="38"/>
    <n v="114"/>
    <d v="2025-02-14T00:00:00"/>
    <d v="2025-02-17T00:00:00"/>
    <x v="1"/>
    <x v="2"/>
    <n v="2"/>
    <x v="0"/>
    <x v="3"/>
    <x v="2"/>
    <x v="6"/>
    <x v="1"/>
  </r>
  <r>
    <x v="1122"/>
    <x v="0"/>
    <x v="2"/>
    <n v="20.6"/>
    <n v="61.800000000000004"/>
    <d v="2025-02-14T00:00:00"/>
    <d v="2025-02-16T00:00:00"/>
    <x v="2"/>
    <x v="4"/>
    <n v="5"/>
    <x v="0"/>
    <x v="3"/>
    <x v="1"/>
    <x v="6"/>
    <x v="2"/>
  </r>
  <r>
    <x v="1123"/>
    <x v="0"/>
    <x v="1"/>
    <n v="16"/>
    <n v="32"/>
    <d v="2025-02-14T00:00:00"/>
    <d v="2025-02-15T00:00:00"/>
    <x v="1"/>
    <x v="1"/>
    <n v="3"/>
    <x v="0"/>
    <x v="49"/>
    <x v="3"/>
    <x v="6"/>
    <x v="1"/>
  </r>
  <r>
    <x v="1124"/>
    <x v="15"/>
    <x v="12"/>
    <n v="49.3"/>
    <n v="197.2"/>
    <d v="2025-02-14T00:00:00"/>
    <d v="2025-02-15T00:00:00"/>
    <x v="2"/>
    <x v="2"/>
    <n v="4"/>
    <x v="0"/>
    <x v="23"/>
    <x v="3"/>
    <x v="6"/>
    <x v="2"/>
  </r>
  <r>
    <x v="1125"/>
    <x v="9"/>
    <x v="1"/>
    <n v="24.1"/>
    <n v="48.2"/>
    <d v="2025-02-14T00:00:00"/>
    <d v="2025-02-18T00:00:00"/>
    <x v="2"/>
    <x v="0"/>
    <n v="4"/>
    <x v="0"/>
    <x v="6"/>
    <x v="5"/>
    <x v="6"/>
    <x v="2"/>
  </r>
  <r>
    <x v="1126"/>
    <x v="15"/>
    <x v="8"/>
    <n v="32.700000000000003"/>
    <n v="261.60000000000002"/>
    <d v="2025-02-14T00:00:00"/>
    <d v="2025-02-15T00:00:00"/>
    <x v="2"/>
    <x v="1"/>
    <n v="4"/>
    <x v="0"/>
    <x v="6"/>
    <x v="3"/>
    <x v="6"/>
    <x v="2"/>
  </r>
  <r>
    <x v="1127"/>
    <x v="6"/>
    <x v="2"/>
    <n v="74.400000000000006"/>
    <n v="223.20000000000002"/>
    <d v="2025-02-14T00:00:00"/>
    <d v="2025-02-15T00:00:00"/>
    <x v="2"/>
    <x v="3"/>
    <n v="5"/>
    <x v="0"/>
    <x v="8"/>
    <x v="3"/>
    <x v="6"/>
    <x v="2"/>
  </r>
  <r>
    <x v="1128"/>
    <x v="12"/>
    <x v="0"/>
    <n v="45.6"/>
    <n v="45.6"/>
    <d v="2025-02-14T00:00:00"/>
    <d v="2025-02-18T00:00:00"/>
    <x v="2"/>
    <x v="4"/>
    <n v="4"/>
    <x v="0"/>
    <x v="8"/>
    <x v="5"/>
    <x v="6"/>
    <x v="2"/>
  </r>
  <r>
    <x v="1129"/>
    <x v="8"/>
    <x v="8"/>
    <n v="19.600000000000001"/>
    <n v="156.80000000000001"/>
    <d v="2025-02-14T00:00:00"/>
    <d v="2025-02-27T00:00:00"/>
    <x v="2"/>
    <x v="0"/>
    <n v="4"/>
    <x v="0"/>
    <x v="8"/>
    <x v="10"/>
    <x v="6"/>
    <x v="2"/>
  </r>
  <r>
    <x v="1130"/>
    <x v="9"/>
    <x v="0"/>
    <n v="51.8"/>
    <n v="51.8"/>
    <d v="2025-02-14T00:00:00"/>
    <d v="2025-02-15T00:00:00"/>
    <x v="2"/>
    <x v="1"/>
    <n v="4"/>
    <x v="0"/>
    <x v="8"/>
    <x v="3"/>
    <x v="6"/>
    <x v="2"/>
  </r>
  <r>
    <x v="1131"/>
    <x v="6"/>
    <x v="0"/>
    <n v="74.7"/>
    <n v="74.7"/>
    <d v="2025-02-14T00:00:00"/>
    <d v="2025-02-15T00:00:00"/>
    <x v="1"/>
    <x v="0"/>
    <n v="3"/>
    <x v="0"/>
    <x v="8"/>
    <x v="3"/>
    <x v="6"/>
    <x v="1"/>
  </r>
  <r>
    <x v="1132"/>
    <x v="19"/>
    <x v="2"/>
    <n v="22.4"/>
    <n v="67.199999999999989"/>
    <d v="2025-02-14T00:00:00"/>
    <d v="2025-02-15T00:00:00"/>
    <x v="2"/>
    <x v="1"/>
    <n v="5"/>
    <x v="0"/>
    <x v="9"/>
    <x v="3"/>
    <x v="6"/>
    <x v="2"/>
  </r>
  <r>
    <x v="1133"/>
    <x v="1"/>
    <x v="12"/>
    <n v="31.4"/>
    <n v="125.6"/>
    <d v="2025-02-14T00:00:00"/>
    <d v="2025-02-15T00:00:00"/>
    <x v="2"/>
    <x v="1"/>
    <n v="4"/>
    <x v="0"/>
    <x v="9"/>
    <x v="3"/>
    <x v="6"/>
    <x v="2"/>
  </r>
  <r>
    <x v="1134"/>
    <x v="6"/>
    <x v="0"/>
    <n v="94"/>
    <n v="94"/>
    <d v="2025-02-14T00:00:00"/>
    <d v="2025-02-14T00:00:00"/>
    <x v="2"/>
    <x v="1"/>
    <n v="5"/>
    <x v="0"/>
    <x v="10"/>
    <x v="7"/>
    <x v="6"/>
    <x v="2"/>
  </r>
  <r>
    <x v="1135"/>
    <x v="10"/>
    <x v="0"/>
    <n v="22.3"/>
    <n v="22.3"/>
    <d v="2025-02-14T00:00:00"/>
    <d v="2025-02-15T00:00:00"/>
    <x v="1"/>
    <x v="4"/>
    <n v="4"/>
    <x v="0"/>
    <x v="20"/>
    <x v="3"/>
    <x v="6"/>
    <x v="1"/>
  </r>
  <r>
    <x v="1136"/>
    <x v="0"/>
    <x v="0"/>
    <n v="21.9"/>
    <n v="21.9"/>
    <d v="2025-02-14T00:00:00"/>
    <d v="2025-02-17T00:00:00"/>
    <x v="2"/>
    <x v="2"/>
    <n v="4"/>
    <x v="0"/>
    <x v="21"/>
    <x v="2"/>
    <x v="6"/>
    <x v="2"/>
  </r>
  <r>
    <x v="1137"/>
    <x v="17"/>
    <x v="2"/>
    <n v="27"/>
    <n v="81"/>
    <d v="2025-02-14T00:00:00"/>
    <d v="2025-02-16T00:00:00"/>
    <x v="2"/>
    <x v="4"/>
    <n v="5"/>
    <x v="0"/>
    <x v="2"/>
    <x v="1"/>
    <x v="6"/>
    <x v="2"/>
  </r>
  <r>
    <x v="1138"/>
    <x v="2"/>
    <x v="12"/>
    <n v="149.6"/>
    <n v="598.4"/>
    <d v="2025-02-14T00:00:00"/>
    <d v="2025-02-14T00:00:00"/>
    <x v="2"/>
    <x v="4"/>
    <n v="4"/>
    <x v="0"/>
    <x v="22"/>
    <x v="7"/>
    <x v="6"/>
    <x v="2"/>
  </r>
  <r>
    <x v="1139"/>
    <x v="2"/>
    <x v="12"/>
    <n v="129.1"/>
    <n v="516.4"/>
    <d v="2025-02-14T00:00:00"/>
    <d v="2025-02-24T00:00:00"/>
    <x v="1"/>
    <x v="0"/>
    <n v="3"/>
    <x v="0"/>
    <x v="3"/>
    <x v="14"/>
    <x v="6"/>
    <x v="1"/>
  </r>
  <r>
    <x v="1140"/>
    <x v="1"/>
    <x v="4"/>
    <n v="40.4"/>
    <n v="484.79999999999995"/>
    <d v="2025-02-14T00:00:00"/>
    <d v="2025-02-15T00:00:00"/>
    <x v="1"/>
    <x v="1"/>
    <n v="3"/>
    <x v="0"/>
    <x v="3"/>
    <x v="3"/>
    <x v="6"/>
    <x v="1"/>
  </r>
  <r>
    <x v="1141"/>
    <x v="4"/>
    <x v="2"/>
    <n v="48.5"/>
    <n v="145.5"/>
    <d v="2025-02-14T00:00:00"/>
    <d v="2025-02-16T00:00:00"/>
    <x v="2"/>
    <x v="0"/>
    <n v="2"/>
    <x v="0"/>
    <x v="3"/>
    <x v="1"/>
    <x v="6"/>
    <x v="2"/>
  </r>
  <r>
    <x v="1142"/>
    <x v="9"/>
    <x v="1"/>
    <n v="37.6"/>
    <n v="75.2"/>
    <d v="2025-02-14T00:00:00"/>
    <d v="2025-02-16T00:00:00"/>
    <x v="2"/>
    <x v="1"/>
    <n v="5"/>
    <x v="0"/>
    <x v="3"/>
    <x v="1"/>
    <x v="6"/>
    <x v="2"/>
  </r>
  <r>
    <x v="1143"/>
    <x v="8"/>
    <x v="1"/>
    <n v="19.600000000000001"/>
    <n v="39.200000000000003"/>
    <d v="2025-02-14T00:00:00"/>
    <d v="2025-02-15T00:00:00"/>
    <x v="1"/>
    <x v="3"/>
    <n v="2"/>
    <x v="0"/>
    <x v="43"/>
    <x v="3"/>
    <x v="6"/>
    <x v="1"/>
  </r>
  <r>
    <x v="1144"/>
    <x v="8"/>
    <x v="9"/>
    <n v="18.5"/>
    <n v="92.5"/>
    <d v="2025-02-14T00:00:00"/>
    <d v="2025-02-15T00:00:00"/>
    <x v="2"/>
    <x v="2"/>
    <n v="3"/>
    <x v="0"/>
    <x v="6"/>
    <x v="3"/>
    <x v="6"/>
    <x v="2"/>
  </r>
  <r>
    <x v="1145"/>
    <x v="5"/>
    <x v="2"/>
    <n v="25.5"/>
    <n v="76.5"/>
    <d v="2025-02-14T00:00:00"/>
    <d v="2025-02-16T00:00:00"/>
    <x v="2"/>
    <x v="4"/>
    <n v="3"/>
    <x v="0"/>
    <x v="6"/>
    <x v="1"/>
    <x v="6"/>
    <x v="2"/>
  </r>
  <r>
    <x v="1146"/>
    <x v="2"/>
    <x v="1"/>
    <n v="94.7"/>
    <n v="189.4"/>
    <d v="2025-02-14T00:00:00"/>
    <d v="2025-02-15T00:00:00"/>
    <x v="2"/>
    <x v="2"/>
    <n v="4"/>
    <x v="0"/>
    <x v="36"/>
    <x v="3"/>
    <x v="6"/>
    <x v="2"/>
  </r>
  <r>
    <x v="1147"/>
    <x v="1"/>
    <x v="13"/>
    <n v="38.799999999999997"/>
    <n v="232.79999999999998"/>
    <d v="2025-02-14T00:00:00"/>
    <d v="2025-02-19T00:00:00"/>
    <x v="2"/>
    <x v="2"/>
    <n v="5"/>
    <x v="0"/>
    <x v="8"/>
    <x v="0"/>
    <x v="6"/>
    <x v="2"/>
  </r>
  <r>
    <x v="1148"/>
    <x v="9"/>
    <x v="1"/>
    <n v="49.4"/>
    <n v="98.8"/>
    <d v="2025-02-15T00:00:00"/>
    <d v="2025-02-23T00:00:00"/>
    <x v="1"/>
    <x v="4"/>
    <n v="3"/>
    <x v="0"/>
    <x v="8"/>
    <x v="9"/>
    <x v="6"/>
    <x v="1"/>
  </r>
  <r>
    <x v="1149"/>
    <x v="7"/>
    <x v="2"/>
    <n v="68"/>
    <n v="204"/>
    <d v="2025-02-15T00:00:00"/>
    <d v="2025-02-18T00:00:00"/>
    <x v="1"/>
    <x v="0"/>
    <n v="5"/>
    <x v="0"/>
    <x v="8"/>
    <x v="2"/>
    <x v="6"/>
    <x v="1"/>
  </r>
  <r>
    <x v="1150"/>
    <x v="15"/>
    <x v="3"/>
    <n v="63.7"/>
    <n v="445.90000000000003"/>
    <d v="2025-02-15T00:00:00"/>
    <d v="2025-02-16T00:00:00"/>
    <x v="2"/>
    <x v="2"/>
    <n v="5"/>
    <x v="0"/>
    <x v="8"/>
    <x v="3"/>
    <x v="6"/>
    <x v="2"/>
  </r>
  <r>
    <x v="1151"/>
    <x v="10"/>
    <x v="1"/>
    <n v="66.2"/>
    <n v="132.4"/>
    <d v="2025-02-15T00:00:00"/>
    <d v="2025-02-16T00:00:00"/>
    <x v="2"/>
    <x v="4"/>
    <n v="5"/>
    <x v="0"/>
    <x v="17"/>
    <x v="3"/>
    <x v="6"/>
    <x v="2"/>
  </r>
  <r>
    <x v="1152"/>
    <x v="12"/>
    <x v="2"/>
    <n v="32.299999999999997"/>
    <n v="96.899999999999991"/>
    <d v="2025-02-15T00:00:00"/>
    <d v="2025-02-16T00:00:00"/>
    <x v="3"/>
    <x v="2"/>
    <n v="3"/>
    <x v="0"/>
    <x v="9"/>
    <x v="3"/>
    <x v="6"/>
    <x v="3"/>
  </r>
  <r>
    <x v="1153"/>
    <x v="4"/>
    <x v="1"/>
    <n v="66.900000000000006"/>
    <n v="133.80000000000001"/>
    <d v="2025-02-15T00:00:00"/>
    <d v="2025-02-18T00:00:00"/>
    <x v="1"/>
    <x v="1"/>
    <n v="4"/>
    <x v="0"/>
    <x v="11"/>
    <x v="2"/>
    <x v="6"/>
    <x v="1"/>
  </r>
  <r>
    <x v="1154"/>
    <x v="4"/>
    <x v="4"/>
    <n v="25.2"/>
    <n v="302.39999999999998"/>
    <d v="2025-02-15T00:00:00"/>
    <d v="2025-02-19T00:00:00"/>
    <x v="2"/>
    <x v="0"/>
    <n v="3"/>
    <x v="0"/>
    <x v="11"/>
    <x v="5"/>
    <x v="6"/>
    <x v="2"/>
  </r>
  <r>
    <x v="1155"/>
    <x v="10"/>
    <x v="13"/>
    <n v="29.5"/>
    <n v="177"/>
    <d v="2025-02-15T00:00:00"/>
    <d v="2025-02-16T00:00:00"/>
    <x v="1"/>
    <x v="2"/>
    <n v="4"/>
    <x v="0"/>
    <x v="11"/>
    <x v="3"/>
    <x v="6"/>
    <x v="1"/>
  </r>
  <r>
    <x v="1156"/>
    <x v="8"/>
    <x v="9"/>
    <n v="21.6"/>
    <n v="108"/>
    <d v="2025-02-15T00:00:00"/>
    <d v="2025-02-17T00:00:00"/>
    <x v="2"/>
    <x v="0"/>
    <n v="5"/>
    <x v="0"/>
    <x v="32"/>
    <x v="1"/>
    <x v="6"/>
    <x v="2"/>
  </r>
  <r>
    <x v="1157"/>
    <x v="12"/>
    <x v="2"/>
    <n v="69"/>
    <n v="207"/>
    <d v="2025-02-15T00:00:00"/>
    <d v="2025-02-16T00:00:00"/>
    <x v="2"/>
    <x v="0"/>
    <n v="4"/>
    <x v="0"/>
    <x v="18"/>
    <x v="3"/>
    <x v="6"/>
    <x v="2"/>
  </r>
  <r>
    <x v="1158"/>
    <x v="7"/>
    <x v="1"/>
    <n v="115"/>
    <n v="230"/>
    <d v="2025-02-15T00:00:00"/>
    <d v="2025-02-19T00:00:00"/>
    <x v="1"/>
    <x v="0"/>
    <n v="5"/>
    <x v="0"/>
    <x v="18"/>
    <x v="5"/>
    <x v="6"/>
    <x v="1"/>
  </r>
  <r>
    <x v="1159"/>
    <x v="2"/>
    <x v="1"/>
    <n v="109.3"/>
    <n v="218.6"/>
    <d v="2025-02-15T00:00:00"/>
    <d v="2025-02-17T00:00:00"/>
    <x v="0"/>
    <x v="3"/>
    <n v="3"/>
    <x v="0"/>
    <x v="19"/>
    <x v="1"/>
    <x v="6"/>
    <x v="0"/>
  </r>
  <r>
    <x v="1160"/>
    <x v="9"/>
    <x v="1"/>
    <n v="66.599999999999994"/>
    <n v="133.19999999999999"/>
    <d v="2025-02-15T00:00:00"/>
    <d v="2025-02-18T00:00:00"/>
    <x v="0"/>
    <x v="4"/>
    <n v="3"/>
    <x v="0"/>
    <x v="19"/>
    <x v="2"/>
    <x v="6"/>
    <x v="0"/>
  </r>
  <r>
    <x v="1161"/>
    <x v="12"/>
    <x v="9"/>
    <n v="47.7"/>
    <n v="238.5"/>
    <d v="2025-02-15T00:00:00"/>
    <d v="2025-02-16T00:00:00"/>
    <x v="1"/>
    <x v="3"/>
    <n v="5"/>
    <x v="0"/>
    <x v="21"/>
    <x v="3"/>
    <x v="6"/>
    <x v="1"/>
  </r>
  <r>
    <x v="1162"/>
    <x v="8"/>
    <x v="1"/>
    <n v="46"/>
    <n v="92"/>
    <d v="2025-02-15T00:00:00"/>
    <d v="2025-02-16T00:00:00"/>
    <x v="2"/>
    <x v="4"/>
    <n v="2"/>
    <x v="0"/>
    <x v="22"/>
    <x v="3"/>
    <x v="6"/>
    <x v="2"/>
  </r>
  <r>
    <x v="1163"/>
    <x v="1"/>
    <x v="13"/>
    <n v="39.299999999999997"/>
    <n v="235.79999999999998"/>
    <d v="2025-02-15T00:00:00"/>
    <d v="2025-02-17T00:00:00"/>
    <x v="1"/>
    <x v="3"/>
    <n v="5"/>
    <x v="0"/>
    <x v="3"/>
    <x v="1"/>
    <x v="6"/>
    <x v="1"/>
  </r>
  <r>
    <x v="1164"/>
    <x v="9"/>
    <x v="0"/>
    <n v="70.2"/>
    <n v="70.2"/>
    <d v="2025-02-15T00:00:00"/>
    <d v="2025-02-16T00:00:00"/>
    <x v="2"/>
    <x v="0"/>
    <n v="2"/>
    <x v="0"/>
    <x v="3"/>
    <x v="3"/>
    <x v="6"/>
    <x v="2"/>
  </r>
  <r>
    <x v="1165"/>
    <x v="3"/>
    <x v="12"/>
    <n v="71.5"/>
    <n v="286"/>
    <d v="2025-02-15T00:00:00"/>
    <d v="2025-02-15T00:00:00"/>
    <x v="2"/>
    <x v="1"/>
    <n v="5"/>
    <x v="0"/>
    <x v="3"/>
    <x v="7"/>
    <x v="6"/>
    <x v="2"/>
  </r>
  <r>
    <x v="1166"/>
    <x v="10"/>
    <x v="3"/>
    <n v="31"/>
    <n v="217"/>
    <d v="2025-02-15T00:00:00"/>
    <d v="2025-02-22T00:00:00"/>
    <x v="2"/>
    <x v="3"/>
    <n v="5"/>
    <x v="0"/>
    <x v="3"/>
    <x v="6"/>
    <x v="6"/>
    <x v="2"/>
  </r>
  <r>
    <x v="1167"/>
    <x v="2"/>
    <x v="9"/>
    <n v="68.2"/>
    <n v="341"/>
    <d v="2025-02-15T00:00:00"/>
    <d v="2025-02-20T00:00:00"/>
    <x v="2"/>
    <x v="0"/>
    <n v="5"/>
    <x v="0"/>
    <x v="3"/>
    <x v="0"/>
    <x v="6"/>
    <x v="2"/>
  </r>
  <r>
    <x v="1168"/>
    <x v="2"/>
    <x v="0"/>
    <n v="91.4"/>
    <n v="91.4"/>
    <d v="2025-02-15T00:00:00"/>
    <d v="2025-02-19T00:00:00"/>
    <x v="2"/>
    <x v="1"/>
    <n v="5"/>
    <x v="0"/>
    <x v="6"/>
    <x v="5"/>
    <x v="6"/>
    <x v="2"/>
  </r>
  <r>
    <x v="1169"/>
    <x v="6"/>
    <x v="7"/>
    <n v="112.9"/>
    <n v="1129"/>
    <d v="2025-02-15T00:00:00"/>
    <d v="2025-02-16T00:00:00"/>
    <x v="2"/>
    <x v="0"/>
    <n v="4"/>
    <x v="0"/>
    <x v="6"/>
    <x v="3"/>
    <x v="6"/>
    <x v="2"/>
  </r>
  <r>
    <x v="1170"/>
    <x v="17"/>
    <x v="11"/>
    <n v="33.700000000000003"/>
    <n v="303.3"/>
    <d v="2025-02-15T00:00:00"/>
    <d v="2025-02-16T00:00:00"/>
    <x v="2"/>
    <x v="1"/>
    <n v="5"/>
    <x v="0"/>
    <x v="8"/>
    <x v="3"/>
    <x v="6"/>
    <x v="2"/>
  </r>
  <r>
    <x v="1171"/>
    <x v="15"/>
    <x v="7"/>
    <n v="35.299999999999997"/>
    <n v="353"/>
    <d v="2025-02-15T00:00:00"/>
    <d v="2025-02-17T00:00:00"/>
    <x v="1"/>
    <x v="2"/>
    <n v="4"/>
    <x v="0"/>
    <x v="8"/>
    <x v="1"/>
    <x v="6"/>
    <x v="1"/>
  </r>
  <r>
    <x v="1172"/>
    <x v="18"/>
    <x v="2"/>
    <n v="45.6"/>
    <n v="136.80000000000001"/>
    <d v="2025-02-15T00:00:00"/>
    <d v="2025-02-19T00:00:00"/>
    <x v="1"/>
    <x v="3"/>
    <n v="4"/>
    <x v="0"/>
    <x v="8"/>
    <x v="5"/>
    <x v="6"/>
    <x v="1"/>
  </r>
  <r>
    <x v="1173"/>
    <x v="7"/>
    <x v="3"/>
    <n v="47.1"/>
    <n v="329.7"/>
    <d v="2025-02-15T00:00:00"/>
    <d v="2025-02-16T00:00:00"/>
    <x v="2"/>
    <x v="4"/>
    <n v="5"/>
    <x v="0"/>
    <x v="9"/>
    <x v="3"/>
    <x v="6"/>
    <x v="2"/>
  </r>
  <r>
    <x v="1174"/>
    <x v="8"/>
    <x v="9"/>
    <n v="16.2"/>
    <n v="81"/>
    <d v="2025-02-15T00:00:00"/>
    <d v="2025-02-17T00:00:00"/>
    <x v="2"/>
    <x v="3"/>
    <n v="5"/>
    <x v="0"/>
    <x v="19"/>
    <x v="1"/>
    <x v="6"/>
    <x v="2"/>
  </r>
  <r>
    <x v="1175"/>
    <x v="1"/>
    <x v="1"/>
    <n v="159.69999999999999"/>
    <n v="319.39999999999998"/>
    <d v="2025-02-16T00:00:00"/>
    <d v="2025-02-17T00:00:00"/>
    <x v="1"/>
    <x v="4"/>
    <n v="4"/>
    <x v="0"/>
    <x v="13"/>
    <x v="3"/>
    <x v="7"/>
    <x v="1"/>
  </r>
  <r>
    <x v="1176"/>
    <x v="8"/>
    <x v="12"/>
    <n v="19"/>
    <n v="76"/>
    <d v="2025-02-16T00:00:00"/>
    <d v="2025-02-23T00:00:00"/>
    <x v="2"/>
    <x v="2"/>
    <n v="5"/>
    <x v="0"/>
    <x v="21"/>
    <x v="6"/>
    <x v="7"/>
    <x v="2"/>
  </r>
  <r>
    <x v="1177"/>
    <x v="6"/>
    <x v="13"/>
    <n v="91.1"/>
    <n v="546.59999999999991"/>
    <d v="2025-02-16T00:00:00"/>
    <d v="2025-02-25T00:00:00"/>
    <x v="2"/>
    <x v="4"/>
    <n v="4"/>
    <x v="0"/>
    <x v="21"/>
    <x v="8"/>
    <x v="7"/>
    <x v="2"/>
  </r>
  <r>
    <x v="1178"/>
    <x v="2"/>
    <x v="9"/>
    <n v="94.1"/>
    <n v="470.5"/>
    <d v="2025-02-16T00:00:00"/>
    <d v="2025-02-19T00:00:00"/>
    <x v="0"/>
    <x v="1"/>
    <n v="3"/>
    <x v="0"/>
    <x v="21"/>
    <x v="2"/>
    <x v="7"/>
    <x v="0"/>
  </r>
  <r>
    <x v="1179"/>
    <x v="9"/>
    <x v="11"/>
    <n v="21.1"/>
    <n v="189.9"/>
    <d v="2025-02-16T00:00:00"/>
    <d v="2025-02-17T00:00:00"/>
    <x v="2"/>
    <x v="4"/>
    <n v="5"/>
    <x v="0"/>
    <x v="51"/>
    <x v="3"/>
    <x v="7"/>
    <x v="2"/>
  </r>
  <r>
    <x v="1180"/>
    <x v="8"/>
    <x v="3"/>
    <n v="15.3"/>
    <n v="107.10000000000001"/>
    <d v="2025-02-16T00:00:00"/>
    <d v="2025-02-24T00:00:00"/>
    <x v="2"/>
    <x v="2"/>
    <n v="4"/>
    <x v="0"/>
    <x v="1"/>
    <x v="9"/>
    <x v="7"/>
    <x v="2"/>
  </r>
  <r>
    <x v="1181"/>
    <x v="15"/>
    <x v="12"/>
    <n v="21.3"/>
    <n v="85.2"/>
    <d v="2025-02-16T00:00:00"/>
    <d v="2025-02-19T00:00:00"/>
    <x v="1"/>
    <x v="1"/>
    <n v="4"/>
    <x v="0"/>
    <x v="3"/>
    <x v="2"/>
    <x v="7"/>
    <x v="1"/>
  </r>
  <r>
    <x v="1182"/>
    <x v="0"/>
    <x v="1"/>
    <n v="23.2"/>
    <n v="46.4"/>
    <d v="2025-02-16T00:00:00"/>
    <d v="2025-02-16T00:00:00"/>
    <x v="0"/>
    <x v="3"/>
    <n v="3"/>
    <x v="0"/>
    <x v="3"/>
    <x v="7"/>
    <x v="7"/>
    <x v="0"/>
  </r>
  <r>
    <x v="1183"/>
    <x v="4"/>
    <x v="2"/>
    <n v="25.7"/>
    <n v="77.099999999999994"/>
    <d v="2025-02-16T00:00:00"/>
    <d v="2025-02-17T00:00:00"/>
    <x v="1"/>
    <x v="4"/>
    <n v="4"/>
    <x v="0"/>
    <x v="3"/>
    <x v="3"/>
    <x v="7"/>
    <x v="1"/>
  </r>
  <r>
    <x v="1184"/>
    <x v="0"/>
    <x v="11"/>
    <n v="31.6"/>
    <n v="284.40000000000003"/>
    <d v="2025-02-16T00:00:00"/>
    <d v="2025-02-18T00:00:00"/>
    <x v="2"/>
    <x v="0"/>
    <n v="4"/>
    <x v="0"/>
    <x v="3"/>
    <x v="1"/>
    <x v="7"/>
    <x v="2"/>
  </r>
  <r>
    <x v="1185"/>
    <x v="6"/>
    <x v="0"/>
    <n v="64.2"/>
    <n v="64.2"/>
    <d v="2025-02-16T00:00:00"/>
    <d v="2025-02-21T00:00:00"/>
    <x v="1"/>
    <x v="0"/>
    <n v="4"/>
    <x v="0"/>
    <x v="3"/>
    <x v="0"/>
    <x v="7"/>
    <x v="1"/>
  </r>
  <r>
    <x v="1186"/>
    <x v="8"/>
    <x v="1"/>
    <n v="55.8"/>
    <n v="111.6"/>
    <d v="2025-02-16T00:00:00"/>
    <d v="2025-02-18T00:00:00"/>
    <x v="0"/>
    <x v="0"/>
    <n v="4"/>
    <x v="0"/>
    <x v="3"/>
    <x v="1"/>
    <x v="7"/>
    <x v="0"/>
  </r>
  <r>
    <x v="1187"/>
    <x v="8"/>
    <x v="1"/>
    <n v="28.1"/>
    <n v="56.2"/>
    <d v="2025-02-16T00:00:00"/>
    <d v="2025-02-17T00:00:00"/>
    <x v="2"/>
    <x v="4"/>
    <n v="3"/>
    <x v="0"/>
    <x v="3"/>
    <x v="3"/>
    <x v="7"/>
    <x v="2"/>
  </r>
  <r>
    <x v="1188"/>
    <x v="0"/>
    <x v="1"/>
    <n v="11.6"/>
    <n v="23.2"/>
    <d v="2025-02-16T00:00:00"/>
    <d v="2025-02-18T00:00:00"/>
    <x v="2"/>
    <x v="1"/>
    <n v="4"/>
    <x v="0"/>
    <x v="24"/>
    <x v="1"/>
    <x v="7"/>
    <x v="2"/>
  </r>
  <r>
    <x v="1189"/>
    <x v="5"/>
    <x v="2"/>
    <n v="50.4"/>
    <n v="151.19999999999999"/>
    <d v="2025-02-16T00:00:00"/>
    <d v="2025-02-17T00:00:00"/>
    <x v="1"/>
    <x v="4"/>
    <n v="5"/>
    <x v="0"/>
    <x v="25"/>
    <x v="3"/>
    <x v="7"/>
    <x v="1"/>
  </r>
  <r>
    <x v="1190"/>
    <x v="6"/>
    <x v="13"/>
    <n v="48.3"/>
    <n v="289.79999999999995"/>
    <d v="2025-02-16T00:00:00"/>
    <d v="2025-02-20T00:00:00"/>
    <x v="2"/>
    <x v="0"/>
    <n v="4"/>
    <x v="0"/>
    <x v="25"/>
    <x v="5"/>
    <x v="7"/>
    <x v="2"/>
  </r>
  <r>
    <x v="1191"/>
    <x v="17"/>
    <x v="3"/>
    <n v="32.200000000000003"/>
    <n v="225.40000000000003"/>
    <d v="2025-02-16T00:00:00"/>
    <d v="2025-02-18T00:00:00"/>
    <x v="2"/>
    <x v="2"/>
    <n v="4"/>
    <x v="0"/>
    <x v="25"/>
    <x v="1"/>
    <x v="7"/>
    <x v="2"/>
  </r>
  <r>
    <x v="1192"/>
    <x v="7"/>
    <x v="31"/>
    <n v="48.5"/>
    <n v="1358"/>
    <d v="2025-02-16T00:00:00"/>
    <d v="2025-02-17T00:00:00"/>
    <x v="1"/>
    <x v="0"/>
    <n v="4"/>
    <x v="0"/>
    <x v="5"/>
    <x v="3"/>
    <x v="7"/>
    <x v="1"/>
  </r>
  <r>
    <x v="1193"/>
    <x v="2"/>
    <x v="9"/>
    <n v="62"/>
    <n v="310"/>
    <d v="2025-02-16T00:00:00"/>
    <d v="2025-02-19T00:00:00"/>
    <x v="2"/>
    <x v="1"/>
    <n v="4"/>
    <x v="0"/>
    <x v="6"/>
    <x v="2"/>
    <x v="7"/>
    <x v="2"/>
  </r>
  <r>
    <x v="1194"/>
    <x v="8"/>
    <x v="2"/>
    <n v="32.1"/>
    <n v="96.300000000000011"/>
    <d v="2025-02-17T00:00:00"/>
    <d v="2025-02-19T00:00:00"/>
    <x v="1"/>
    <x v="0"/>
    <n v="4"/>
    <x v="0"/>
    <x v="6"/>
    <x v="1"/>
    <x v="7"/>
    <x v="1"/>
  </r>
  <r>
    <x v="1195"/>
    <x v="12"/>
    <x v="2"/>
    <n v="106.1"/>
    <n v="318.29999999999995"/>
    <d v="2025-02-17T00:00:00"/>
    <d v="2025-02-19T00:00:00"/>
    <x v="1"/>
    <x v="0"/>
    <n v="3"/>
    <x v="0"/>
    <x v="7"/>
    <x v="1"/>
    <x v="7"/>
    <x v="1"/>
  </r>
  <r>
    <x v="1196"/>
    <x v="10"/>
    <x v="2"/>
    <n v="23.5"/>
    <n v="70.5"/>
    <d v="2025-02-17T00:00:00"/>
    <d v="2025-02-20T00:00:00"/>
    <x v="1"/>
    <x v="0"/>
    <n v="2"/>
    <x v="0"/>
    <x v="7"/>
    <x v="2"/>
    <x v="7"/>
    <x v="1"/>
  </r>
  <r>
    <x v="1197"/>
    <x v="1"/>
    <x v="1"/>
    <n v="35.6"/>
    <n v="71.2"/>
    <d v="2025-02-17T00:00:00"/>
    <d v="2025-02-22T00:00:00"/>
    <x v="1"/>
    <x v="4"/>
    <n v="4"/>
    <x v="0"/>
    <x v="8"/>
    <x v="0"/>
    <x v="7"/>
    <x v="1"/>
  </r>
  <r>
    <x v="1198"/>
    <x v="1"/>
    <x v="1"/>
    <n v="63.5"/>
    <n v="127"/>
    <d v="2025-02-17T00:00:00"/>
    <d v="2025-02-17T00:00:00"/>
    <x v="2"/>
    <x v="1"/>
    <n v="5"/>
    <x v="0"/>
    <x v="8"/>
    <x v="7"/>
    <x v="7"/>
    <x v="2"/>
  </r>
  <r>
    <x v="1199"/>
    <x v="6"/>
    <x v="3"/>
    <n v="82.9"/>
    <n v="580.30000000000007"/>
    <d v="2025-02-17T00:00:00"/>
    <d v="2025-02-22T00:00:00"/>
    <x v="2"/>
    <x v="4"/>
    <n v="4"/>
    <x v="0"/>
    <x v="9"/>
    <x v="0"/>
    <x v="7"/>
    <x v="2"/>
  </r>
  <r>
    <x v="1200"/>
    <x v="6"/>
    <x v="1"/>
    <n v="83.6"/>
    <n v="167.2"/>
    <d v="2025-02-17T00:00:00"/>
    <d v="2025-02-22T00:00:00"/>
    <x v="2"/>
    <x v="0"/>
    <n v="4"/>
    <x v="0"/>
    <x v="11"/>
    <x v="0"/>
    <x v="7"/>
    <x v="2"/>
  </r>
  <r>
    <x v="1201"/>
    <x v="4"/>
    <x v="1"/>
    <n v="29.4"/>
    <n v="58.8"/>
    <d v="2025-02-17T00:00:00"/>
    <d v="2025-02-17T00:00:00"/>
    <x v="2"/>
    <x v="0"/>
    <n v="3"/>
    <x v="0"/>
    <x v="30"/>
    <x v="7"/>
    <x v="7"/>
    <x v="2"/>
  </r>
  <r>
    <x v="1202"/>
    <x v="2"/>
    <x v="2"/>
    <n v="107.1"/>
    <n v="321.29999999999995"/>
    <d v="2025-02-17T00:00:00"/>
    <d v="2025-02-21T00:00:00"/>
    <x v="2"/>
    <x v="2"/>
    <n v="4"/>
    <x v="0"/>
    <x v="20"/>
    <x v="5"/>
    <x v="7"/>
    <x v="2"/>
  </r>
  <r>
    <x v="1203"/>
    <x v="2"/>
    <x v="0"/>
    <n v="62.7"/>
    <n v="62.7"/>
    <d v="2025-02-17T00:00:00"/>
    <d v="2025-02-21T00:00:00"/>
    <x v="1"/>
    <x v="1"/>
    <n v="4"/>
    <x v="0"/>
    <x v="21"/>
    <x v="5"/>
    <x v="7"/>
    <x v="1"/>
  </r>
  <r>
    <x v="1204"/>
    <x v="11"/>
    <x v="0"/>
    <n v="41.6"/>
    <n v="41.6"/>
    <d v="2025-02-17T00:00:00"/>
    <d v="2025-02-18T00:00:00"/>
    <x v="1"/>
    <x v="0"/>
    <n v="3"/>
    <x v="0"/>
    <x v="1"/>
    <x v="3"/>
    <x v="7"/>
    <x v="1"/>
  </r>
  <r>
    <x v="1205"/>
    <x v="6"/>
    <x v="0"/>
    <n v="44.2"/>
    <n v="44.2"/>
    <d v="2025-02-17T00:00:00"/>
    <d v="2025-02-18T00:00:00"/>
    <x v="3"/>
    <x v="0"/>
    <n v="3"/>
    <x v="0"/>
    <x v="1"/>
    <x v="3"/>
    <x v="7"/>
    <x v="3"/>
  </r>
  <r>
    <x v="1206"/>
    <x v="4"/>
    <x v="13"/>
    <n v="40.4"/>
    <n v="242.39999999999998"/>
    <d v="2025-02-17T00:00:00"/>
    <d v="2025-03-02T00:00:00"/>
    <x v="2"/>
    <x v="2"/>
    <n v="4"/>
    <x v="0"/>
    <x v="22"/>
    <x v="10"/>
    <x v="7"/>
    <x v="2"/>
  </r>
  <r>
    <x v="1207"/>
    <x v="15"/>
    <x v="13"/>
    <n v="59.6"/>
    <n v="357.6"/>
    <d v="2025-02-17T00:00:00"/>
    <d v="2025-02-18T00:00:00"/>
    <x v="2"/>
    <x v="4"/>
    <n v="4"/>
    <x v="0"/>
    <x v="34"/>
    <x v="3"/>
    <x v="7"/>
    <x v="2"/>
  </r>
  <r>
    <x v="1208"/>
    <x v="17"/>
    <x v="4"/>
    <n v="63.8"/>
    <n v="765.59999999999991"/>
    <d v="2025-02-17T00:00:00"/>
    <d v="2025-02-18T00:00:00"/>
    <x v="1"/>
    <x v="1"/>
    <n v="4"/>
    <x v="0"/>
    <x v="3"/>
    <x v="3"/>
    <x v="7"/>
    <x v="1"/>
  </r>
  <r>
    <x v="1209"/>
    <x v="9"/>
    <x v="13"/>
    <n v="30.8"/>
    <n v="184.8"/>
    <d v="2025-02-17T00:00:00"/>
    <d v="2025-02-19T00:00:00"/>
    <x v="1"/>
    <x v="4"/>
    <n v="4"/>
    <x v="0"/>
    <x v="3"/>
    <x v="1"/>
    <x v="7"/>
    <x v="1"/>
  </r>
  <r>
    <x v="1210"/>
    <x v="1"/>
    <x v="1"/>
    <n v="41.5"/>
    <n v="83"/>
    <d v="2025-02-17T00:00:00"/>
    <d v="2025-02-20T00:00:00"/>
    <x v="3"/>
    <x v="0"/>
    <n v="4"/>
    <x v="0"/>
    <x v="3"/>
    <x v="2"/>
    <x v="7"/>
    <x v="3"/>
  </r>
  <r>
    <x v="1211"/>
    <x v="10"/>
    <x v="12"/>
    <n v="44.7"/>
    <n v="178.8"/>
    <d v="2025-02-17T00:00:00"/>
    <d v="2025-02-19T00:00:00"/>
    <x v="2"/>
    <x v="2"/>
    <n v="3"/>
    <x v="0"/>
    <x v="3"/>
    <x v="1"/>
    <x v="7"/>
    <x v="2"/>
  </r>
  <r>
    <x v="1212"/>
    <x v="12"/>
    <x v="1"/>
    <n v="64.099999999999994"/>
    <n v="128.19999999999999"/>
    <d v="2025-02-17T00:00:00"/>
    <d v="2025-02-21T00:00:00"/>
    <x v="2"/>
    <x v="1"/>
    <n v="2"/>
    <x v="0"/>
    <x v="3"/>
    <x v="5"/>
    <x v="7"/>
    <x v="2"/>
  </r>
  <r>
    <x v="1213"/>
    <x v="8"/>
    <x v="0"/>
    <n v="15.9"/>
    <n v="15.9"/>
    <d v="2025-02-17T00:00:00"/>
    <d v="2025-02-20T00:00:00"/>
    <x v="0"/>
    <x v="1"/>
    <n v="4"/>
    <x v="0"/>
    <x v="3"/>
    <x v="2"/>
    <x v="7"/>
    <x v="0"/>
  </r>
  <r>
    <x v="1214"/>
    <x v="6"/>
    <x v="1"/>
    <n v="78.7"/>
    <n v="157.4"/>
    <d v="2025-02-17T00:00:00"/>
    <d v="2025-02-17T00:00:00"/>
    <x v="2"/>
    <x v="2"/>
    <n v="3"/>
    <x v="0"/>
    <x v="3"/>
    <x v="7"/>
    <x v="7"/>
    <x v="2"/>
  </r>
  <r>
    <x v="1215"/>
    <x v="5"/>
    <x v="4"/>
    <n v="29.6"/>
    <n v="355.20000000000005"/>
    <d v="2025-02-17T00:00:00"/>
    <d v="2025-02-21T00:00:00"/>
    <x v="1"/>
    <x v="2"/>
    <n v="2"/>
    <x v="0"/>
    <x v="3"/>
    <x v="5"/>
    <x v="7"/>
    <x v="1"/>
  </r>
  <r>
    <x v="1216"/>
    <x v="8"/>
    <x v="12"/>
    <n v="21.5"/>
    <n v="86"/>
    <d v="2025-02-17T00:00:00"/>
    <d v="2025-02-20T00:00:00"/>
    <x v="1"/>
    <x v="1"/>
    <n v="4"/>
    <x v="0"/>
    <x v="3"/>
    <x v="2"/>
    <x v="7"/>
    <x v="1"/>
  </r>
  <r>
    <x v="1217"/>
    <x v="9"/>
    <x v="2"/>
    <n v="74.900000000000006"/>
    <n v="224.70000000000002"/>
    <d v="2025-02-17T00:00:00"/>
    <d v="2025-02-26T00:00:00"/>
    <x v="1"/>
    <x v="3"/>
    <n v="3"/>
    <x v="0"/>
    <x v="3"/>
    <x v="8"/>
    <x v="7"/>
    <x v="1"/>
  </r>
  <r>
    <x v="1218"/>
    <x v="10"/>
    <x v="13"/>
    <n v="45"/>
    <n v="270"/>
    <d v="2025-02-17T00:00:00"/>
    <d v="2025-02-22T00:00:00"/>
    <x v="2"/>
    <x v="2"/>
    <n v="4"/>
    <x v="0"/>
    <x v="3"/>
    <x v="0"/>
    <x v="7"/>
    <x v="2"/>
  </r>
  <r>
    <x v="1219"/>
    <x v="7"/>
    <x v="33"/>
    <n v="37.9"/>
    <n v="1288.5999999999999"/>
    <d v="2025-02-17T00:00:00"/>
    <d v="2025-02-18T00:00:00"/>
    <x v="1"/>
    <x v="0"/>
    <n v="4"/>
    <x v="0"/>
    <x v="3"/>
    <x v="3"/>
    <x v="7"/>
    <x v="1"/>
  </r>
  <r>
    <x v="1220"/>
    <x v="6"/>
    <x v="2"/>
    <n v="56.6"/>
    <n v="169.8"/>
    <d v="2025-02-17T00:00:00"/>
    <d v="2025-02-18T00:00:00"/>
    <x v="1"/>
    <x v="3"/>
    <n v="4"/>
    <x v="0"/>
    <x v="3"/>
    <x v="3"/>
    <x v="7"/>
    <x v="1"/>
  </r>
  <r>
    <x v="1221"/>
    <x v="3"/>
    <x v="15"/>
    <n v="84.5"/>
    <n v="1098.5"/>
    <d v="2025-02-17T00:00:00"/>
    <d v="2025-02-20T00:00:00"/>
    <x v="2"/>
    <x v="1"/>
    <n v="2"/>
    <x v="0"/>
    <x v="3"/>
    <x v="2"/>
    <x v="7"/>
    <x v="2"/>
  </r>
  <r>
    <x v="1222"/>
    <x v="2"/>
    <x v="9"/>
    <n v="105.4"/>
    <n v="527"/>
    <d v="2025-02-17T00:00:00"/>
    <d v="2025-02-19T00:00:00"/>
    <x v="2"/>
    <x v="1"/>
    <n v="3"/>
    <x v="0"/>
    <x v="3"/>
    <x v="1"/>
    <x v="7"/>
    <x v="2"/>
  </r>
  <r>
    <x v="1223"/>
    <x v="18"/>
    <x v="3"/>
    <n v="39.4"/>
    <n v="275.8"/>
    <d v="2025-02-18T00:00:00"/>
    <d v="2025-02-18T00:00:00"/>
    <x v="1"/>
    <x v="1"/>
    <n v="4"/>
    <x v="0"/>
    <x v="37"/>
    <x v="7"/>
    <x v="7"/>
    <x v="1"/>
  </r>
  <r>
    <x v="1224"/>
    <x v="19"/>
    <x v="2"/>
    <n v="38"/>
    <n v="114"/>
    <d v="2025-02-18T00:00:00"/>
    <d v="2025-02-21T00:00:00"/>
    <x v="1"/>
    <x v="4"/>
    <n v="3"/>
    <x v="0"/>
    <x v="6"/>
    <x v="2"/>
    <x v="7"/>
    <x v="1"/>
  </r>
  <r>
    <x v="1225"/>
    <x v="17"/>
    <x v="12"/>
    <n v="42.5"/>
    <n v="170"/>
    <d v="2025-02-18T00:00:00"/>
    <d v="2025-02-20T00:00:00"/>
    <x v="0"/>
    <x v="0"/>
    <n v="4"/>
    <x v="0"/>
    <x v="6"/>
    <x v="1"/>
    <x v="7"/>
    <x v="0"/>
  </r>
  <r>
    <x v="1226"/>
    <x v="15"/>
    <x v="0"/>
    <n v="62.3"/>
    <n v="62.3"/>
    <d v="2025-02-18T00:00:00"/>
    <d v="2025-02-27T00:00:00"/>
    <x v="1"/>
    <x v="0"/>
    <n v="5"/>
    <x v="0"/>
    <x v="6"/>
    <x v="8"/>
    <x v="7"/>
    <x v="1"/>
  </r>
  <r>
    <x v="1227"/>
    <x v="6"/>
    <x v="9"/>
    <n v="49.1"/>
    <n v="245.5"/>
    <d v="2025-02-18T00:00:00"/>
    <d v="2025-02-20T00:00:00"/>
    <x v="2"/>
    <x v="1"/>
    <n v="5"/>
    <x v="0"/>
    <x v="7"/>
    <x v="1"/>
    <x v="7"/>
    <x v="2"/>
  </r>
  <r>
    <x v="1228"/>
    <x v="3"/>
    <x v="1"/>
    <n v="30.5"/>
    <n v="61"/>
    <d v="2025-02-18T00:00:00"/>
    <d v="2025-02-21T00:00:00"/>
    <x v="1"/>
    <x v="0"/>
    <n v="5"/>
    <x v="0"/>
    <x v="8"/>
    <x v="2"/>
    <x v="7"/>
    <x v="1"/>
  </r>
  <r>
    <x v="1229"/>
    <x v="2"/>
    <x v="1"/>
    <n v="154.80000000000001"/>
    <n v="309.60000000000002"/>
    <d v="2025-02-18T00:00:00"/>
    <d v="2025-02-21T00:00:00"/>
    <x v="2"/>
    <x v="1"/>
    <n v="2"/>
    <x v="0"/>
    <x v="8"/>
    <x v="2"/>
    <x v="7"/>
    <x v="2"/>
  </r>
  <r>
    <x v="1230"/>
    <x v="6"/>
    <x v="0"/>
    <n v="45"/>
    <n v="45"/>
    <d v="2025-02-18T00:00:00"/>
    <d v="2025-02-22T00:00:00"/>
    <x v="1"/>
    <x v="3"/>
    <n v="3"/>
    <x v="0"/>
    <x v="8"/>
    <x v="5"/>
    <x v="7"/>
    <x v="1"/>
  </r>
  <r>
    <x v="1231"/>
    <x v="0"/>
    <x v="3"/>
    <n v="15.3"/>
    <n v="107.10000000000001"/>
    <d v="2025-02-18T00:00:00"/>
    <d v="2025-02-19T00:00:00"/>
    <x v="1"/>
    <x v="0"/>
    <n v="5"/>
    <x v="0"/>
    <x v="8"/>
    <x v="3"/>
    <x v="7"/>
    <x v="1"/>
  </r>
  <r>
    <x v="1232"/>
    <x v="2"/>
    <x v="5"/>
    <n v="88.6"/>
    <n v="974.59999999999991"/>
    <d v="2025-02-18T00:00:00"/>
    <d v="2025-02-21T00:00:00"/>
    <x v="2"/>
    <x v="0"/>
    <n v="2"/>
    <x v="0"/>
    <x v="17"/>
    <x v="2"/>
    <x v="7"/>
    <x v="2"/>
  </r>
  <r>
    <x v="1233"/>
    <x v="9"/>
    <x v="1"/>
    <n v="49.7"/>
    <n v="99.4"/>
    <d v="2025-02-18T00:00:00"/>
    <d v="2025-02-20T00:00:00"/>
    <x v="3"/>
    <x v="4"/>
    <n v="4"/>
    <x v="0"/>
    <x v="10"/>
    <x v="1"/>
    <x v="7"/>
    <x v="3"/>
  </r>
  <r>
    <x v="1234"/>
    <x v="10"/>
    <x v="0"/>
    <n v="29"/>
    <n v="29"/>
    <d v="2025-02-18T00:00:00"/>
    <d v="2025-02-19T00:00:00"/>
    <x v="1"/>
    <x v="0"/>
    <n v="4"/>
    <x v="0"/>
    <x v="11"/>
    <x v="3"/>
    <x v="7"/>
    <x v="1"/>
  </r>
  <r>
    <x v="1235"/>
    <x v="1"/>
    <x v="0"/>
    <n v="60.7"/>
    <n v="60.7"/>
    <d v="2025-02-18T00:00:00"/>
    <d v="2025-02-19T00:00:00"/>
    <x v="3"/>
    <x v="0"/>
    <n v="3"/>
    <x v="0"/>
    <x v="11"/>
    <x v="3"/>
    <x v="7"/>
    <x v="3"/>
  </r>
  <r>
    <x v="1236"/>
    <x v="17"/>
    <x v="12"/>
    <n v="87.4"/>
    <n v="349.6"/>
    <d v="2025-02-18T00:00:00"/>
    <d v="2025-02-20T00:00:00"/>
    <x v="0"/>
    <x v="0"/>
    <n v="4"/>
    <x v="0"/>
    <x v="11"/>
    <x v="1"/>
    <x v="7"/>
    <x v="0"/>
  </r>
  <r>
    <x v="1237"/>
    <x v="4"/>
    <x v="3"/>
    <n v="44.5"/>
    <n v="311.5"/>
    <d v="2025-02-18T00:00:00"/>
    <d v="2025-02-22T00:00:00"/>
    <x v="2"/>
    <x v="2"/>
    <n v="5"/>
    <x v="0"/>
    <x v="19"/>
    <x v="5"/>
    <x v="7"/>
    <x v="2"/>
  </r>
  <r>
    <x v="1238"/>
    <x v="2"/>
    <x v="0"/>
    <n v="141"/>
    <n v="141"/>
    <d v="2025-02-18T00:00:00"/>
    <d v="2025-02-19T00:00:00"/>
    <x v="1"/>
    <x v="4"/>
    <n v="5"/>
    <x v="0"/>
    <x v="19"/>
    <x v="3"/>
    <x v="7"/>
    <x v="1"/>
  </r>
  <r>
    <x v="1239"/>
    <x v="0"/>
    <x v="2"/>
    <n v="16.7"/>
    <n v="50.099999999999994"/>
    <d v="2025-02-18T00:00:00"/>
    <d v="2025-02-26T00:00:00"/>
    <x v="2"/>
    <x v="0"/>
    <n v="4"/>
    <x v="0"/>
    <x v="20"/>
    <x v="9"/>
    <x v="7"/>
    <x v="2"/>
  </r>
  <r>
    <x v="1240"/>
    <x v="1"/>
    <x v="1"/>
    <n v="77.5"/>
    <n v="155"/>
    <d v="2025-02-18T00:00:00"/>
    <d v="2025-02-19T00:00:00"/>
    <x v="0"/>
    <x v="2"/>
    <n v="5"/>
    <x v="0"/>
    <x v="13"/>
    <x v="3"/>
    <x v="7"/>
    <x v="0"/>
  </r>
  <r>
    <x v="1241"/>
    <x v="2"/>
    <x v="1"/>
    <n v="163"/>
    <n v="326"/>
    <d v="2025-02-18T00:00:00"/>
    <d v="2025-02-24T00:00:00"/>
    <x v="2"/>
    <x v="4"/>
    <n v="4"/>
    <x v="0"/>
    <x v="21"/>
    <x v="4"/>
    <x v="7"/>
    <x v="2"/>
  </r>
  <r>
    <x v="1242"/>
    <x v="4"/>
    <x v="11"/>
    <n v="21.4"/>
    <n v="192.6"/>
    <d v="2025-02-18T00:00:00"/>
    <d v="2025-02-21T00:00:00"/>
    <x v="2"/>
    <x v="0"/>
    <n v="4"/>
    <x v="0"/>
    <x v="51"/>
    <x v="2"/>
    <x v="7"/>
    <x v="2"/>
  </r>
  <r>
    <x v="1243"/>
    <x v="10"/>
    <x v="5"/>
    <n v="31"/>
    <n v="341"/>
    <d v="2025-02-18T00:00:00"/>
    <d v="2025-02-20T00:00:00"/>
    <x v="2"/>
    <x v="3"/>
    <n v="5"/>
    <x v="0"/>
    <x v="1"/>
    <x v="1"/>
    <x v="7"/>
    <x v="2"/>
  </r>
  <r>
    <x v="1244"/>
    <x v="7"/>
    <x v="1"/>
    <n v="34.299999999999997"/>
    <n v="68.599999999999994"/>
    <d v="2025-02-18T00:00:00"/>
    <d v="2025-02-20T00:00:00"/>
    <x v="2"/>
    <x v="0"/>
    <n v="1"/>
    <x v="0"/>
    <x v="1"/>
    <x v="1"/>
    <x v="7"/>
    <x v="2"/>
  </r>
  <r>
    <x v="1245"/>
    <x v="17"/>
    <x v="9"/>
    <n v="48.2"/>
    <n v="241"/>
    <d v="2025-02-18T00:00:00"/>
    <d v="2025-02-19T00:00:00"/>
    <x v="1"/>
    <x v="1"/>
    <n v="3"/>
    <x v="0"/>
    <x v="2"/>
    <x v="3"/>
    <x v="7"/>
    <x v="1"/>
  </r>
  <r>
    <x v="1246"/>
    <x v="10"/>
    <x v="0"/>
    <n v="51.4"/>
    <n v="51.4"/>
    <d v="2025-02-18T00:00:00"/>
    <d v="2025-02-19T00:00:00"/>
    <x v="1"/>
    <x v="0"/>
    <n v="4"/>
    <x v="0"/>
    <x v="3"/>
    <x v="3"/>
    <x v="7"/>
    <x v="1"/>
  </r>
  <r>
    <x v="1247"/>
    <x v="2"/>
    <x v="9"/>
    <n v="117.2"/>
    <n v="586"/>
    <d v="2025-02-18T00:00:00"/>
    <d v="2025-02-21T00:00:00"/>
    <x v="2"/>
    <x v="4"/>
    <n v="2"/>
    <x v="0"/>
    <x v="3"/>
    <x v="2"/>
    <x v="7"/>
    <x v="2"/>
  </r>
  <r>
    <x v="1248"/>
    <x v="8"/>
    <x v="0"/>
    <n v="38.1"/>
    <n v="38.1"/>
    <d v="2025-02-18T00:00:00"/>
    <d v="2025-02-18T00:00:00"/>
    <x v="1"/>
    <x v="4"/>
    <n v="3"/>
    <x v="0"/>
    <x v="3"/>
    <x v="7"/>
    <x v="7"/>
    <x v="1"/>
  </r>
  <r>
    <x v="1249"/>
    <x v="0"/>
    <x v="1"/>
    <n v="44.1"/>
    <n v="88.2"/>
    <d v="2025-02-18T00:00:00"/>
    <d v="2025-02-20T00:00:00"/>
    <x v="2"/>
    <x v="2"/>
    <n v="4"/>
    <x v="0"/>
    <x v="3"/>
    <x v="1"/>
    <x v="7"/>
    <x v="2"/>
  </r>
  <r>
    <x v="1250"/>
    <x v="15"/>
    <x v="12"/>
    <n v="80.5"/>
    <n v="322"/>
    <d v="2025-02-18T00:00:00"/>
    <d v="2025-02-23T00:00:00"/>
    <x v="1"/>
    <x v="0"/>
    <n v="4"/>
    <x v="0"/>
    <x v="3"/>
    <x v="0"/>
    <x v="7"/>
    <x v="1"/>
  </r>
  <r>
    <x v="1251"/>
    <x v="18"/>
    <x v="12"/>
    <n v="33.6"/>
    <n v="134.4"/>
    <d v="2025-02-18T00:00:00"/>
    <d v="2025-02-23T00:00:00"/>
    <x v="0"/>
    <x v="0"/>
    <n v="5"/>
    <x v="0"/>
    <x v="3"/>
    <x v="0"/>
    <x v="7"/>
    <x v="0"/>
  </r>
  <r>
    <x v="1252"/>
    <x v="9"/>
    <x v="11"/>
    <n v="41.8"/>
    <n v="376.2"/>
    <d v="2025-02-18T00:00:00"/>
    <d v="2025-02-19T00:00:00"/>
    <x v="2"/>
    <x v="0"/>
    <n v="3"/>
    <x v="0"/>
    <x v="3"/>
    <x v="3"/>
    <x v="7"/>
    <x v="2"/>
  </r>
  <r>
    <x v="1253"/>
    <x v="1"/>
    <x v="1"/>
    <n v="106.2"/>
    <n v="212.4"/>
    <d v="2025-02-18T00:00:00"/>
    <d v="2025-02-18T00:00:00"/>
    <x v="2"/>
    <x v="4"/>
    <n v="5"/>
    <x v="0"/>
    <x v="3"/>
    <x v="7"/>
    <x v="7"/>
    <x v="2"/>
  </r>
  <r>
    <x v="1254"/>
    <x v="1"/>
    <x v="1"/>
    <n v="52.6"/>
    <n v="105.2"/>
    <d v="2025-02-18T00:00:00"/>
    <d v="2025-02-19T00:00:00"/>
    <x v="2"/>
    <x v="0"/>
    <n v="5"/>
    <x v="0"/>
    <x v="5"/>
    <x v="3"/>
    <x v="7"/>
    <x v="2"/>
  </r>
  <r>
    <x v="1255"/>
    <x v="11"/>
    <x v="3"/>
    <n v="68.5"/>
    <n v="479.5"/>
    <d v="2025-02-18T00:00:00"/>
    <d v="2025-02-19T00:00:00"/>
    <x v="2"/>
    <x v="1"/>
    <n v="4"/>
    <x v="0"/>
    <x v="5"/>
    <x v="3"/>
    <x v="7"/>
    <x v="2"/>
  </r>
  <r>
    <x v="1256"/>
    <x v="1"/>
    <x v="1"/>
    <n v="55.6"/>
    <n v="111.2"/>
    <d v="2025-02-18T00:00:00"/>
    <d v="2025-02-20T00:00:00"/>
    <x v="1"/>
    <x v="1"/>
    <n v="5"/>
    <x v="0"/>
    <x v="6"/>
    <x v="1"/>
    <x v="7"/>
    <x v="1"/>
  </r>
  <r>
    <x v="1257"/>
    <x v="2"/>
    <x v="2"/>
    <n v="134.9"/>
    <n v="404.70000000000005"/>
    <d v="2025-02-18T00:00:00"/>
    <d v="2025-02-19T00:00:00"/>
    <x v="1"/>
    <x v="1"/>
    <n v="3"/>
    <x v="0"/>
    <x v="6"/>
    <x v="3"/>
    <x v="7"/>
    <x v="1"/>
  </r>
  <r>
    <x v="1258"/>
    <x v="10"/>
    <x v="9"/>
    <n v="42.6"/>
    <n v="213"/>
    <d v="2025-02-18T00:00:00"/>
    <d v="2025-02-19T00:00:00"/>
    <x v="1"/>
    <x v="0"/>
    <n v="4"/>
    <x v="0"/>
    <x v="6"/>
    <x v="3"/>
    <x v="7"/>
    <x v="1"/>
  </r>
  <r>
    <x v="1259"/>
    <x v="7"/>
    <x v="9"/>
    <n v="60.6"/>
    <n v="303"/>
    <d v="2025-02-18T00:00:00"/>
    <d v="2025-02-20T00:00:00"/>
    <x v="1"/>
    <x v="4"/>
    <n v="4"/>
    <x v="0"/>
    <x v="6"/>
    <x v="1"/>
    <x v="7"/>
    <x v="1"/>
  </r>
  <r>
    <x v="1260"/>
    <x v="8"/>
    <x v="1"/>
    <n v="43.5"/>
    <n v="87"/>
    <d v="2025-02-18T00:00:00"/>
    <d v="2025-02-19T00:00:00"/>
    <x v="1"/>
    <x v="4"/>
    <n v="4"/>
    <x v="0"/>
    <x v="7"/>
    <x v="3"/>
    <x v="7"/>
    <x v="1"/>
  </r>
  <r>
    <x v="1261"/>
    <x v="2"/>
    <x v="1"/>
    <n v="187.1"/>
    <n v="374.2"/>
    <d v="2025-02-18T00:00:00"/>
    <d v="2025-02-19T00:00:00"/>
    <x v="1"/>
    <x v="1"/>
    <n v="5"/>
    <x v="0"/>
    <x v="8"/>
    <x v="3"/>
    <x v="7"/>
    <x v="1"/>
  </r>
  <r>
    <x v="1262"/>
    <x v="9"/>
    <x v="2"/>
    <n v="32"/>
    <n v="96"/>
    <d v="2025-02-18T00:00:00"/>
    <d v="2025-02-20T00:00:00"/>
    <x v="1"/>
    <x v="0"/>
    <n v="4"/>
    <x v="0"/>
    <x v="8"/>
    <x v="1"/>
    <x v="7"/>
    <x v="1"/>
  </r>
  <r>
    <x v="1263"/>
    <x v="9"/>
    <x v="1"/>
    <n v="110.8"/>
    <n v="221.6"/>
    <d v="2025-02-18T00:00:00"/>
    <d v="2025-02-18T00:00:00"/>
    <x v="1"/>
    <x v="0"/>
    <n v="5"/>
    <x v="0"/>
    <x v="8"/>
    <x v="7"/>
    <x v="7"/>
    <x v="1"/>
  </r>
  <r>
    <x v="1264"/>
    <x v="10"/>
    <x v="15"/>
    <n v="36.1"/>
    <n v="469.3"/>
    <d v="2025-02-18T00:00:00"/>
    <d v="2025-02-21T00:00:00"/>
    <x v="2"/>
    <x v="0"/>
    <n v="3"/>
    <x v="0"/>
    <x v="8"/>
    <x v="2"/>
    <x v="7"/>
    <x v="2"/>
  </r>
  <r>
    <x v="1265"/>
    <x v="0"/>
    <x v="0"/>
    <n v="24.1"/>
    <n v="24.1"/>
    <d v="2025-02-18T00:00:00"/>
    <d v="2025-02-20T00:00:00"/>
    <x v="2"/>
    <x v="4"/>
    <n v="5"/>
    <x v="0"/>
    <x v="8"/>
    <x v="1"/>
    <x v="7"/>
    <x v="2"/>
  </r>
  <r>
    <x v="1266"/>
    <x v="19"/>
    <x v="2"/>
    <n v="30.5"/>
    <n v="91.5"/>
    <d v="2025-02-18T00:00:00"/>
    <d v="2025-02-20T00:00:00"/>
    <x v="1"/>
    <x v="1"/>
    <n v="4"/>
    <x v="0"/>
    <x v="8"/>
    <x v="1"/>
    <x v="7"/>
    <x v="1"/>
  </r>
  <r>
    <x v="1267"/>
    <x v="18"/>
    <x v="13"/>
    <n v="68.3"/>
    <n v="409.79999999999995"/>
    <d v="2025-02-18T00:00:00"/>
    <d v="2025-02-21T00:00:00"/>
    <x v="1"/>
    <x v="0"/>
    <n v="4"/>
    <x v="0"/>
    <x v="8"/>
    <x v="2"/>
    <x v="7"/>
    <x v="1"/>
  </r>
  <r>
    <x v="1268"/>
    <x v="7"/>
    <x v="2"/>
    <n v="43.3"/>
    <n v="129.89999999999998"/>
    <d v="2025-02-18T00:00:00"/>
    <d v="2025-02-22T00:00:00"/>
    <x v="2"/>
    <x v="0"/>
    <n v="4"/>
    <x v="0"/>
    <x v="17"/>
    <x v="5"/>
    <x v="7"/>
    <x v="2"/>
  </r>
  <r>
    <x v="1269"/>
    <x v="3"/>
    <x v="0"/>
    <n v="101.7"/>
    <n v="101.7"/>
    <d v="2025-02-18T00:00:00"/>
    <d v="2025-02-21T00:00:00"/>
    <x v="2"/>
    <x v="0"/>
    <n v="3"/>
    <x v="0"/>
    <x v="17"/>
    <x v="2"/>
    <x v="7"/>
    <x v="2"/>
  </r>
  <r>
    <x v="1270"/>
    <x v="11"/>
    <x v="1"/>
    <n v="54.2"/>
    <n v="108.4"/>
    <d v="2025-02-18T00:00:00"/>
    <d v="2025-02-19T00:00:00"/>
    <x v="2"/>
    <x v="0"/>
    <n v="3"/>
    <x v="0"/>
    <x v="17"/>
    <x v="3"/>
    <x v="7"/>
    <x v="2"/>
  </r>
  <r>
    <x v="1271"/>
    <x v="16"/>
    <x v="1"/>
    <n v="51"/>
    <n v="102"/>
    <d v="2025-02-18T00:00:00"/>
    <d v="2025-02-18T00:00:00"/>
    <x v="1"/>
    <x v="1"/>
    <n v="4"/>
    <x v="0"/>
    <x v="26"/>
    <x v="7"/>
    <x v="7"/>
    <x v="1"/>
  </r>
  <r>
    <x v="1272"/>
    <x v="4"/>
    <x v="1"/>
    <n v="23.1"/>
    <n v="46.2"/>
    <d v="2025-02-18T00:00:00"/>
    <d v="2025-02-21T00:00:00"/>
    <x v="1"/>
    <x v="1"/>
    <n v="4"/>
    <x v="0"/>
    <x v="10"/>
    <x v="2"/>
    <x v="7"/>
    <x v="1"/>
  </r>
  <r>
    <x v="1273"/>
    <x v="12"/>
    <x v="13"/>
    <n v="60.1"/>
    <n v="360.6"/>
    <d v="2025-02-18T00:00:00"/>
    <d v="2025-02-18T00:00:00"/>
    <x v="2"/>
    <x v="3"/>
    <n v="4"/>
    <x v="0"/>
    <x v="11"/>
    <x v="7"/>
    <x v="7"/>
    <x v="2"/>
  </r>
  <r>
    <x v="1274"/>
    <x v="2"/>
    <x v="3"/>
    <n v="87.5"/>
    <n v="612.5"/>
    <d v="2025-02-18T00:00:00"/>
    <d v="2025-02-20T00:00:00"/>
    <x v="2"/>
    <x v="0"/>
    <n v="3"/>
    <x v="0"/>
    <x v="11"/>
    <x v="1"/>
    <x v="7"/>
    <x v="2"/>
  </r>
  <r>
    <x v="1275"/>
    <x v="1"/>
    <x v="2"/>
    <n v="51"/>
    <n v="153"/>
    <d v="2025-02-18T00:00:00"/>
    <d v="2025-02-19T00:00:00"/>
    <x v="2"/>
    <x v="1"/>
    <n v="4"/>
    <x v="0"/>
    <x v="11"/>
    <x v="3"/>
    <x v="7"/>
    <x v="2"/>
  </r>
  <r>
    <x v="1276"/>
    <x v="8"/>
    <x v="12"/>
    <n v="19.2"/>
    <n v="76.8"/>
    <d v="2025-02-18T00:00:00"/>
    <d v="2025-02-20T00:00:00"/>
    <x v="2"/>
    <x v="0"/>
    <n v="4"/>
    <x v="0"/>
    <x v="11"/>
    <x v="1"/>
    <x v="7"/>
    <x v="2"/>
  </r>
  <r>
    <x v="1277"/>
    <x v="5"/>
    <x v="8"/>
    <n v="26.5"/>
    <n v="212"/>
    <d v="2025-02-18T00:00:00"/>
    <d v="2025-02-19T00:00:00"/>
    <x v="0"/>
    <x v="3"/>
    <n v="5"/>
    <x v="0"/>
    <x v="11"/>
    <x v="3"/>
    <x v="7"/>
    <x v="0"/>
  </r>
  <r>
    <x v="1278"/>
    <x v="2"/>
    <x v="1"/>
    <n v="220.3"/>
    <n v="440.6"/>
    <d v="2025-02-18T00:00:00"/>
    <d v="2025-02-19T00:00:00"/>
    <x v="2"/>
    <x v="1"/>
    <n v="2"/>
    <x v="0"/>
    <x v="53"/>
    <x v="3"/>
    <x v="7"/>
    <x v="2"/>
  </r>
  <r>
    <x v="1279"/>
    <x v="8"/>
    <x v="2"/>
    <n v="45.7"/>
    <n v="137.10000000000002"/>
    <d v="2025-02-18T00:00:00"/>
    <d v="2025-02-19T00:00:00"/>
    <x v="2"/>
    <x v="4"/>
    <n v="4"/>
    <x v="0"/>
    <x v="30"/>
    <x v="3"/>
    <x v="7"/>
    <x v="2"/>
  </r>
  <r>
    <x v="1280"/>
    <x v="5"/>
    <x v="9"/>
    <n v="47.1"/>
    <n v="235.5"/>
    <d v="2025-02-18T00:00:00"/>
    <d v="2025-02-22T00:00:00"/>
    <x v="2"/>
    <x v="3"/>
    <n v="4"/>
    <x v="0"/>
    <x v="13"/>
    <x v="5"/>
    <x v="7"/>
    <x v="2"/>
  </r>
  <r>
    <x v="1281"/>
    <x v="1"/>
    <x v="9"/>
    <n v="81.7"/>
    <n v="408.5"/>
    <d v="2025-02-18T00:00:00"/>
    <d v="2025-02-19T00:00:00"/>
    <x v="2"/>
    <x v="0"/>
    <n v="5"/>
    <x v="0"/>
    <x v="21"/>
    <x v="3"/>
    <x v="7"/>
    <x v="2"/>
  </r>
  <r>
    <x v="1282"/>
    <x v="6"/>
    <x v="7"/>
    <n v="97.8"/>
    <n v="978"/>
    <d v="2025-02-18T00:00:00"/>
    <d v="2025-02-18T00:00:00"/>
    <x v="1"/>
    <x v="1"/>
    <n v="3"/>
    <x v="0"/>
    <x v="21"/>
    <x v="7"/>
    <x v="7"/>
    <x v="1"/>
  </r>
  <r>
    <x v="1283"/>
    <x v="6"/>
    <x v="2"/>
    <n v="42.4"/>
    <n v="127.19999999999999"/>
    <d v="2025-02-18T00:00:00"/>
    <d v="2025-02-19T00:00:00"/>
    <x v="2"/>
    <x v="0"/>
    <n v="5"/>
    <x v="0"/>
    <x v="54"/>
    <x v="3"/>
    <x v="7"/>
    <x v="2"/>
  </r>
  <r>
    <x v="1284"/>
    <x v="2"/>
    <x v="7"/>
    <n v="74.5"/>
    <n v="745"/>
    <d v="2025-02-18T00:00:00"/>
    <d v="2025-02-19T00:00:00"/>
    <x v="1"/>
    <x v="2"/>
    <n v="3"/>
    <x v="0"/>
    <x v="1"/>
    <x v="3"/>
    <x v="7"/>
    <x v="1"/>
  </r>
  <r>
    <x v="1285"/>
    <x v="17"/>
    <x v="13"/>
    <n v="47.4"/>
    <n v="284.39999999999998"/>
    <d v="2025-02-18T00:00:00"/>
    <d v="2025-02-19T00:00:00"/>
    <x v="1"/>
    <x v="1"/>
    <n v="4"/>
    <x v="0"/>
    <x v="1"/>
    <x v="3"/>
    <x v="7"/>
    <x v="1"/>
  </r>
  <r>
    <x v="1286"/>
    <x v="14"/>
    <x v="2"/>
    <n v="17.3"/>
    <n v="51.900000000000006"/>
    <d v="2025-02-19T00:00:00"/>
    <d v="2025-02-22T00:00:00"/>
    <x v="1"/>
    <x v="2"/>
    <n v="5"/>
    <x v="0"/>
    <x v="1"/>
    <x v="2"/>
    <x v="7"/>
    <x v="1"/>
  </r>
  <r>
    <x v="1287"/>
    <x v="12"/>
    <x v="12"/>
    <n v="77.900000000000006"/>
    <n v="311.60000000000002"/>
    <d v="2025-02-19T00:00:00"/>
    <d v="2025-02-20T00:00:00"/>
    <x v="1"/>
    <x v="1"/>
    <n v="4"/>
    <x v="0"/>
    <x v="2"/>
    <x v="3"/>
    <x v="7"/>
    <x v="1"/>
  </r>
  <r>
    <x v="1288"/>
    <x v="8"/>
    <x v="0"/>
    <n v="29.1"/>
    <n v="29.1"/>
    <d v="2025-02-19T00:00:00"/>
    <d v="2025-02-22T00:00:00"/>
    <x v="1"/>
    <x v="0"/>
    <n v="5"/>
    <x v="0"/>
    <x v="50"/>
    <x v="2"/>
    <x v="7"/>
    <x v="1"/>
  </r>
  <r>
    <x v="1289"/>
    <x v="8"/>
    <x v="0"/>
    <n v="49"/>
    <n v="49"/>
    <d v="2025-02-19T00:00:00"/>
    <d v="2025-02-20T00:00:00"/>
    <x v="1"/>
    <x v="1"/>
    <n v="4"/>
    <x v="0"/>
    <x v="3"/>
    <x v="3"/>
    <x v="7"/>
    <x v="1"/>
  </r>
  <r>
    <x v="1290"/>
    <x v="8"/>
    <x v="13"/>
    <n v="21.1"/>
    <n v="126.60000000000001"/>
    <d v="2025-02-19T00:00:00"/>
    <d v="2025-02-26T00:00:00"/>
    <x v="1"/>
    <x v="0"/>
    <n v="5"/>
    <x v="0"/>
    <x v="3"/>
    <x v="6"/>
    <x v="7"/>
    <x v="1"/>
  </r>
  <r>
    <x v="1291"/>
    <x v="4"/>
    <x v="10"/>
    <n v="36.9"/>
    <n v="701.1"/>
    <d v="2025-02-19T00:00:00"/>
    <d v="2025-02-19T00:00:00"/>
    <x v="2"/>
    <x v="0"/>
    <n v="4"/>
    <x v="0"/>
    <x v="3"/>
    <x v="7"/>
    <x v="7"/>
    <x v="2"/>
  </r>
  <r>
    <x v="1292"/>
    <x v="1"/>
    <x v="7"/>
    <n v="92.6"/>
    <n v="926"/>
    <d v="2025-02-19T00:00:00"/>
    <d v="2025-02-24T00:00:00"/>
    <x v="1"/>
    <x v="4"/>
    <n v="5"/>
    <x v="0"/>
    <x v="3"/>
    <x v="0"/>
    <x v="7"/>
    <x v="1"/>
  </r>
  <r>
    <x v="1293"/>
    <x v="10"/>
    <x v="1"/>
    <n v="38"/>
    <n v="76"/>
    <d v="2025-02-19T00:00:00"/>
    <d v="2025-02-20T00:00:00"/>
    <x v="1"/>
    <x v="1"/>
    <n v="3"/>
    <x v="0"/>
    <x v="3"/>
    <x v="3"/>
    <x v="7"/>
    <x v="1"/>
  </r>
  <r>
    <x v="1294"/>
    <x v="5"/>
    <x v="2"/>
    <n v="54.8"/>
    <n v="164.39999999999998"/>
    <d v="2025-02-19T00:00:00"/>
    <d v="2025-02-23T00:00:00"/>
    <x v="0"/>
    <x v="0"/>
    <n v="3"/>
    <x v="0"/>
    <x v="3"/>
    <x v="5"/>
    <x v="7"/>
    <x v="0"/>
  </r>
  <r>
    <x v="1295"/>
    <x v="10"/>
    <x v="4"/>
    <n v="56.8"/>
    <n v="681.59999999999991"/>
    <d v="2025-02-19T00:00:00"/>
    <d v="2025-02-21T00:00:00"/>
    <x v="1"/>
    <x v="1"/>
    <n v="4"/>
    <x v="0"/>
    <x v="3"/>
    <x v="1"/>
    <x v="7"/>
    <x v="1"/>
  </r>
  <r>
    <x v="1296"/>
    <x v="11"/>
    <x v="40"/>
    <n v="47.2"/>
    <n v="1557.6000000000001"/>
    <d v="2025-02-19T00:00:00"/>
    <d v="2025-02-22T00:00:00"/>
    <x v="2"/>
    <x v="1"/>
    <n v="4"/>
    <x v="0"/>
    <x v="3"/>
    <x v="2"/>
    <x v="7"/>
    <x v="2"/>
  </r>
  <r>
    <x v="1297"/>
    <x v="7"/>
    <x v="13"/>
    <n v="45.1"/>
    <n v="270.60000000000002"/>
    <d v="2025-02-19T00:00:00"/>
    <d v="2025-02-20T00:00:00"/>
    <x v="2"/>
    <x v="2"/>
    <n v="4"/>
    <x v="0"/>
    <x v="43"/>
    <x v="3"/>
    <x v="7"/>
    <x v="2"/>
  </r>
  <r>
    <x v="1298"/>
    <x v="4"/>
    <x v="4"/>
    <n v="25.2"/>
    <n v="302.39999999999998"/>
    <d v="2025-02-19T00:00:00"/>
    <d v="2025-02-24T00:00:00"/>
    <x v="2"/>
    <x v="2"/>
    <n v="4"/>
    <x v="0"/>
    <x v="16"/>
    <x v="0"/>
    <x v="7"/>
    <x v="2"/>
  </r>
  <r>
    <x v="1299"/>
    <x v="8"/>
    <x v="0"/>
    <n v="22"/>
    <n v="22"/>
    <d v="2025-02-19T00:00:00"/>
    <d v="2025-02-20T00:00:00"/>
    <x v="2"/>
    <x v="0"/>
    <n v="4"/>
    <x v="0"/>
    <x v="5"/>
    <x v="3"/>
    <x v="7"/>
    <x v="2"/>
  </r>
  <r>
    <x v="1300"/>
    <x v="6"/>
    <x v="1"/>
    <n v="42.2"/>
    <n v="84.4"/>
    <d v="2025-02-19T00:00:00"/>
    <d v="2025-02-20T00:00:00"/>
    <x v="2"/>
    <x v="1"/>
    <n v="3"/>
    <x v="0"/>
    <x v="23"/>
    <x v="3"/>
    <x v="7"/>
    <x v="2"/>
  </r>
  <r>
    <x v="1301"/>
    <x v="13"/>
    <x v="2"/>
    <n v="20.5"/>
    <n v="61.5"/>
    <d v="2025-02-19T00:00:00"/>
    <d v="2025-02-20T00:00:00"/>
    <x v="1"/>
    <x v="0"/>
    <n v="3"/>
    <x v="0"/>
    <x v="6"/>
    <x v="3"/>
    <x v="7"/>
    <x v="1"/>
  </r>
  <r>
    <x v="1302"/>
    <x v="2"/>
    <x v="0"/>
    <n v="190.4"/>
    <n v="190.4"/>
    <d v="2025-02-19T00:00:00"/>
    <d v="2025-02-24T00:00:00"/>
    <x v="1"/>
    <x v="1"/>
    <n v="2"/>
    <x v="0"/>
    <x v="6"/>
    <x v="0"/>
    <x v="7"/>
    <x v="1"/>
  </r>
  <r>
    <x v="1303"/>
    <x v="2"/>
    <x v="0"/>
    <n v="121.9"/>
    <n v="121.9"/>
    <d v="2025-02-19T00:00:00"/>
    <d v="2025-02-21T00:00:00"/>
    <x v="2"/>
    <x v="1"/>
    <n v="5"/>
    <x v="0"/>
    <x v="6"/>
    <x v="1"/>
    <x v="7"/>
    <x v="2"/>
  </r>
  <r>
    <x v="1304"/>
    <x v="2"/>
    <x v="13"/>
    <n v="149.19999999999999"/>
    <n v="895.19999999999993"/>
    <d v="2025-02-19T00:00:00"/>
    <d v="2025-02-20T00:00:00"/>
    <x v="2"/>
    <x v="2"/>
    <n v="5"/>
    <x v="0"/>
    <x v="7"/>
    <x v="3"/>
    <x v="7"/>
    <x v="2"/>
  </r>
  <r>
    <x v="1305"/>
    <x v="2"/>
    <x v="0"/>
    <n v="54.1"/>
    <n v="54.1"/>
    <d v="2025-02-19T00:00:00"/>
    <d v="2025-02-28T00:00:00"/>
    <x v="2"/>
    <x v="2"/>
    <n v="5"/>
    <x v="0"/>
    <x v="7"/>
    <x v="8"/>
    <x v="7"/>
    <x v="2"/>
  </r>
  <r>
    <x v="1306"/>
    <x v="5"/>
    <x v="1"/>
    <n v="27.4"/>
    <n v="54.8"/>
    <d v="2025-02-19T00:00:00"/>
    <d v="2025-02-21T00:00:00"/>
    <x v="1"/>
    <x v="1"/>
    <n v="4"/>
    <x v="0"/>
    <x v="8"/>
    <x v="1"/>
    <x v="7"/>
    <x v="1"/>
  </r>
  <r>
    <x v="1307"/>
    <x v="0"/>
    <x v="15"/>
    <n v="30.4"/>
    <n v="395.2"/>
    <d v="2025-02-19T00:00:00"/>
    <d v="2025-02-20T00:00:00"/>
    <x v="2"/>
    <x v="0"/>
    <n v="5"/>
    <x v="0"/>
    <x v="8"/>
    <x v="3"/>
    <x v="7"/>
    <x v="2"/>
  </r>
  <r>
    <x v="1308"/>
    <x v="12"/>
    <x v="2"/>
    <n v="46.2"/>
    <n v="138.60000000000002"/>
    <d v="2025-02-19T00:00:00"/>
    <d v="2025-02-21T00:00:00"/>
    <x v="1"/>
    <x v="2"/>
    <n v="3"/>
    <x v="0"/>
    <x v="17"/>
    <x v="1"/>
    <x v="7"/>
    <x v="1"/>
  </r>
  <r>
    <x v="1309"/>
    <x v="7"/>
    <x v="8"/>
    <n v="78.599999999999994"/>
    <n v="628.79999999999995"/>
    <d v="2025-02-19T00:00:00"/>
    <d v="2025-02-23T00:00:00"/>
    <x v="1"/>
    <x v="3"/>
    <n v="4"/>
    <x v="0"/>
    <x v="17"/>
    <x v="5"/>
    <x v="7"/>
    <x v="1"/>
  </r>
  <r>
    <x v="1310"/>
    <x v="17"/>
    <x v="7"/>
    <n v="25.9"/>
    <n v="259"/>
    <d v="2025-02-19T00:00:00"/>
    <d v="2025-02-25T00:00:00"/>
    <x v="1"/>
    <x v="4"/>
    <n v="4"/>
    <x v="0"/>
    <x v="9"/>
    <x v="4"/>
    <x v="7"/>
    <x v="1"/>
  </r>
  <r>
    <x v="1311"/>
    <x v="6"/>
    <x v="0"/>
    <n v="134.80000000000001"/>
    <n v="134.80000000000001"/>
    <d v="2025-02-19T00:00:00"/>
    <d v="2025-02-21T00:00:00"/>
    <x v="1"/>
    <x v="2"/>
    <n v="5"/>
    <x v="0"/>
    <x v="9"/>
    <x v="1"/>
    <x v="7"/>
    <x v="1"/>
  </r>
  <r>
    <x v="1312"/>
    <x v="15"/>
    <x v="9"/>
    <n v="43.1"/>
    <n v="215.5"/>
    <d v="2025-02-19T00:00:00"/>
    <d v="2025-02-21T00:00:00"/>
    <x v="2"/>
    <x v="0"/>
    <n v="4"/>
    <x v="0"/>
    <x v="11"/>
    <x v="1"/>
    <x v="7"/>
    <x v="2"/>
  </r>
  <r>
    <x v="1313"/>
    <x v="2"/>
    <x v="1"/>
    <n v="215.6"/>
    <n v="431.2"/>
    <d v="2025-02-19T00:00:00"/>
    <d v="2025-02-20T00:00:00"/>
    <x v="2"/>
    <x v="2"/>
    <n v="4"/>
    <x v="0"/>
    <x v="18"/>
    <x v="3"/>
    <x v="7"/>
    <x v="2"/>
  </r>
  <r>
    <x v="1314"/>
    <x v="6"/>
    <x v="1"/>
    <n v="80.7"/>
    <n v="161.4"/>
    <d v="2025-02-19T00:00:00"/>
    <d v="2025-02-22T00:00:00"/>
    <x v="2"/>
    <x v="3"/>
    <n v="4"/>
    <x v="0"/>
    <x v="18"/>
    <x v="2"/>
    <x v="7"/>
    <x v="2"/>
  </r>
  <r>
    <x v="1315"/>
    <x v="10"/>
    <x v="3"/>
    <n v="20.6"/>
    <n v="144.20000000000002"/>
    <d v="2025-02-19T00:00:00"/>
    <d v="2025-02-24T00:00:00"/>
    <x v="0"/>
    <x v="2"/>
    <n v="3"/>
    <x v="0"/>
    <x v="19"/>
    <x v="0"/>
    <x v="7"/>
    <x v="0"/>
  </r>
  <r>
    <x v="1316"/>
    <x v="12"/>
    <x v="2"/>
    <n v="37.1"/>
    <n v="111.30000000000001"/>
    <d v="2025-02-19T00:00:00"/>
    <d v="2025-02-20T00:00:00"/>
    <x v="2"/>
    <x v="0"/>
    <n v="4"/>
    <x v="0"/>
    <x v="52"/>
    <x v="3"/>
    <x v="7"/>
    <x v="2"/>
  </r>
  <r>
    <x v="1317"/>
    <x v="12"/>
    <x v="0"/>
    <n v="104.8"/>
    <n v="104.8"/>
    <d v="2025-02-20T00:00:00"/>
    <d v="2025-02-22T00:00:00"/>
    <x v="2"/>
    <x v="0"/>
    <n v="4"/>
    <x v="0"/>
    <x v="13"/>
    <x v="1"/>
    <x v="7"/>
    <x v="2"/>
  </r>
  <r>
    <x v="1318"/>
    <x v="8"/>
    <x v="1"/>
    <n v="59"/>
    <n v="118"/>
    <d v="2025-02-20T00:00:00"/>
    <d v="2025-02-21T00:00:00"/>
    <x v="1"/>
    <x v="1"/>
    <n v="4"/>
    <x v="0"/>
    <x v="21"/>
    <x v="3"/>
    <x v="7"/>
    <x v="1"/>
  </r>
  <r>
    <x v="1319"/>
    <x v="8"/>
    <x v="1"/>
    <n v="32.299999999999997"/>
    <n v="64.599999999999994"/>
    <d v="2025-02-20T00:00:00"/>
    <d v="2025-02-21T00:00:00"/>
    <x v="1"/>
    <x v="0"/>
    <n v="5"/>
    <x v="0"/>
    <x v="21"/>
    <x v="3"/>
    <x v="7"/>
    <x v="1"/>
  </r>
  <r>
    <x v="1320"/>
    <x v="8"/>
    <x v="12"/>
    <n v="28.9"/>
    <n v="115.6"/>
    <d v="2025-02-20T00:00:00"/>
    <d v="2025-02-27T00:00:00"/>
    <x v="1"/>
    <x v="0"/>
    <n v="4"/>
    <x v="0"/>
    <x v="1"/>
    <x v="6"/>
    <x v="7"/>
    <x v="1"/>
  </r>
  <r>
    <x v="1321"/>
    <x v="0"/>
    <x v="1"/>
    <n v="29.6"/>
    <n v="59.2"/>
    <d v="2025-02-20T00:00:00"/>
    <d v="2025-02-22T00:00:00"/>
    <x v="1"/>
    <x v="0"/>
    <n v="4"/>
    <x v="0"/>
    <x v="1"/>
    <x v="1"/>
    <x v="7"/>
    <x v="1"/>
  </r>
  <r>
    <x v="1322"/>
    <x v="0"/>
    <x v="9"/>
    <n v="29.4"/>
    <n v="147"/>
    <d v="2025-02-20T00:00:00"/>
    <d v="2025-02-23T00:00:00"/>
    <x v="2"/>
    <x v="0"/>
    <n v="4"/>
    <x v="0"/>
    <x v="1"/>
    <x v="2"/>
    <x v="7"/>
    <x v="2"/>
  </r>
  <r>
    <x v="1323"/>
    <x v="1"/>
    <x v="1"/>
    <n v="40.6"/>
    <n v="81.2"/>
    <d v="2025-02-20T00:00:00"/>
    <d v="2025-02-21T00:00:00"/>
    <x v="1"/>
    <x v="0"/>
    <n v="2"/>
    <x v="0"/>
    <x v="2"/>
    <x v="3"/>
    <x v="7"/>
    <x v="1"/>
  </r>
  <r>
    <x v="1324"/>
    <x v="0"/>
    <x v="2"/>
    <n v="32.5"/>
    <n v="97.5"/>
    <d v="2025-02-20T00:00:00"/>
    <d v="2025-02-21T00:00:00"/>
    <x v="1"/>
    <x v="3"/>
    <n v="5"/>
    <x v="0"/>
    <x v="22"/>
    <x v="3"/>
    <x v="7"/>
    <x v="1"/>
  </r>
  <r>
    <x v="1325"/>
    <x v="15"/>
    <x v="0"/>
    <n v="26.2"/>
    <n v="26.2"/>
    <d v="2025-02-20T00:00:00"/>
    <d v="2025-02-22T00:00:00"/>
    <x v="1"/>
    <x v="2"/>
    <n v="4"/>
    <x v="0"/>
    <x v="55"/>
    <x v="1"/>
    <x v="7"/>
    <x v="1"/>
  </r>
  <r>
    <x v="1326"/>
    <x v="10"/>
    <x v="17"/>
    <n v="44"/>
    <n v="1320"/>
    <d v="2025-02-20T00:00:00"/>
    <d v="2025-02-26T00:00:00"/>
    <x v="1"/>
    <x v="4"/>
    <n v="4"/>
    <x v="0"/>
    <x v="3"/>
    <x v="4"/>
    <x v="7"/>
    <x v="1"/>
  </r>
  <r>
    <x v="1327"/>
    <x v="7"/>
    <x v="12"/>
    <n v="65.599999999999994"/>
    <n v="262.39999999999998"/>
    <d v="2025-02-20T00:00:00"/>
    <d v="2025-02-21T00:00:00"/>
    <x v="2"/>
    <x v="1"/>
    <n v="3"/>
    <x v="0"/>
    <x v="3"/>
    <x v="3"/>
    <x v="7"/>
    <x v="2"/>
  </r>
  <r>
    <x v="1328"/>
    <x v="5"/>
    <x v="4"/>
    <n v="32.6"/>
    <n v="391.20000000000005"/>
    <d v="2025-02-20T00:00:00"/>
    <d v="2025-02-21T00:00:00"/>
    <x v="1"/>
    <x v="4"/>
    <n v="4"/>
    <x v="0"/>
    <x v="3"/>
    <x v="3"/>
    <x v="7"/>
    <x v="1"/>
  </r>
  <r>
    <x v="1329"/>
    <x v="16"/>
    <x v="1"/>
    <n v="88.7"/>
    <n v="177.4"/>
    <d v="2025-02-20T00:00:00"/>
    <d v="2025-02-21T00:00:00"/>
    <x v="0"/>
    <x v="3"/>
    <n v="5"/>
    <x v="0"/>
    <x v="3"/>
    <x v="3"/>
    <x v="7"/>
    <x v="0"/>
  </r>
  <r>
    <x v="1330"/>
    <x v="4"/>
    <x v="1"/>
    <n v="21.3"/>
    <n v="42.6"/>
    <d v="2025-02-20T00:00:00"/>
    <d v="2025-02-21T00:00:00"/>
    <x v="1"/>
    <x v="0"/>
    <n v="4"/>
    <x v="0"/>
    <x v="3"/>
    <x v="3"/>
    <x v="7"/>
    <x v="1"/>
  </r>
  <r>
    <x v="1331"/>
    <x v="4"/>
    <x v="13"/>
    <n v="50.6"/>
    <n v="303.60000000000002"/>
    <d v="2025-02-20T00:00:00"/>
    <d v="2025-02-24T00:00:00"/>
    <x v="2"/>
    <x v="2"/>
    <n v="4"/>
    <x v="0"/>
    <x v="3"/>
    <x v="5"/>
    <x v="7"/>
    <x v="2"/>
  </r>
  <r>
    <x v="1332"/>
    <x v="9"/>
    <x v="38"/>
    <n v="86.9"/>
    <n v="1824.9"/>
    <d v="2025-02-20T00:00:00"/>
    <d v="2025-02-23T00:00:00"/>
    <x v="2"/>
    <x v="0"/>
    <n v="3"/>
    <x v="0"/>
    <x v="3"/>
    <x v="2"/>
    <x v="7"/>
    <x v="2"/>
  </r>
  <r>
    <x v="1333"/>
    <x v="11"/>
    <x v="2"/>
    <n v="31.8"/>
    <n v="95.4"/>
    <d v="2025-02-20T00:00:00"/>
    <d v="2025-02-22T00:00:00"/>
    <x v="1"/>
    <x v="0"/>
    <n v="5"/>
    <x v="0"/>
    <x v="3"/>
    <x v="1"/>
    <x v="7"/>
    <x v="1"/>
  </r>
  <r>
    <x v="1334"/>
    <x v="8"/>
    <x v="0"/>
    <n v="19"/>
    <n v="19"/>
    <d v="2025-02-20T00:00:00"/>
    <d v="2025-02-21T00:00:00"/>
    <x v="2"/>
    <x v="0"/>
    <n v="5"/>
    <x v="0"/>
    <x v="3"/>
    <x v="3"/>
    <x v="7"/>
    <x v="2"/>
  </r>
  <r>
    <x v="1335"/>
    <x v="5"/>
    <x v="0"/>
    <n v="54.5"/>
    <n v="54.5"/>
    <d v="2025-02-20T00:00:00"/>
    <d v="2025-02-22T00:00:00"/>
    <x v="1"/>
    <x v="0"/>
    <n v="4"/>
    <x v="0"/>
    <x v="3"/>
    <x v="1"/>
    <x v="7"/>
    <x v="1"/>
  </r>
  <r>
    <x v="1336"/>
    <x v="9"/>
    <x v="9"/>
    <n v="68.900000000000006"/>
    <n v="344.5"/>
    <d v="2025-02-20T00:00:00"/>
    <d v="2025-02-22T00:00:00"/>
    <x v="1"/>
    <x v="4"/>
    <n v="3"/>
    <x v="0"/>
    <x v="3"/>
    <x v="1"/>
    <x v="7"/>
    <x v="1"/>
  </r>
  <r>
    <x v="1337"/>
    <x v="6"/>
    <x v="2"/>
    <n v="84"/>
    <n v="252"/>
    <d v="2025-02-20T00:00:00"/>
    <d v="2025-02-21T00:00:00"/>
    <x v="1"/>
    <x v="1"/>
    <n v="2"/>
    <x v="0"/>
    <x v="16"/>
    <x v="3"/>
    <x v="7"/>
    <x v="1"/>
  </r>
  <r>
    <x v="1338"/>
    <x v="15"/>
    <x v="8"/>
    <n v="23.1"/>
    <n v="184.8"/>
    <d v="2025-02-20T00:00:00"/>
    <d v="2025-02-25T00:00:00"/>
    <x v="1"/>
    <x v="0"/>
    <n v="5"/>
    <x v="0"/>
    <x v="23"/>
    <x v="0"/>
    <x v="7"/>
    <x v="1"/>
  </r>
  <r>
    <x v="1339"/>
    <x v="7"/>
    <x v="1"/>
    <n v="62.4"/>
    <n v="124.8"/>
    <d v="2025-02-20T00:00:00"/>
    <d v="2025-02-21T00:00:00"/>
    <x v="2"/>
    <x v="0"/>
    <n v="3"/>
    <x v="0"/>
    <x v="6"/>
    <x v="3"/>
    <x v="7"/>
    <x v="2"/>
  </r>
  <r>
    <x v="1340"/>
    <x v="6"/>
    <x v="4"/>
    <n v="40.700000000000003"/>
    <n v="488.40000000000003"/>
    <d v="2025-02-20T00:00:00"/>
    <d v="2025-02-22T00:00:00"/>
    <x v="1"/>
    <x v="1"/>
    <n v="5"/>
    <x v="0"/>
    <x v="6"/>
    <x v="1"/>
    <x v="7"/>
    <x v="1"/>
  </r>
  <r>
    <x v="1341"/>
    <x v="6"/>
    <x v="0"/>
    <n v="49.6"/>
    <n v="49.6"/>
    <d v="2025-02-20T00:00:00"/>
    <d v="2025-02-23T00:00:00"/>
    <x v="1"/>
    <x v="2"/>
    <n v="4"/>
    <x v="0"/>
    <x v="7"/>
    <x v="2"/>
    <x v="7"/>
    <x v="1"/>
  </r>
  <r>
    <x v="1342"/>
    <x v="7"/>
    <x v="41"/>
    <n v="66.599999999999994"/>
    <n v="2996.9999999999995"/>
    <d v="2025-02-20T00:00:00"/>
    <d v="2025-02-23T00:00:00"/>
    <x v="1"/>
    <x v="2"/>
    <n v="4"/>
    <x v="0"/>
    <x v="8"/>
    <x v="2"/>
    <x v="7"/>
    <x v="1"/>
  </r>
  <r>
    <x v="1343"/>
    <x v="8"/>
    <x v="2"/>
    <n v="26.4"/>
    <n v="79.199999999999989"/>
    <d v="2025-02-20T00:00:00"/>
    <d v="2025-02-21T00:00:00"/>
    <x v="2"/>
    <x v="1"/>
    <n v="3"/>
    <x v="0"/>
    <x v="8"/>
    <x v="3"/>
    <x v="7"/>
    <x v="2"/>
  </r>
  <r>
    <x v="1344"/>
    <x v="0"/>
    <x v="1"/>
    <n v="17.2"/>
    <n v="34.4"/>
    <d v="2025-02-20T00:00:00"/>
    <d v="2025-02-23T00:00:00"/>
    <x v="1"/>
    <x v="2"/>
    <n v="3"/>
    <x v="0"/>
    <x v="8"/>
    <x v="2"/>
    <x v="7"/>
    <x v="1"/>
  </r>
  <r>
    <x v="1345"/>
    <x v="5"/>
    <x v="8"/>
    <n v="58.1"/>
    <n v="464.8"/>
    <d v="2025-02-20T00:00:00"/>
    <d v="2025-02-23T00:00:00"/>
    <x v="2"/>
    <x v="4"/>
    <n v="4"/>
    <x v="0"/>
    <x v="8"/>
    <x v="2"/>
    <x v="7"/>
    <x v="2"/>
  </r>
  <r>
    <x v="1346"/>
    <x v="15"/>
    <x v="12"/>
    <n v="31.5"/>
    <n v="126"/>
    <d v="2025-02-20T00:00:00"/>
    <d v="2025-02-23T00:00:00"/>
    <x v="2"/>
    <x v="4"/>
    <n v="2"/>
    <x v="0"/>
    <x v="8"/>
    <x v="2"/>
    <x v="7"/>
    <x v="2"/>
  </r>
  <r>
    <x v="1347"/>
    <x v="0"/>
    <x v="0"/>
    <n v="27.1"/>
    <n v="27.1"/>
    <d v="2025-02-20T00:00:00"/>
    <d v="2025-02-22T00:00:00"/>
    <x v="2"/>
    <x v="0"/>
    <n v="3"/>
    <x v="0"/>
    <x v="17"/>
    <x v="1"/>
    <x v="7"/>
    <x v="2"/>
  </r>
  <r>
    <x v="1348"/>
    <x v="18"/>
    <x v="12"/>
    <n v="28.5"/>
    <n v="114"/>
    <d v="2025-02-20T00:00:00"/>
    <d v="2025-02-22T00:00:00"/>
    <x v="1"/>
    <x v="1"/>
    <n v="5"/>
    <x v="0"/>
    <x v="9"/>
    <x v="1"/>
    <x v="7"/>
    <x v="1"/>
  </r>
  <r>
    <x v="1349"/>
    <x v="10"/>
    <x v="0"/>
    <n v="40.5"/>
    <n v="40.5"/>
    <d v="2025-02-21T00:00:00"/>
    <d v="2025-02-23T00:00:00"/>
    <x v="3"/>
    <x v="2"/>
    <n v="4"/>
    <x v="0"/>
    <x v="9"/>
    <x v="1"/>
    <x v="7"/>
    <x v="3"/>
  </r>
  <r>
    <x v="1350"/>
    <x v="2"/>
    <x v="2"/>
    <n v="77.900000000000006"/>
    <n v="233.70000000000002"/>
    <d v="2025-02-21T00:00:00"/>
    <d v="2025-02-25T00:00:00"/>
    <x v="2"/>
    <x v="1"/>
    <n v="5"/>
    <x v="0"/>
    <x v="19"/>
    <x v="5"/>
    <x v="7"/>
    <x v="2"/>
  </r>
  <r>
    <x v="1351"/>
    <x v="18"/>
    <x v="12"/>
    <n v="37.1"/>
    <n v="148.4"/>
    <d v="2025-02-21T00:00:00"/>
    <d v="2025-02-23T00:00:00"/>
    <x v="1"/>
    <x v="4"/>
    <n v="5"/>
    <x v="0"/>
    <x v="19"/>
    <x v="1"/>
    <x v="7"/>
    <x v="1"/>
  </r>
  <r>
    <x v="1352"/>
    <x v="16"/>
    <x v="2"/>
    <n v="51.6"/>
    <n v="154.80000000000001"/>
    <d v="2025-02-21T00:00:00"/>
    <d v="2025-03-01T00:00:00"/>
    <x v="2"/>
    <x v="0"/>
    <n v="2"/>
    <x v="0"/>
    <x v="19"/>
    <x v="9"/>
    <x v="7"/>
    <x v="2"/>
  </r>
  <r>
    <x v="1353"/>
    <x v="7"/>
    <x v="2"/>
    <n v="98"/>
    <n v="294"/>
    <d v="2025-02-21T00:00:00"/>
    <d v="2025-02-22T00:00:00"/>
    <x v="1"/>
    <x v="1"/>
    <n v="3"/>
    <x v="0"/>
    <x v="19"/>
    <x v="3"/>
    <x v="7"/>
    <x v="1"/>
  </r>
  <r>
    <x v="1354"/>
    <x v="6"/>
    <x v="3"/>
    <n v="41.4"/>
    <n v="289.8"/>
    <d v="2025-02-21T00:00:00"/>
    <d v="2025-02-22T00:00:00"/>
    <x v="1"/>
    <x v="1"/>
    <n v="4"/>
    <x v="0"/>
    <x v="20"/>
    <x v="3"/>
    <x v="7"/>
    <x v="1"/>
  </r>
  <r>
    <x v="1355"/>
    <x v="11"/>
    <x v="8"/>
    <n v="34"/>
    <n v="272"/>
    <d v="2025-02-21T00:00:00"/>
    <d v="2025-02-26T00:00:00"/>
    <x v="2"/>
    <x v="0"/>
    <n v="5"/>
    <x v="0"/>
    <x v="52"/>
    <x v="0"/>
    <x v="7"/>
    <x v="2"/>
  </r>
  <r>
    <x v="1356"/>
    <x v="6"/>
    <x v="0"/>
    <n v="66.3"/>
    <n v="66.3"/>
    <d v="2025-02-21T00:00:00"/>
    <d v="2025-02-22T00:00:00"/>
    <x v="2"/>
    <x v="1"/>
    <n v="4"/>
    <x v="0"/>
    <x v="13"/>
    <x v="3"/>
    <x v="7"/>
    <x v="2"/>
  </r>
  <r>
    <x v="1357"/>
    <x v="7"/>
    <x v="0"/>
    <n v="33.5"/>
    <n v="33.5"/>
    <d v="2025-02-21T00:00:00"/>
    <d v="2025-02-25T00:00:00"/>
    <x v="1"/>
    <x v="2"/>
    <n v="4"/>
    <x v="0"/>
    <x v="13"/>
    <x v="5"/>
    <x v="7"/>
    <x v="1"/>
  </r>
  <r>
    <x v="1358"/>
    <x v="12"/>
    <x v="1"/>
    <n v="70.8"/>
    <n v="141.6"/>
    <d v="2025-02-21T00:00:00"/>
    <d v="2025-02-22T00:00:00"/>
    <x v="0"/>
    <x v="0"/>
    <n v="4"/>
    <x v="0"/>
    <x v="28"/>
    <x v="3"/>
    <x v="7"/>
    <x v="0"/>
  </r>
  <r>
    <x v="1359"/>
    <x v="6"/>
    <x v="1"/>
    <n v="127.6"/>
    <n v="255.2"/>
    <d v="2025-02-21T00:00:00"/>
    <d v="2025-02-22T00:00:00"/>
    <x v="1"/>
    <x v="0"/>
    <n v="4"/>
    <x v="0"/>
    <x v="21"/>
    <x v="3"/>
    <x v="7"/>
    <x v="1"/>
  </r>
  <r>
    <x v="1360"/>
    <x v="6"/>
    <x v="2"/>
    <n v="95.9"/>
    <n v="287.70000000000005"/>
    <d v="2025-02-21T00:00:00"/>
    <d v="2025-02-22T00:00:00"/>
    <x v="2"/>
    <x v="1"/>
    <n v="3"/>
    <x v="0"/>
    <x v="21"/>
    <x v="3"/>
    <x v="7"/>
    <x v="2"/>
  </r>
  <r>
    <x v="1361"/>
    <x v="2"/>
    <x v="1"/>
    <n v="78.099999999999994"/>
    <n v="156.19999999999999"/>
    <d v="2025-02-21T00:00:00"/>
    <d v="2025-02-22T00:00:00"/>
    <x v="1"/>
    <x v="0"/>
    <n v="4"/>
    <x v="0"/>
    <x v="1"/>
    <x v="3"/>
    <x v="7"/>
    <x v="1"/>
  </r>
  <r>
    <x v="1362"/>
    <x v="13"/>
    <x v="1"/>
    <n v="43.2"/>
    <n v="86.4"/>
    <d v="2025-02-21T00:00:00"/>
    <d v="2025-02-22T00:00:00"/>
    <x v="0"/>
    <x v="1"/>
    <n v="3"/>
    <x v="0"/>
    <x v="1"/>
    <x v="3"/>
    <x v="7"/>
    <x v="0"/>
  </r>
  <r>
    <x v="1363"/>
    <x v="8"/>
    <x v="12"/>
    <n v="28.4"/>
    <n v="113.6"/>
    <d v="2025-02-21T00:00:00"/>
    <d v="2025-02-27T00:00:00"/>
    <x v="1"/>
    <x v="2"/>
    <n v="4"/>
    <x v="0"/>
    <x v="3"/>
    <x v="4"/>
    <x v="7"/>
    <x v="1"/>
  </r>
  <r>
    <x v="1364"/>
    <x v="2"/>
    <x v="1"/>
    <n v="81.7"/>
    <n v="163.4"/>
    <d v="2025-02-21T00:00:00"/>
    <d v="2025-02-21T00:00:00"/>
    <x v="1"/>
    <x v="0"/>
    <n v="4"/>
    <x v="0"/>
    <x v="3"/>
    <x v="7"/>
    <x v="7"/>
    <x v="1"/>
  </r>
  <r>
    <x v="1365"/>
    <x v="18"/>
    <x v="1"/>
    <n v="56.7"/>
    <n v="113.4"/>
    <d v="2025-02-21T00:00:00"/>
    <d v="2025-02-23T00:00:00"/>
    <x v="0"/>
    <x v="0"/>
    <n v="5"/>
    <x v="0"/>
    <x v="3"/>
    <x v="1"/>
    <x v="7"/>
    <x v="0"/>
  </r>
  <r>
    <x v="1366"/>
    <x v="3"/>
    <x v="12"/>
    <n v="66.5"/>
    <n v="266"/>
    <d v="2025-02-21T00:00:00"/>
    <d v="2025-02-21T00:00:00"/>
    <x v="2"/>
    <x v="0"/>
    <n v="5"/>
    <x v="0"/>
    <x v="3"/>
    <x v="7"/>
    <x v="7"/>
    <x v="2"/>
  </r>
  <r>
    <x v="1367"/>
    <x v="1"/>
    <x v="1"/>
    <n v="105.3"/>
    <n v="210.6"/>
    <d v="2025-02-21T00:00:00"/>
    <d v="2025-02-25T00:00:00"/>
    <x v="1"/>
    <x v="0"/>
    <n v="3"/>
    <x v="0"/>
    <x v="3"/>
    <x v="5"/>
    <x v="7"/>
    <x v="1"/>
  </r>
  <r>
    <x v="1368"/>
    <x v="10"/>
    <x v="9"/>
    <n v="33.799999999999997"/>
    <n v="169"/>
    <d v="2025-02-21T00:00:00"/>
    <d v="2025-02-26T00:00:00"/>
    <x v="1"/>
    <x v="0"/>
    <n v="4"/>
    <x v="0"/>
    <x v="3"/>
    <x v="0"/>
    <x v="7"/>
    <x v="1"/>
  </r>
  <r>
    <x v="1369"/>
    <x v="6"/>
    <x v="2"/>
    <n v="63.4"/>
    <n v="190.2"/>
    <d v="2025-02-21T00:00:00"/>
    <d v="2025-02-26T00:00:00"/>
    <x v="1"/>
    <x v="3"/>
    <n v="3"/>
    <x v="0"/>
    <x v="24"/>
    <x v="0"/>
    <x v="7"/>
    <x v="1"/>
  </r>
  <r>
    <x v="1370"/>
    <x v="6"/>
    <x v="2"/>
    <n v="49"/>
    <n v="147"/>
    <d v="2025-02-21T00:00:00"/>
    <d v="2025-02-25T00:00:00"/>
    <x v="1"/>
    <x v="3"/>
    <n v="4"/>
    <x v="0"/>
    <x v="49"/>
    <x v="5"/>
    <x v="7"/>
    <x v="1"/>
  </r>
  <r>
    <x v="1371"/>
    <x v="1"/>
    <x v="1"/>
    <n v="40"/>
    <n v="80"/>
    <d v="2025-02-21T00:00:00"/>
    <d v="2025-02-22T00:00:00"/>
    <x v="2"/>
    <x v="4"/>
    <n v="3"/>
    <x v="0"/>
    <x v="23"/>
    <x v="3"/>
    <x v="7"/>
    <x v="2"/>
  </r>
  <r>
    <x v="1372"/>
    <x v="6"/>
    <x v="12"/>
    <n v="86.3"/>
    <n v="345.2"/>
    <d v="2025-02-21T00:00:00"/>
    <d v="2025-02-22T00:00:00"/>
    <x v="3"/>
    <x v="0"/>
    <n v="4"/>
    <x v="0"/>
    <x v="6"/>
    <x v="3"/>
    <x v="7"/>
    <x v="3"/>
  </r>
  <r>
    <x v="1373"/>
    <x v="6"/>
    <x v="0"/>
    <n v="51.6"/>
    <n v="51.6"/>
    <d v="2025-02-21T00:00:00"/>
    <d v="2025-02-23T00:00:00"/>
    <x v="2"/>
    <x v="2"/>
    <n v="5"/>
    <x v="0"/>
    <x v="6"/>
    <x v="1"/>
    <x v="7"/>
    <x v="2"/>
  </r>
  <r>
    <x v="1374"/>
    <x v="10"/>
    <x v="2"/>
    <n v="26.7"/>
    <n v="80.099999999999994"/>
    <d v="2025-02-21T00:00:00"/>
    <d v="2025-02-26T00:00:00"/>
    <x v="2"/>
    <x v="2"/>
    <n v="3"/>
    <x v="0"/>
    <x v="6"/>
    <x v="0"/>
    <x v="7"/>
    <x v="2"/>
  </r>
  <r>
    <x v="1375"/>
    <x v="18"/>
    <x v="1"/>
    <n v="68.099999999999994"/>
    <n v="136.19999999999999"/>
    <d v="2025-02-21T00:00:00"/>
    <d v="2025-02-22T00:00:00"/>
    <x v="1"/>
    <x v="0"/>
    <n v="3"/>
    <x v="0"/>
    <x v="6"/>
    <x v="3"/>
    <x v="7"/>
    <x v="1"/>
  </r>
  <r>
    <x v="1376"/>
    <x v="1"/>
    <x v="0"/>
    <n v="81.7"/>
    <n v="81.7"/>
    <d v="2025-02-21T00:00:00"/>
    <d v="2025-02-22T00:00:00"/>
    <x v="1"/>
    <x v="0"/>
    <n v="4"/>
    <x v="0"/>
    <x v="7"/>
    <x v="3"/>
    <x v="7"/>
    <x v="1"/>
  </r>
  <r>
    <x v="1377"/>
    <x v="18"/>
    <x v="7"/>
    <n v="25.1"/>
    <n v="251"/>
    <d v="2025-02-21T00:00:00"/>
    <d v="2025-02-24T00:00:00"/>
    <x v="1"/>
    <x v="3"/>
    <n v="3"/>
    <x v="0"/>
    <x v="8"/>
    <x v="2"/>
    <x v="7"/>
    <x v="1"/>
  </r>
  <r>
    <x v="1378"/>
    <x v="8"/>
    <x v="0"/>
    <n v="20.2"/>
    <n v="20.2"/>
    <d v="2025-02-21T00:00:00"/>
    <d v="2025-02-25T00:00:00"/>
    <x v="2"/>
    <x v="0"/>
    <n v="4"/>
    <x v="0"/>
    <x v="8"/>
    <x v="5"/>
    <x v="7"/>
    <x v="2"/>
  </r>
  <r>
    <x v="1379"/>
    <x v="8"/>
    <x v="2"/>
    <n v="15.4"/>
    <n v="46.2"/>
    <d v="2025-02-21T00:00:00"/>
    <d v="2025-02-22T00:00:00"/>
    <x v="1"/>
    <x v="1"/>
    <n v="5"/>
    <x v="0"/>
    <x v="8"/>
    <x v="3"/>
    <x v="7"/>
    <x v="1"/>
  </r>
  <r>
    <x v="1380"/>
    <x v="10"/>
    <x v="0"/>
    <n v="59.2"/>
    <n v="59.2"/>
    <d v="2025-02-21T00:00:00"/>
    <d v="2025-02-22T00:00:00"/>
    <x v="1"/>
    <x v="2"/>
    <n v="5"/>
    <x v="0"/>
    <x v="17"/>
    <x v="3"/>
    <x v="7"/>
    <x v="1"/>
  </r>
  <r>
    <x v="1381"/>
    <x v="0"/>
    <x v="0"/>
    <n v="46.7"/>
    <n v="46.7"/>
    <d v="2025-02-21T00:00:00"/>
    <d v="2025-02-26T00:00:00"/>
    <x v="1"/>
    <x v="0"/>
    <n v="4"/>
    <x v="0"/>
    <x v="17"/>
    <x v="0"/>
    <x v="7"/>
    <x v="1"/>
  </r>
  <r>
    <x v="1382"/>
    <x v="6"/>
    <x v="20"/>
    <n v="41.6"/>
    <n v="624"/>
    <d v="2025-02-21T00:00:00"/>
    <d v="2025-02-23T00:00:00"/>
    <x v="1"/>
    <x v="1"/>
    <n v="4"/>
    <x v="0"/>
    <x v="26"/>
    <x v="1"/>
    <x v="7"/>
    <x v="1"/>
  </r>
  <r>
    <x v="1383"/>
    <x v="8"/>
    <x v="1"/>
    <n v="19.2"/>
    <n v="38.4"/>
    <d v="2025-02-21T00:00:00"/>
    <d v="2025-02-24T00:00:00"/>
    <x v="1"/>
    <x v="4"/>
    <n v="5"/>
    <x v="0"/>
    <x v="9"/>
    <x v="2"/>
    <x v="7"/>
    <x v="1"/>
  </r>
  <r>
    <x v="1384"/>
    <x v="17"/>
    <x v="3"/>
    <n v="41.8"/>
    <n v="292.59999999999997"/>
    <d v="2025-02-21T00:00:00"/>
    <d v="2025-02-23T00:00:00"/>
    <x v="2"/>
    <x v="2"/>
    <n v="4"/>
    <x v="0"/>
    <x v="11"/>
    <x v="1"/>
    <x v="7"/>
    <x v="2"/>
  </r>
  <r>
    <x v="1385"/>
    <x v="8"/>
    <x v="13"/>
    <n v="37.4"/>
    <n v="224.39999999999998"/>
    <d v="2025-02-21T00:00:00"/>
    <d v="2025-02-23T00:00:00"/>
    <x v="1"/>
    <x v="0"/>
    <n v="5"/>
    <x v="0"/>
    <x v="11"/>
    <x v="1"/>
    <x v="7"/>
    <x v="1"/>
  </r>
  <r>
    <x v="1386"/>
    <x v="10"/>
    <x v="2"/>
    <n v="60.2"/>
    <n v="180.60000000000002"/>
    <d v="2025-02-21T00:00:00"/>
    <d v="2025-02-24T00:00:00"/>
    <x v="1"/>
    <x v="4"/>
    <n v="3"/>
    <x v="0"/>
    <x v="38"/>
    <x v="2"/>
    <x v="7"/>
    <x v="1"/>
  </r>
  <r>
    <x v="1387"/>
    <x v="9"/>
    <x v="1"/>
    <n v="91.5"/>
    <n v="183"/>
    <d v="2025-02-22T00:00:00"/>
    <d v="2025-02-23T00:00:00"/>
    <x v="1"/>
    <x v="0"/>
    <n v="4"/>
    <x v="0"/>
    <x v="13"/>
    <x v="3"/>
    <x v="7"/>
    <x v="1"/>
  </r>
  <r>
    <x v="1388"/>
    <x v="3"/>
    <x v="9"/>
    <n v="55.7"/>
    <n v="278.5"/>
    <d v="2025-02-22T00:00:00"/>
    <d v="2025-02-24T00:00:00"/>
    <x v="0"/>
    <x v="1"/>
    <n v="5"/>
    <x v="0"/>
    <x v="21"/>
    <x v="1"/>
    <x v="7"/>
    <x v="0"/>
  </r>
  <r>
    <x v="1389"/>
    <x v="7"/>
    <x v="1"/>
    <n v="76.7"/>
    <n v="153.4"/>
    <d v="2025-02-22T00:00:00"/>
    <d v="2025-02-24T00:00:00"/>
    <x v="1"/>
    <x v="0"/>
    <n v="3"/>
    <x v="0"/>
    <x v="21"/>
    <x v="1"/>
    <x v="7"/>
    <x v="1"/>
  </r>
  <r>
    <x v="1390"/>
    <x v="8"/>
    <x v="38"/>
    <n v="28.2"/>
    <n v="592.19999999999993"/>
    <d v="2025-02-22T00:00:00"/>
    <d v="2025-02-27T00:00:00"/>
    <x v="1"/>
    <x v="2"/>
    <n v="4"/>
    <x v="0"/>
    <x v="1"/>
    <x v="0"/>
    <x v="7"/>
    <x v="1"/>
  </r>
  <r>
    <x v="1391"/>
    <x v="7"/>
    <x v="9"/>
    <n v="93.2"/>
    <n v="466"/>
    <d v="2025-02-22T00:00:00"/>
    <d v="2025-02-24T00:00:00"/>
    <x v="2"/>
    <x v="4"/>
    <n v="5"/>
    <x v="0"/>
    <x v="1"/>
    <x v="1"/>
    <x v="7"/>
    <x v="2"/>
  </r>
  <r>
    <x v="1392"/>
    <x v="17"/>
    <x v="0"/>
    <n v="33.299999999999997"/>
    <n v="33.299999999999997"/>
    <d v="2025-02-22T00:00:00"/>
    <d v="2025-02-23T00:00:00"/>
    <x v="1"/>
    <x v="4"/>
    <n v="4"/>
    <x v="0"/>
    <x v="2"/>
    <x v="3"/>
    <x v="7"/>
    <x v="1"/>
  </r>
  <r>
    <x v="1393"/>
    <x v="10"/>
    <x v="1"/>
    <n v="39.1"/>
    <n v="78.2"/>
    <d v="2025-02-22T00:00:00"/>
    <d v="2025-02-25T00:00:00"/>
    <x v="1"/>
    <x v="0"/>
    <n v="4"/>
    <x v="0"/>
    <x v="44"/>
    <x v="2"/>
    <x v="7"/>
    <x v="1"/>
  </r>
  <r>
    <x v="1394"/>
    <x v="7"/>
    <x v="4"/>
    <n v="45.3"/>
    <n v="543.59999999999991"/>
    <d v="2025-02-22T00:00:00"/>
    <d v="2025-02-23T00:00:00"/>
    <x v="1"/>
    <x v="2"/>
    <n v="4"/>
    <x v="0"/>
    <x v="33"/>
    <x v="3"/>
    <x v="7"/>
    <x v="1"/>
  </r>
  <r>
    <x v="1395"/>
    <x v="9"/>
    <x v="3"/>
    <n v="33.9"/>
    <n v="237.29999999999998"/>
    <d v="2025-02-22T00:00:00"/>
    <d v="2025-02-23T00:00:00"/>
    <x v="1"/>
    <x v="4"/>
    <n v="4"/>
    <x v="0"/>
    <x v="33"/>
    <x v="3"/>
    <x v="7"/>
    <x v="1"/>
  </r>
  <r>
    <x v="1396"/>
    <x v="8"/>
    <x v="2"/>
    <n v="19"/>
    <n v="57"/>
    <d v="2025-02-22T00:00:00"/>
    <d v="2025-02-23T00:00:00"/>
    <x v="1"/>
    <x v="0"/>
    <n v="5"/>
    <x v="0"/>
    <x v="15"/>
    <x v="3"/>
    <x v="7"/>
    <x v="1"/>
  </r>
  <r>
    <x v="1397"/>
    <x v="4"/>
    <x v="0"/>
    <n v="41.9"/>
    <n v="41.9"/>
    <d v="2025-02-22T00:00:00"/>
    <d v="2025-02-25T00:00:00"/>
    <x v="2"/>
    <x v="2"/>
    <n v="4"/>
    <x v="0"/>
    <x v="22"/>
    <x v="2"/>
    <x v="7"/>
    <x v="2"/>
  </r>
  <r>
    <x v="1398"/>
    <x v="1"/>
    <x v="12"/>
    <n v="37.5"/>
    <n v="150"/>
    <d v="2025-02-22T00:00:00"/>
    <d v="2025-02-22T00:00:00"/>
    <x v="2"/>
    <x v="0"/>
    <n v="4"/>
    <x v="0"/>
    <x v="3"/>
    <x v="7"/>
    <x v="7"/>
    <x v="2"/>
  </r>
  <r>
    <x v="1399"/>
    <x v="0"/>
    <x v="1"/>
    <n v="40.799999999999997"/>
    <n v="81.599999999999994"/>
    <d v="2025-02-22T00:00:00"/>
    <d v="2025-02-25T00:00:00"/>
    <x v="1"/>
    <x v="0"/>
    <n v="4"/>
    <x v="0"/>
    <x v="3"/>
    <x v="2"/>
    <x v="7"/>
    <x v="1"/>
  </r>
  <r>
    <x v="1400"/>
    <x v="0"/>
    <x v="12"/>
    <n v="23.1"/>
    <n v="92.4"/>
    <d v="2025-02-22T00:00:00"/>
    <d v="2025-02-23T00:00:00"/>
    <x v="2"/>
    <x v="4"/>
    <n v="4"/>
    <x v="0"/>
    <x v="3"/>
    <x v="3"/>
    <x v="7"/>
    <x v="2"/>
  </r>
  <r>
    <x v="1401"/>
    <x v="8"/>
    <x v="9"/>
    <n v="39.299999999999997"/>
    <n v="196.5"/>
    <d v="2025-02-22T00:00:00"/>
    <d v="2025-02-23T00:00:00"/>
    <x v="2"/>
    <x v="0"/>
    <n v="4"/>
    <x v="0"/>
    <x v="3"/>
    <x v="3"/>
    <x v="7"/>
    <x v="2"/>
  </r>
  <r>
    <x v="1402"/>
    <x v="2"/>
    <x v="12"/>
    <n v="85.2"/>
    <n v="340.8"/>
    <d v="2025-02-22T00:00:00"/>
    <d v="2025-02-27T00:00:00"/>
    <x v="1"/>
    <x v="2"/>
    <n v="4"/>
    <x v="0"/>
    <x v="3"/>
    <x v="0"/>
    <x v="7"/>
    <x v="1"/>
  </r>
  <r>
    <x v="1403"/>
    <x v="8"/>
    <x v="13"/>
    <n v="16"/>
    <n v="96"/>
    <d v="2025-02-22T00:00:00"/>
    <d v="2025-02-25T00:00:00"/>
    <x v="1"/>
    <x v="1"/>
    <n v="4"/>
    <x v="0"/>
    <x v="3"/>
    <x v="2"/>
    <x v="7"/>
    <x v="1"/>
  </r>
  <r>
    <x v="1404"/>
    <x v="1"/>
    <x v="1"/>
    <n v="33.799999999999997"/>
    <n v="67.599999999999994"/>
    <d v="2025-02-22T00:00:00"/>
    <d v="2025-02-26T00:00:00"/>
    <x v="2"/>
    <x v="1"/>
    <n v="4"/>
    <x v="0"/>
    <x v="3"/>
    <x v="5"/>
    <x v="7"/>
    <x v="2"/>
  </r>
  <r>
    <x v="1405"/>
    <x v="3"/>
    <x v="0"/>
    <n v="70"/>
    <n v="70"/>
    <d v="2025-02-22T00:00:00"/>
    <d v="2025-02-23T00:00:00"/>
    <x v="2"/>
    <x v="0"/>
    <n v="4"/>
    <x v="0"/>
    <x v="3"/>
    <x v="3"/>
    <x v="7"/>
    <x v="2"/>
  </r>
  <r>
    <x v="1406"/>
    <x v="9"/>
    <x v="0"/>
    <n v="88"/>
    <n v="88"/>
    <d v="2025-02-22T00:00:00"/>
    <d v="2025-02-27T00:00:00"/>
    <x v="2"/>
    <x v="3"/>
    <n v="4"/>
    <x v="0"/>
    <x v="3"/>
    <x v="0"/>
    <x v="7"/>
    <x v="2"/>
  </r>
  <r>
    <x v="1407"/>
    <x v="2"/>
    <x v="2"/>
    <n v="74.099999999999994"/>
    <n v="222.29999999999998"/>
    <d v="2025-02-22T00:00:00"/>
    <d v="2025-02-22T00:00:00"/>
    <x v="1"/>
    <x v="4"/>
    <n v="3"/>
    <x v="0"/>
    <x v="3"/>
    <x v="7"/>
    <x v="7"/>
    <x v="1"/>
  </r>
  <r>
    <x v="1408"/>
    <x v="2"/>
    <x v="0"/>
    <n v="161.9"/>
    <n v="161.9"/>
    <d v="2025-02-22T00:00:00"/>
    <d v="2025-02-24T00:00:00"/>
    <x v="1"/>
    <x v="2"/>
    <n v="4"/>
    <x v="0"/>
    <x v="3"/>
    <x v="1"/>
    <x v="7"/>
    <x v="1"/>
  </r>
  <r>
    <x v="1409"/>
    <x v="4"/>
    <x v="1"/>
    <n v="44"/>
    <n v="88"/>
    <d v="2025-02-22T00:00:00"/>
    <d v="2025-02-23T00:00:00"/>
    <x v="3"/>
    <x v="4"/>
    <n v="3"/>
    <x v="0"/>
    <x v="3"/>
    <x v="3"/>
    <x v="7"/>
    <x v="3"/>
  </r>
  <r>
    <x v="1410"/>
    <x v="11"/>
    <x v="0"/>
    <n v="32.1"/>
    <n v="32.1"/>
    <d v="2025-02-22T00:00:00"/>
    <d v="2025-02-22T00:00:00"/>
    <x v="2"/>
    <x v="3"/>
    <n v="1"/>
    <x v="0"/>
    <x v="3"/>
    <x v="7"/>
    <x v="7"/>
    <x v="2"/>
  </r>
  <r>
    <x v="1411"/>
    <x v="2"/>
    <x v="12"/>
    <n v="104.8"/>
    <n v="419.2"/>
    <d v="2025-02-23T00:00:00"/>
    <d v="2025-02-25T00:00:00"/>
    <x v="3"/>
    <x v="0"/>
    <n v="4"/>
    <x v="0"/>
    <x v="3"/>
    <x v="1"/>
    <x v="8"/>
    <x v="3"/>
  </r>
  <r>
    <x v="1412"/>
    <x v="9"/>
    <x v="13"/>
    <n v="67.400000000000006"/>
    <n v="404.40000000000003"/>
    <d v="2025-02-23T00:00:00"/>
    <d v="2025-02-24T00:00:00"/>
    <x v="2"/>
    <x v="3"/>
    <n v="4"/>
    <x v="0"/>
    <x v="3"/>
    <x v="3"/>
    <x v="8"/>
    <x v="2"/>
  </r>
  <r>
    <x v="1413"/>
    <x v="6"/>
    <x v="1"/>
    <n v="115.2"/>
    <n v="230.4"/>
    <d v="2025-02-23T00:00:00"/>
    <d v="2025-02-24T00:00:00"/>
    <x v="2"/>
    <x v="1"/>
    <n v="4"/>
    <x v="0"/>
    <x v="4"/>
    <x v="3"/>
    <x v="8"/>
    <x v="2"/>
  </r>
  <r>
    <x v="1414"/>
    <x v="8"/>
    <x v="19"/>
    <n v="15.5"/>
    <n v="449.5"/>
    <d v="2025-02-23T00:00:00"/>
    <d v="2025-02-25T00:00:00"/>
    <x v="2"/>
    <x v="0"/>
    <n v="3"/>
    <x v="0"/>
    <x v="23"/>
    <x v="1"/>
    <x v="8"/>
    <x v="2"/>
  </r>
  <r>
    <x v="1415"/>
    <x v="6"/>
    <x v="5"/>
    <n v="66.400000000000006"/>
    <n v="730.40000000000009"/>
    <d v="2025-02-23T00:00:00"/>
    <d v="2025-02-25T00:00:00"/>
    <x v="2"/>
    <x v="0"/>
    <n v="4"/>
    <x v="0"/>
    <x v="6"/>
    <x v="1"/>
    <x v="8"/>
    <x v="2"/>
  </r>
  <r>
    <x v="1416"/>
    <x v="9"/>
    <x v="4"/>
    <n v="68.099999999999994"/>
    <n v="817.19999999999993"/>
    <d v="2025-02-23T00:00:00"/>
    <d v="2025-02-24T00:00:00"/>
    <x v="2"/>
    <x v="2"/>
    <n v="4"/>
    <x v="0"/>
    <x v="8"/>
    <x v="3"/>
    <x v="8"/>
    <x v="2"/>
  </r>
  <r>
    <x v="1417"/>
    <x v="8"/>
    <x v="9"/>
    <n v="32.5"/>
    <n v="162.5"/>
    <d v="2025-02-23T00:00:00"/>
    <d v="2025-02-27T00:00:00"/>
    <x v="1"/>
    <x v="2"/>
    <n v="3"/>
    <x v="0"/>
    <x v="8"/>
    <x v="5"/>
    <x v="8"/>
    <x v="1"/>
  </r>
  <r>
    <x v="1418"/>
    <x v="15"/>
    <x v="2"/>
    <n v="61.2"/>
    <n v="183.60000000000002"/>
    <d v="2025-02-23T00:00:00"/>
    <d v="2025-02-25T00:00:00"/>
    <x v="2"/>
    <x v="1"/>
    <n v="3"/>
    <x v="0"/>
    <x v="8"/>
    <x v="1"/>
    <x v="8"/>
    <x v="2"/>
  </r>
  <r>
    <x v="1419"/>
    <x v="9"/>
    <x v="1"/>
    <n v="54.2"/>
    <n v="108.4"/>
    <d v="2025-02-23T00:00:00"/>
    <d v="2025-02-24T00:00:00"/>
    <x v="2"/>
    <x v="1"/>
    <n v="4"/>
    <x v="0"/>
    <x v="8"/>
    <x v="3"/>
    <x v="8"/>
    <x v="2"/>
  </r>
  <r>
    <x v="1420"/>
    <x v="11"/>
    <x v="8"/>
    <n v="28.7"/>
    <n v="229.6"/>
    <d v="2025-02-23T00:00:00"/>
    <d v="2025-02-25T00:00:00"/>
    <x v="1"/>
    <x v="1"/>
    <n v="4"/>
    <x v="0"/>
    <x v="9"/>
    <x v="1"/>
    <x v="8"/>
    <x v="1"/>
  </r>
  <r>
    <x v="1421"/>
    <x v="12"/>
    <x v="13"/>
    <n v="38.200000000000003"/>
    <n v="229.20000000000002"/>
    <d v="2025-02-23T00:00:00"/>
    <d v="2025-02-27T00:00:00"/>
    <x v="2"/>
    <x v="0"/>
    <n v="3"/>
    <x v="0"/>
    <x v="9"/>
    <x v="5"/>
    <x v="8"/>
    <x v="2"/>
  </r>
  <r>
    <x v="1422"/>
    <x v="8"/>
    <x v="4"/>
    <n v="17.600000000000001"/>
    <n v="211.20000000000002"/>
    <d v="2025-02-23T00:00:00"/>
    <d v="2025-02-24T00:00:00"/>
    <x v="2"/>
    <x v="2"/>
    <n v="3"/>
    <x v="0"/>
    <x v="9"/>
    <x v="3"/>
    <x v="8"/>
    <x v="2"/>
  </r>
  <r>
    <x v="1423"/>
    <x v="10"/>
    <x v="2"/>
    <n v="74.599999999999994"/>
    <n v="223.79999999999998"/>
    <d v="2025-02-23T00:00:00"/>
    <d v="2025-02-23T00:00:00"/>
    <x v="2"/>
    <x v="2"/>
    <n v="4"/>
    <x v="0"/>
    <x v="11"/>
    <x v="7"/>
    <x v="8"/>
    <x v="2"/>
  </r>
  <r>
    <x v="1424"/>
    <x v="16"/>
    <x v="20"/>
    <n v="72.599999999999994"/>
    <n v="1089"/>
    <d v="2025-02-23T00:00:00"/>
    <d v="2025-02-23T00:00:00"/>
    <x v="0"/>
    <x v="1"/>
    <n v="3"/>
    <x v="0"/>
    <x v="11"/>
    <x v="7"/>
    <x v="8"/>
    <x v="0"/>
  </r>
  <r>
    <x v="1425"/>
    <x v="7"/>
    <x v="0"/>
    <n v="62.3"/>
    <n v="62.3"/>
    <d v="2025-02-23T00:00:00"/>
    <d v="2025-02-24T00:00:00"/>
    <x v="2"/>
    <x v="1"/>
    <n v="4"/>
    <x v="0"/>
    <x v="11"/>
    <x v="3"/>
    <x v="8"/>
    <x v="2"/>
  </r>
  <r>
    <x v="1426"/>
    <x v="3"/>
    <x v="2"/>
    <n v="33.799999999999997"/>
    <n v="101.39999999999999"/>
    <d v="2025-02-23T00:00:00"/>
    <d v="2025-02-25T00:00:00"/>
    <x v="1"/>
    <x v="0"/>
    <n v="5"/>
    <x v="0"/>
    <x v="20"/>
    <x v="1"/>
    <x v="8"/>
    <x v="1"/>
  </r>
  <r>
    <x v="1427"/>
    <x v="9"/>
    <x v="0"/>
    <n v="85.7"/>
    <n v="85.7"/>
    <d v="2025-02-23T00:00:00"/>
    <d v="2025-02-26T00:00:00"/>
    <x v="1"/>
    <x v="3"/>
    <n v="3"/>
    <x v="0"/>
    <x v="21"/>
    <x v="2"/>
    <x v="8"/>
    <x v="1"/>
  </r>
  <r>
    <x v="1428"/>
    <x v="6"/>
    <x v="1"/>
    <n v="92.1"/>
    <n v="184.2"/>
    <d v="2025-02-23T00:00:00"/>
    <d v="2025-02-25T00:00:00"/>
    <x v="1"/>
    <x v="1"/>
    <n v="4"/>
    <x v="0"/>
    <x v="21"/>
    <x v="1"/>
    <x v="8"/>
    <x v="1"/>
  </r>
  <r>
    <x v="1429"/>
    <x v="16"/>
    <x v="2"/>
    <n v="65.099999999999994"/>
    <n v="195.29999999999998"/>
    <d v="2025-02-23T00:00:00"/>
    <d v="2025-02-26T00:00:00"/>
    <x v="1"/>
    <x v="0"/>
    <n v="4"/>
    <x v="0"/>
    <x v="1"/>
    <x v="2"/>
    <x v="8"/>
    <x v="1"/>
  </r>
  <r>
    <x v="1430"/>
    <x v="9"/>
    <x v="3"/>
    <n v="20.3"/>
    <n v="142.1"/>
    <d v="2025-02-23T00:00:00"/>
    <d v="2025-02-24T00:00:00"/>
    <x v="2"/>
    <x v="2"/>
    <n v="5"/>
    <x v="0"/>
    <x v="2"/>
    <x v="3"/>
    <x v="8"/>
    <x v="2"/>
  </r>
  <r>
    <x v="1431"/>
    <x v="19"/>
    <x v="1"/>
    <n v="29.8"/>
    <n v="59.6"/>
    <d v="2025-02-23T00:00:00"/>
    <d v="2025-02-25T00:00:00"/>
    <x v="2"/>
    <x v="1"/>
    <n v="5"/>
    <x v="0"/>
    <x v="34"/>
    <x v="1"/>
    <x v="8"/>
    <x v="2"/>
  </r>
  <r>
    <x v="1432"/>
    <x v="0"/>
    <x v="1"/>
    <n v="24.2"/>
    <n v="48.4"/>
    <d v="2025-02-23T00:00:00"/>
    <d v="2025-02-25T00:00:00"/>
    <x v="2"/>
    <x v="3"/>
    <n v="5"/>
    <x v="0"/>
    <x v="3"/>
    <x v="1"/>
    <x v="8"/>
    <x v="2"/>
  </r>
  <r>
    <x v="1433"/>
    <x v="3"/>
    <x v="0"/>
    <n v="57.3"/>
    <n v="57.3"/>
    <d v="2025-02-23T00:00:00"/>
    <d v="2025-02-25T00:00:00"/>
    <x v="1"/>
    <x v="0"/>
    <n v="4"/>
    <x v="0"/>
    <x v="3"/>
    <x v="1"/>
    <x v="8"/>
    <x v="1"/>
  </r>
  <r>
    <x v="1434"/>
    <x v="2"/>
    <x v="0"/>
    <n v="108.9"/>
    <n v="108.9"/>
    <d v="2025-02-23T00:00:00"/>
    <d v="2025-02-25T00:00:00"/>
    <x v="2"/>
    <x v="1"/>
    <n v="4"/>
    <x v="0"/>
    <x v="3"/>
    <x v="1"/>
    <x v="8"/>
    <x v="2"/>
  </r>
  <r>
    <x v="1435"/>
    <x v="7"/>
    <x v="9"/>
    <n v="50.7"/>
    <n v="253.5"/>
    <d v="2025-02-23T00:00:00"/>
    <d v="2025-02-24T00:00:00"/>
    <x v="2"/>
    <x v="0"/>
    <n v="4"/>
    <x v="0"/>
    <x v="3"/>
    <x v="3"/>
    <x v="8"/>
    <x v="2"/>
  </r>
  <r>
    <x v="1436"/>
    <x v="7"/>
    <x v="11"/>
    <n v="66.099999999999994"/>
    <n v="594.9"/>
    <d v="2025-02-23T00:00:00"/>
    <d v="2025-03-09T00:00:00"/>
    <x v="2"/>
    <x v="1"/>
    <n v="4"/>
    <x v="0"/>
    <x v="3"/>
    <x v="12"/>
    <x v="8"/>
    <x v="2"/>
  </r>
  <r>
    <x v="1437"/>
    <x v="12"/>
    <x v="9"/>
    <n v="36.700000000000003"/>
    <n v="183.5"/>
    <d v="2025-02-23T00:00:00"/>
    <d v="2025-02-27T00:00:00"/>
    <x v="2"/>
    <x v="4"/>
    <n v="4"/>
    <x v="0"/>
    <x v="3"/>
    <x v="5"/>
    <x v="8"/>
    <x v="2"/>
  </r>
  <r>
    <x v="1438"/>
    <x v="8"/>
    <x v="14"/>
    <n v="19.3"/>
    <n v="328.1"/>
    <d v="2025-02-23T00:00:00"/>
    <d v="2025-02-25T00:00:00"/>
    <x v="1"/>
    <x v="0"/>
    <n v="4"/>
    <x v="0"/>
    <x v="43"/>
    <x v="1"/>
    <x v="8"/>
    <x v="1"/>
  </r>
  <r>
    <x v="1439"/>
    <x v="8"/>
    <x v="12"/>
    <n v="20.7"/>
    <n v="82.8"/>
    <d v="2025-02-23T00:00:00"/>
    <d v="2025-02-24T00:00:00"/>
    <x v="1"/>
    <x v="1"/>
    <n v="5"/>
    <x v="0"/>
    <x v="6"/>
    <x v="3"/>
    <x v="8"/>
    <x v="1"/>
  </r>
  <r>
    <x v="1440"/>
    <x v="5"/>
    <x v="2"/>
    <n v="54.7"/>
    <n v="164.10000000000002"/>
    <d v="2025-02-23T00:00:00"/>
    <d v="2025-02-23T00:00:00"/>
    <x v="3"/>
    <x v="1"/>
    <n v="2"/>
    <x v="0"/>
    <x v="6"/>
    <x v="7"/>
    <x v="8"/>
    <x v="3"/>
  </r>
  <r>
    <x v="1441"/>
    <x v="4"/>
    <x v="1"/>
    <n v="19.8"/>
    <n v="39.6"/>
    <d v="2025-02-23T00:00:00"/>
    <d v="2025-02-27T00:00:00"/>
    <x v="2"/>
    <x v="4"/>
    <n v="3"/>
    <x v="0"/>
    <x v="8"/>
    <x v="5"/>
    <x v="8"/>
    <x v="2"/>
  </r>
  <r>
    <x v="1442"/>
    <x v="7"/>
    <x v="0"/>
    <n v="41.1"/>
    <n v="41.1"/>
    <d v="2025-02-23T00:00:00"/>
    <d v="2025-02-25T00:00:00"/>
    <x v="2"/>
    <x v="0"/>
    <n v="5"/>
    <x v="0"/>
    <x v="8"/>
    <x v="1"/>
    <x v="8"/>
    <x v="2"/>
  </r>
  <r>
    <x v="1443"/>
    <x v="11"/>
    <x v="8"/>
    <n v="43.5"/>
    <n v="348"/>
    <d v="2025-02-23T00:00:00"/>
    <d v="2025-02-27T00:00:00"/>
    <x v="2"/>
    <x v="3"/>
    <n v="4"/>
    <x v="0"/>
    <x v="8"/>
    <x v="5"/>
    <x v="8"/>
    <x v="2"/>
  </r>
  <r>
    <x v="1444"/>
    <x v="8"/>
    <x v="21"/>
    <n v="19"/>
    <n v="266"/>
    <d v="2025-02-23T00:00:00"/>
    <d v="2025-02-24T00:00:00"/>
    <x v="1"/>
    <x v="0"/>
    <n v="4"/>
    <x v="0"/>
    <x v="26"/>
    <x v="3"/>
    <x v="8"/>
    <x v="1"/>
  </r>
  <r>
    <x v="1445"/>
    <x v="2"/>
    <x v="12"/>
    <n v="51.4"/>
    <n v="205.6"/>
    <d v="2025-02-23T00:00:00"/>
    <d v="2025-02-23T00:00:00"/>
    <x v="2"/>
    <x v="0"/>
    <n v="4"/>
    <x v="0"/>
    <x v="26"/>
    <x v="7"/>
    <x v="8"/>
    <x v="2"/>
  </r>
  <r>
    <x v="1446"/>
    <x v="10"/>
    <x v="1"/>
    <n v="39.799999999999997"/>
    <n v="79.599999999999994"/>
    <d v="2025-02-23T00:00:00"/>
    <d v="2025-02-26T00:00:00"/>
    <x v="1"/>
    <x v="3"/>
    <n v="3"/>
    <x v="0"/>
    <x v="13"/>
    <x v="2"/>
    <x v="8"/>
    <x v="1"/>
  </r>
  <r>
    <x v="1447"/>
    <x v="6"/>
    <x v="9"/>
    <n v="61"/>
    <n v="305"/>
    <d v="2025-02-23T00:00:00"/>
    <d v="2025-02-24T00:00:00"/>
    <x v="0"/>
    <x v="0"/>
    <n v="5"/>
    <x v="0"/>
    <x v="21"/>
    <x v="3"/>
    <x v="8"/>
    <x v="0"/>
  </r>
  <r>
    <x v="1448"/>
    <x v="8"/>
    <x v="5"/>
    <n v="15.1"/>
    <n v="166.1"/>
    <d v="2025-02-24T00:00:00"/>
    <d v="2025-03-01T00:00:00"/>
    <x v="1"/>
    <x v="3"/>
    <n v="5"/>
    <x v="0"/>
    <x v="2"/>
    <x v="0"/>
    <x v="8"/>
    <x v="1"/>
  </r>
  <r>
    <x v="1449"/>
    <x v="1"/>
    <x v="3"/>
    <n v="71.3"/>
    <n v="499.09999999999997"/>
    <d v="2025-02-24T00:00:00"/>
    <d v="2025-02-25T00:00:00"/>
    <x v="1"/>
    <x v="4"/>
    <n v="4"/>
    <x v="0"/>
    <x v="3"/>
    <x v="3"/>
    <x v="8"/>
    <x v="1"/>
  </r>
  <r>
    <x v="1450"/>
    <x v="10"/>
    <x v="0"/>
    <n v="25.8"/>
    <n v="25.8"/>
    <d v="2025-02-24T00:00:00"/>
    <d v="2025-02-26T00:00:00"/>
    <x v="2"/>
    <x v="0"/>
    <n v="5"/>
    <x v="0"/>
    <x v="3"/>
    <x v="1"/>
    <x v="8"/>
    <x v="2"/>
  </r>
  <r>
    <x v="1451"/>
    <x v="8"/>
    <x v="9"/>
    <n v="39.6"/>
    <n v="198"/>
    <d v="2025-02-24T00:00:00"/>
    <d v="2025-02-26T00:00:00"/>
    <x v="1"/>
    <x v="1"/>
    <n v="5"/>
    <x v="0"/>
    <x v="3"/>
    <x v="1"/>
    <x v="8"/>
    <x v="1"/>
  </r>
  <r>
    <x v="1452"/>
    <x v="5"/>
    <x v="1"/>
    <n v="64"/>
    <n v="128"/>
    <d v="2025-02-24T00:00:00"/>
    <d v="2025-02-24T00:00:00"/>
    <x v="1"/>
    <x v="1"/>
    <n v="3"/>
    <x v="0"/>
    <x v="3"/>
    <x v="7"/>
    <x v="8"/>
    <x v="1"/>
  </r>
  <r>
    <x v="1453"/>
    <x v="8"/>
    <x v="1"/>
    <n v="30.6"/>
    <n v="61.2"/>
    <d v="2025-02-24T00:00:00"/>
    <d v="2025-02-27T00:00:00"/>
    <x v="1"/>
    <x v="0"/>
    <n v="5"/>
    <x v="0"/>
    <x v="3"/>
    <x v="2"/>
    <x v="8"/>
    <x v="1"/>
  </r>
  <r>
    <x v="1454"/>
    <x v="8"/>
    <x v="1"/>
    <n v="21.3"/>
    <n v="42.6"/>
    <d v="2025-02-24T00:00:00"/>
    <d v="2025-02-25T00:00:00"/>
    <x v="1"/>
    <x v="0"/>
    <n v="3"/>
    <x v="0"/>
    <x v="3"/>
    <x v="3"/>
    <x v="8"/>
    <x v="1"/>
  </r>
  <r>
    <x v="1455"/>
    <x v="7"/>
    <x v="0"/>
    <n v="40.799999999999997"/>
    <n v="40.799999999999997"/>
    <d v="2025-02-24T00:00:00"/>
    <d v="2025-02-26T00:00:00"/>
    <x v="2"/>
    <x v="4"/>
    <n v="4"/>
    <x v="0"/>
    <x v="3"/>
    <x v="1"/>
    <x v="8"/>
    <x v="2"/>
  </r>
  <r>
    <x v="1456"/>
    <x v="9"/>
    <x v="12"/>
    <n v="27.7"/>
    <n v="110.8"/>
    <d v="2025-02-24T00:00:00"/>
    <d v="2025-02-25T00:00:00"/>
    <x v="2"/>
    <x v="0"/>
    <n v="3"/>
    <x v="0"/>
    <x v="3"/>
    <x v="3"/>
    <x v="8"/>
    <x v="2"/>
  </r>
  <r>
    <x v="1457"/>
    <x v="6"/>
    <x v="1"/>
    <n v="64.599999999999994"/>
    <n v="129.19999999999999"/>
    <d v="2025-02-24T00:00:00"/>
    <d v="2025-02-25T00:00:00"/>
    <x v="1"/>
    <x v="0"/>
    <n v="3"/>
    <x v="0"/>
    <x v="3"/>
    <x v="3"/>
    <x v="8"/>
    <x v="1"/>
  </r>
  <r>
    <x v="1458"/>
    <x v="6"/>
    <x v="27"/>
    <n v="91.1"/>
    <n v="1457.6"/>
    <d v="2025-02-24T00:00:00"/>
    <d v="2025-02-25T00:00:00"/>
    <x v="2"/>
    <x v="1"/>
    <n v="5"/>
    <x v="0"/>
    <x v="3"/>
    <x v="3"/>
    <x v="8"/>
    <x v="2"/>
  </r>
  <r>
    <x v="1459"/>
    <x v="1"/>
    <x v="0"/>
    <n v="39.5"/>
    <n v="39.5"/>
    <d v="2025-02-24T00:00:00"/>
    <d v="2025-03-04T00:00:00"/>
    <x v="2"/>
    <x v="0"/>
    <n v="4"/>
    <x v="0"/>
    <x v="3"/>
    <x v="9"/>
    <x v="8"/>
    <x v="2"/>
  </r>
  <r>
    <x v="1460"/>
    <x v="9"/>
    <x v="1"/>
    <n v="21.8"/>
    <n v="43.6"/>
    <d v="2025-02-24T00:00:00"/>
    <d v="2025-02-28T00:00:00"/>
    <x v="1"/>
    <x v="4"/>
    <n v="5"/>
    <x v="0"/>
    <x v="3"/>
    <x v="5"/>
    <x v="8"/>
    <x v="1"/>
  </r>
  <r>
    <x v="1461"/>
    <x v="8"/>
    <x v="1"/>
    <n v="51"/>
    <n v="102"/>
    <d v="2025-02-24T00:00:00"/>
    <d v="2025-02-27T00:00:00"/>
    <x v="1"/>
    <x v="3"/>
    <n v="5"/>
    <x v="0"/>
    <x v="3"/>
    <x v="2"/>
    <x v="8"/>
    <x v="1"/>
  </r>
  <r>
    <x v="1462"/>
    <x v="2"/>
    <x v="0"/>
    <n v="92.6"/>
    <n v="92.6"/>
    <d v="2025-02-24T00:00:00"/>
    <d v="2025-02-27T00:00:00"/>
    <x v="2"/>
    <x v="0"/>
    <n v="5"/>
    <x v="0"/>
    <x v="35"/>
    <x v="2"/>
    <x v="8"/>
    <x v="2"/>
  </r>
  <r>
    <x v="1463"/>
    <x v="9"/>
    <x v="1"/>
    <n v="31.1"/>
    <n v="62.2"/>
    <d v="2025-02-24T00:00:00"/>
    <d v="2025-03-01T00:00:00"/>
    <x v="0"/>
    <x v="1"/>
    <n v="1"/>
    <x v="0"/>
    <x v="23"/>
    <x v="0"/>
    <x v="8"/>
    <x v="0"/>
  </r>
  <r>
    <x v="1464"/>
    <x v="5"/>
    <x v="2"/>
    <n v="56.4"/>
    <n v="169.2"/>
    <d v="2025-02-24T00:00:00"/>
    <d v="2025-02-25T00:00:00"/>
    <x v="0"/>
    <x v="1"/>
    <n v="4"/>
    <x v="0"/>
    <x v="6"/>
    <x v="3"/>
    <x v="8"/>
    <x v="0"/>
  </r>
  <r>
    <x v="1465"/>
    <x v="9"/>
    <x v="0"/>
    <n v="41.9"/>
    <n v="41.9"/>
    <d v="2025-02-24T00:00:00"/>
    <d v="2025-02-24T00:00:00"/>
    <x v="1"/>
    <x v="1"/>
    <n v="4"/>
    <x v="0"/>
    <x v="6"/>
    <x v="7"/>
    <x v="8"/>
    <x v="1"/>
  </r>
  <r>
    <x v="1466"/>
    <x v="10"/>
    <x v="3"/>
    <n v="45.9"/>
    <n v="321.3"/>
    <d v="2025-02-24T00:00:00"/>
    <d v="2025-02-25T00:00:00"/>
    <x v="1"/>
    <x v="3"/>
    <n v="5"/>
    <x v="0"/>
    <x v="8"/>
    <x v="3"/>
    <x v="8"/>
    <x v="1"/>
  </r>
  <r>
    <x v="1467"/>
    <x v="14"/>
    <x v="11"/>
    <n v="24.4"/>
    <n v="219.6"/>
    <d v="2025-02-24T00:00:00"/>
    <d v="2025-02-28T00:00:00"/>
    <x v="1"/>
    <x v="3"/>
    <n v="5"/>
    <x v="0"/>
    <x v="8"/>
    <x v="5"/>
    <x v="8"/>
    <x v="1"/>
  </r>
  <r>
    <x v="1468"/>
    <x v="8"/>
    <x v="0"/>
    <n v="18.2"/>
    <n v="18.2"/>
    <d v="2025-02-24T00:00:00"/>
    <d v="2025-02-25T00:00:00"/>
    <x v="2"/>
    <x v="2"/>
    <n v="5"/>
    <x v="0"/>
    <x v="8"/>
    <x v="3"/>
    <x v="8"/>
    <x v="2"/>
  </r>
  <r>
    <x v="1469"/>
    <x v="8"/>
    <x v="12"/>
    <n v="51.2"/>
    <n v="204.8"/>
    <d v="2025-02-24T00:00:00"/>
    <d v="2025-02-25T00:00:00"/>
    <x v="2"/>
    <x v="0"/>
    <n v="4"/>
    <x v="0"/>
    <x v="8"/>
    <x v="3"/>
    <x v="8"/>
    <x v="2"/>
  </r>
  <r>
    <x v="1470"/>
    <x v="6"/>
    <x v="0"/>
    <n v="59.7"/>
    <n v="59.7"/>
    <d v="2025-02-24T00:00:00"/>
    <d v="2025-02-27T00:00:00"/>
    <x v="1"/>
    <x v="0"/>
    <n v="5"/>
    <x v="0"/>
    <x v="8"/>
    <x v="2"/>
    <x v="8"/>
    <x v="1"/>
  </r>
  <r>
    <x v="1471"/>
    <x v="4"/>
    <x v="1"/>
    <n v="33.6"/>
    <n v="67.2"/>
    <d v="2025-02-24T00:00:00"/>
    <d v="2025-02-26T00:00:00"/>
    <x v="2"/>
    <x v="0"/>
    <n v="4"/>
    <x v="0"/>
    <x v="17"/>
    <x v="1"/>
    <x v="8"/>
    <x v="2"/>
  </r>
  <r>
    <x v="1472"/>
    <x v="12"/>
    <x v="0"/>
    <n v="90.4"/>
    <n v="90.4"/>
    <d v="2025-02-24T00:00:00"/>
    <d v="2025-02-28T00:00:00"/>
    <x v="1"/>
    <x v="1"/>
    <n v="5"/>
    <x v="0"/>
    <x v="10"/>
    <x v="5"/>
    <x v="8"/>
    <x v="1"/>
  </r>
  <r>
    <x v="1473"/>
    <x v="11"/>
    <x v="2"/>
    <n v="70.3"/>
    <n v="210.89999999999998"/>
    <d v="2025-02-24T00:00:00"/>
    <d v="2025-02-24T00:00:00"/>
    <x v="1"/>
    <x v="1"/>
    <n v="5"/>
    <x v="0"/>
    <x v="11"/>
    <x v="7"/>
    <x v="8"/>
    <x v="1"/>
  </r>
  <r>
    <x v="1474"/>
    <x v="4"/>
    <x v="1"/>
    <n v="20.5"/>
    <n v="41"/>
    <d v="2025-02-24T00:00:00"/>
    <d v="2025-02-27T00:00:00"/>
    <x v="2"/>
    <x v="0"/>
    <n v="3"/>
    <x v="0"/>
    <x v="11"/>
    <x v="2"/>
    <x v="8"/>
    <x v="2"/>
  </r>
  <r>
    <x v="1475"/>
    <x v="5"/>
    <x v="5"/>
    <n v="37.6"/>
    <n v="413.6"/>
    <d v="2025-02-24T00:00:00"/>
    <d v="2025-02-25T00:00:00"/>
    <x v="1"/>
    <x v="0"/>
    <n v="4"/>
    <x v="0"/>
    <x v="38"/>
    <x v="3"/>
    <x v="8"/>
    <x v="1"/>
  </r>
  <r>
    <x v="1476"/>
    <x v="5"/>
    <x v="12"/>
    <n v="61.5"/>
    <n v="246"/>
    <d v="2025-02-24T00:00:00"/>
    <d v="2025-03-03T00:00:00"/>
    <x v="2"/>
    <x v="1"/>
    <n v="2"/>
    <x v="0"/>
    <x v="13"/>
    <x v="6"/>
    <x v="8"/>
    <x v="2"/>
  </r>
  <r>
    <x v="1477"/>
    <x v="9"/>
    <x v="0"/>
    <n v="33.5"/>
    <n v="33.5"/>
    <d v="2025-02-25T00:00:00"/>
    <d v="2025-03-01T00:00:00"/>
    <x v="1"/>
    <x v="4"/>
    <n v="3"/>
    <x v="0"/>
    <x v="21"/>
    <x v="5"/>
    <x v="8"/>
    <x v="1"/>
  </r>
  <r>
    <x v="1478"/>
    <x v="4"/>
    <x v="2"/>
    <n v="29.3"/>
    <n v="87.9"/>
    <d v="2025-02-25T00:00:00"/>
    <d v="2025-02-27T00:00:00"/>
    <x v="2"/>
    <x v="1"/>
    <n v="5"/>
    <x v="0"/>
    <x v="1"/>
    <x v="1"/>
    <x v="8"/>
    <x v="2"/>
  </r>
  <r>
    <x v="1479"/>
    <x v="2"/>
    <x v="1"/>
    <n v="125.9"/>
    <n v="251.8"/>
    <d v="2025-02-25T00:00:00"/>
    <d v="2025-03-02T00:00:00"/>
    <x v="2"/>
    <x v="4"/>
    <n v="3"/>
    <x v="0"/>
    <x v="1"/>
    <x v="0"/>
    <x v="8"/>
    <x v="2"/>
  </r>
  <r>
    <x v="1480"/>
    <x v="5"/>
    <x v="9"/>
    <n v="29.3"/>
    <n v="146.5"/>
    <d v="2025-02-25T00:00:00"/>
    <d v="2025-02-25T00:00:00"/>
    <x v="1"/>
    <x v="2"/>
    <n v="4"/>
    <x v="0"/>
    <x v="44"/>
    <x v="7"/>
    <x v="8"/>
    <x v="1"/>
  </r>
  <r>
    <x v="1481"/>
    <x v="9"/>
    <x v="0"/>
    <n v="37.799999999999997"/>
    <n v="37.799999999999997"/>
    <d v="2025-02-25T00:00:00"/>
    <d v="2025-02-28T00:00:00"/>
    <x v="2"/>
    <x v="0"/>
    <n v="5"/>
    <x v="0"/>
    <x v="3"/>
    <x v="2"/>
    <x v="8"/>
    <x v="2"/>
  </r>
  <r>
    <x v="1482"/>
    <x v="0"/>
    <x v="12"/>
    <n v="31.7"/>
    <n v="126.8"/>
    <d v="2025-02-25T00:00:00"/>
    <d v="2025-02-26T00:00:00"/>
    <x v="1"/>
    <x v="2"/>
    <n v="5"/>
    <x v="0"/>
    <x v="3"/>
    <x v="3"/>
    <x v="8"/>
    <x v="1"/>
  </r>
  <r>
    <x v="1483"/>
    <x v="8"/>
    <x v="9"/>
    <n v="26.3"/>
    <n v="131.5"/>
    <d v="2025-02-25T00:00:00"/>
    <d v="2025-02-26T00:00:00"/>
    <x v="2"/>
    <x v="3"/>
    <n v="5"/>
    <x v="0"/>
    <x v="3"/>
    <x v="3"/>
    <x v="8"/>
    <x v="2"/>
  </r>
  <r>
    <x v="1484"/>
    <x v="8"/>
    <x v="2"/>
    <n v="23.1"/>
    <n v="69.300000000000011"/>
    <d v="2025-02-25T00:00:00"/>
    <d v="2025-02-26T00:00:00"/>
    <x v="3"/>
    <x v="2"/>
    <n v="3"/>
    <x v="0"/>
    <x v="3"/>
    <x v="3"/>
    <x v="8"/>
    <x v="3"/>
  </r>
  <r>
    <x v="1485"/>
    <x v="4"/>
    <x v="0"/>
    <n v="22.3"/>
    <n v="22.3"/>
    <d v="2025-02-25T00:00:00"/>
    <d v="2025-02-27T00:00:00"/>
    <x v="2"/>
    <x v="2"/>
    <n v="4"/>
    <x v="0"/>
    <x v="3"/>
    <x v="1"/>
    <x v="8"/>
    <x v="2"/>
  </r>
  <r>
    <x v="1486"/>
    <x v="12"/>
    <x v="1"/>
    <n v="99.5"/>
    <n v="199"/>
    <d v="2025-02-25T00:00:00"/>
    <d v="2025-02-27T00:00:00"/>
    <x v="2"/>
    <x v="2"/>
    <n v="4"/>
    <x v="0"/>
    <x v="3"/>
    <x v="1"/>
    <x v="8"/>
    <x v="2"/>
  </r>
  <r>
    <x v="1487"/>
    <x v="12"/>
    <x v="12"/>
    <n v="47.4"/>
    <n v="189.6"/>
    <d v="2025-02-25T00:00:00"/>
    <d v="2025-02-28T00:00:00"/>
    <x v="2"/>
    <x v="1"/>
    <n v="4"/>
    <x v="0"/>
    <x v="3"/>
    <x v="2"/>
    <x v="8"/>
    <x v="2"/>
  </r>
  <r>
    <x v="1488"/>
    <x v="0"/>
    <x v="5"/>
    <n v="37.5"/>
    <n v="412.5"/>
    <d v="2025-02-25T00:00:00"/>
    <d v="2025-02-27T00:00:00"/>
    <x v="2"/>
    <x v="0"/>
    <n v="1"/>
    <x v="0"/>
    <x v="3"/>
    <x v="1"/>
    <x v="8"/>
    <x v="2"/>
  </r>
  <r>
    <x v="1489"/>
    <x v="10"/>
    <x v="0"/>
    <n v="45.1"/>
    <n v="45.1"/>
    <d v="2025-02-25T00:00:00"/>
    <d v="2025-03-02T00:00:00"/>
    <x v="1"/>
    <x v="3"/>
    <n v="5"/>
    <x v="0"/>
    <x v="24"/>
    <x v="0"/>
    <x v="8"/>
    <x v="1"/>
  </r>
  <r>
    <x v="1490"/>
    <x v="5"/>
    <x v="7"/>
    <n v="34.4"/>
    <n v="344"/>
    <d v="2025-02-25T00:00:00"/>
    <d v="2025-02-28T00:00:00"/>
    <x v="1"/>
    <x v="2"/>
    <n v="4"/>
    <x v="0"/>
    <x v="16"/>
    <x v="2"/>
    <x v="8"/>
    <x v="1"/>
  </r>
  <r>
    <x v="1491"/>
    <x v="4"/>
    <x v="1"/>
    <n v="38"/>
    <n v="76"/>
    <d v="2025-02-25T00:00:00"/>
    <d v="2025-02-27T00:00:00"/>
    <x v="2"/>
    <x v="1"/>
    <n v="4"/>
    <x v="0"/>
    <x v="5"/>
    <x v="1"/>
    <x v="8"/>
    <x v="2"/>
  </r>
  <r>
    <x v="1492"/>
    <x v="3"/>
    <x v="21"/>
    <n v="32.4"/>
    <n v="453.59999999999997"/>
    <d v="2025-02-25T00:00:00"/>
    <d v="2025-02-28T00:00:00"/>
    <x v="1"/>
    <x v="4"/>
    <n v="4"/>
    <x v="0"/>
    <x v="6"/>
    <x v="2"/>
    <x v="8"/>
    <x v="1"/>
  </r>
  <r>
    <x v="1493"/>
    <x v="6"/>
    <x v="2"/>
    <n v="40.9"/>
    <n v="122.69999999999999"/>
    <d v="2025-02-25T00:00:00"/>
    <d v="2025-02-25T00:00:00"/>
    <x v="0"/>
    <x v="1"/>
    <n v="4"/>
    <x v="0"/>
    <x v="8"/>
    <x v="7"/>
    <x v="8"/>
    <x v="0"/>
  </r>
  <r>
    <x v="1494"/>
    <x v="7"/>
    <x v="3"/>
    <n v="76.2"/>
    <n v="533.4"/>
    <d v="2025-02-25T00:00:00"/>
    <d v="2025-02-27T00:00:00"/>
    <x v="2"/>
    <x v="2"/>
    <n v="3"/>
    <x v="0"/>
    <x v="8"/>
    <x v="1"/>
    <x v="8"/>
    <x v="2"/>
  </r>
  <r>
    <x v="1495"/>
    <x v="2"/>
    <x v="0"/>
    <n v="85.6"/>
    <n v="85.6"/>
    <d v="2025-02-25T00:00:00"/>
    <d v="2025-02-27T00:00:00"/>
    <x v="1"/>
    <x v="2"/>
    <n v="4"/>
    <x v="0"/>
    <x v="8"/>
    <x v="1"/>
    <x v="8"/>
    <x v="1"/>
  </r>
  <r>
    <x v="1496"/>
    <x v="4"/>
    <x v="12"/>
    <n v="25"/>
    <n v="100"/>
    <d v="2025-02-25T00:00:00"/>
    <d v="2025-02-27T00:00:00"/>
    <x v="2"/>
    <x v="2"/>
    <n v="5"/>
    <x v="0"/>
    <x v="8"/>
    <x v="1"/>
    <x v="8"/>
    <x v="2"/>
  </r>
  <r>
    <x v="1497"/>
    <x v="2"/>
    <x v="9"/>
    <n v="150.69999999999999"/>
    <n v="753.5"/>
    <d v="2025-02-25T00:00:00"/>
    <d v="2025-02-26T00:00:00"/>
    <x v="0"/>
    <x v="0"/>
    <n v="5"/>
    <x v="0"/>
    <x v="8"/>
    <x v="3"/>
    <x v="8"/>
    <x v="0"/>
  </r>
  <r>
    <x v="1498"/>
    <x v="8"/>
    <x v="0"/>
    <n v="19.600000000000001"/>
    <n v="19.600000000000001"/>
    <d v="2025-02-25T00:00:00"/>
    <d v="2025-02-26T00:00:00"/>
    <x v="1"/>
    <x v="1"/>
    <n v="2"/>
    <x v="0"/>
    <x v="8"/>
    <x v="3"/>
    <x v="8"/>
    <x v="1"/>
  </r>
  <r>
    <x v="1499"/>
    <x v="13"/>
    <x v="1"/>
    <n v="37.5"/>
    <n v="75"/>
    <d v="2025-02-25T00:00:00"/>
    <d v="2025-02-28T00:00:00"/>
    <x v="2"/>
    <x v="1"/>
    <n v="5"/>
    <x v="0"/>
    <x v="17"/>
    <x v="2"/>
    <x v="8"/>
    <x v="2"/>
  </r>
  <r>
    <x v="1500"/>
    <x v="9"/>
    <x v="2"/>
    <n v="51.9"/>
    <n v="155.69999999999999"/>
    <d v="2025-02-25T00:00:00"/>
    <d v="2025-03-03T00:00:00"/>
    <x v="2"/>
    <x v="0"/>
    <n v="2"/>
    <x v="0"/>
    <x v="11"/>
    <x v="4"/>
    <x v="8"/>
    <x v="2"/>
  </r>
  <r>
    <x v="1501"/>
    <x v="1"/>
    <x v="1"/>
    <n v="30.9"/>
    <n v="61.8"/>
    <d v="2025-02-25T00:00:00"/>
    <d v="2025-02-27T00:00:00"/>
    <x v="2"/>
    <x v="1"/>
    <n v="4"/>
    <x v="0"/>
    <x v="18"/>
    <x v="1"/>
    <x v="8"/>
    <x v="2"/>
  </r>
  <r>
    <x v="1502"/>
    <x v="4"/>
    <x v="2"/>
    <n v="21.2"/>
    <n v="63.599999999999994"/>
    <d v="2025-02-25T00:00:00"/>
    <d v="2025-02-28T00:00:00"/>
    <x v="2"/>
    <x v="1"/>
    <n v="4"/>
    <x v="0"/>
    <x v="19"/>
    <x v="2"/>
    <x v="8"/>
    <x v="2"/>
  </r>
  <r>
    <x v="1503"/>
    <x v="13"/>
    <x v="14"/>
    <n v="17.5"/>
    <n v="297.5"/>
    <d v="2025-02-25T00:00:00"/>
    <d v="2025-02-26T00:00:00"/>
    <x v="1"/>
    <x v="1"/>
    <n v="3"/>
    <x v="0"/>
    <x v="13"/>
    <x v="3"/>
    <x v="8"/>
    <x v="1"/>
  </r>
  <r>
    <x v="1504"/>
    <x v="12"/>
    <x v="1"/>
    <n v="53.8"/>
    <n v="107.6"/>
    <d v="2025-02-25T00:00:00"/>
    <d v="2025-03-02T00:00:00"/>
    <x v="2"/>
    <x v="0"/>
    <n v="5"/>
    <x v="0"/>
    <x v="21"/>
    <x v="0"/>
    <x v="8"/>
    <x v="2"/>
  </r>
  <r>
    <x v="1505"/>
    <x v="19"/>
    <x v="1"/>
    <n v="17"/>
    <n v="34"/>
    <d v="2025-02-25T00:00:00"/>
    <d v="2025-02-26T00:00:00"/>
    <x v="1"/>
    <x v="3"/>
    <n v="4"/>
    <x v="0"/>
    <x v="21"/>
    <x v="3"/>
    <x v="8"/>
    <x v="1"/>
  </r>
  <r>
    <x v="1506"/>
    <x v="6"/>
    <x v="0"/>
    <n v="103.2"/>
    <n v="103.2"/>
    <d v="2025-02-25T00:00:00"/>
    <d v="2025-03-05T00:00:00"/>
    <x v="1"/>
    <x v="2"/>
    <n v="3"/>
    <x v="0"/>
    <x v="1"/>
    <x v="9"/>
    <x v="8"/>
    <x v="1"/>
  </r>
  <r>
    <x v="1507"/>
    <x v="6"/>
    <x v="12"/>
    <n v="70.3"/>
    <n v="281.2"/>
    <d v="2025-02-25T00:00:00"/>
    <d v="2025-02-26T00:00:00"/>
    <x v="1"/>
    <x v="0"/>
    <n v="4"/>
    <x v="0"/>
    <x v="3"/>
    <x v="3"/>
    <x v="8"/>
    <x v="1"/>
  </r>
  <r>
    <x v="1508"/>
    <x v="2"/>
    <x v="1"/>
    <n v="73.8"/>
    <n v="147.6"/>
    <d v="2025-02-25T00:00:00"/>
    <d v="2025-02-25T00:00:00"/>
    <x v="1"/>
    <x v="3"/>
    <n v="5"/>
    <x v="0"/>
    <x v="3"/>
    <x v="7"/>
    <x v="8"/>
    <x v="1"/>
  </r>
  <r>
    <x v="1509"/>
    <x v="1"/>
    <x v="4"/>
    <n v="67.7"/>
    <n v="812.40000000000009"/>
    <d v="2025-02-25T00:00:00"/>
    <d v="2025-03-01T00:00:00"/>
    <x v="1"/>
    <x v="1"/>
    <n v="3"/>
    <x v="0"/>
    <x v="3"/>
    <x v="5"/>
    <x v="8"/>
    <x v="1"/>
  </r>
  <r>
    <x v="1510"/>
    <x v="13"/>
    <x v="3"/>
    <n v="43.8"/>
    <n v="306.59999999999997"/>
    <d v="2025-02-25T00:00:00"/>
    <d v="2025-02-27T00:00:00"/>
    <x v="1"/>
    <x v="1"/>
    <n v="4"/>
    <x v="0"/>
    <x v="3"/>
    <x v="1"/>
    <x v="8"/>
    <x v="1"/>
  </r>
  <r>
    <x v="1511"/>
    <x v="17"/>
    <x v="13"/>
    <n v="71.900000000000006"/>
    <n v="431.40000000000003"/>
    <d v="2025-02-25T00:00:00"/>
    <d v="2025-02-26T00:00:00"/>
    <x v="2"/>
    <x v="2"/>
    <n v="4"/>
    <x v="0"/>
    <x v="3"/>
    <x v="3"/>
    <x v="8"/>
    <x v="2"/>
  </r>
  <r>
    <x v="1512"/>
    <x v="8"/>
    <x v="1"/>
    <n v="26.3"/>
    <n v="52.6"/>
    <d v="2025-02-26T00:00:00"/>
    <d v="2025-02-28T00:00:00"/>
    <x v="2"/>
    <x v="0"/>
    <n v="3"/>
    <x v="0"/>
    <x v="3"/>
    <x v="1"/>
    <x v="8"/>
    <x v="2"/>
  </r>
  <r>
    <x v="1513"/>
    <x v="6"/>
    <x v="12"/>
    <n v="52.6"/>
    <n v="210.4"/>
    <d v="2025-02-26T00:00:00"/>
    <d v="2025-02-28T00:00:00"/>
    <x v="2"/>
    <x v="2"/>
    <n v="3"/>
    <x v="0"/>
    <x v="3"/>
    <x v="1"/>
    <x v="8"/>
    <x v="2"/>
  </r>
  <r>
    <x v="1514"/>
    <x v="10"/>
    <x v="0"/>
    <n v="32.700000000000003"/>
    <n v="32.700000000000003"/>
    <d v="2025-02-26T00:00:00"/>
    <d v="2025-03-05T00:00:00"/>
    <x v="2"/>
    <x v="0"/>
    <n v="5"/>
    <x v="0"/>
    <x v="3"/>
    <x v="6"/>
    <x v="8"/>
    <x v="2"/>
  </r>
  <r>
    <x v="1515"/>
    <x v="5"/>
    <x v="12"/>
    <n v="38.9"/>
    <n v="155.6"/>
    <d v="2025-02-26T00:00:00"/>
    <d v="2025-02-27T00:00:00"/>
    <x v="2"/>
    <x v="0"/>
    <n v="4"/>
    <x v="0"/>
    <x v="3"/>
    <x v="3"/>
    <x v="8"/>
    <x v="2"/>
  </r>
  <r>
    <x v="1516"/>
    <x v="9"/>
    <x v="9"/>
    <n v="35"/>
    <n v="175"/>
    <d v="2025-02-26T00:00:00"/>
    <d v="2025-02-28T00:00:00"/>
    <x v="1"/>
    <x v="0"/>
    <n v="4"/>
    <x v="0"/>
    <x v="3"/>
    <x v="1"/>
    <x v="8"/>
    <x v="1"/>
  </r>
  <r>
    <x v="1517"/>
    <x v="2"/>
    <x v="1"/>
    <n v="121"/>
    <n v="242"/>
    <d v="2025-02-26T00:00:00"/>
    <d v="2025-02-27T00:00:00"/>
    <x v="2"/>
    <x v="1"/>
    <n v="3"/>
    <x v="0"/>
    <x v="3"/>
    <x v="3"/>
    <x v="8"/>
    <x v="2"/>
  </r>
  <r>
    <x v="1518"/>
    <x v="6"/>
    <x v="2"/>
    <n v="65.099999999999994"/>
    <n v="195.29999999999998"/>
    <d v="2025-02-26T00:00:00"/>
    <d v="2025-03-02T00:00:00"/>
    <x v="1"/>
    <x v="2"/>
    <n v="4"/>
    <x v="0"/>
    <x v="36"/>
    <x v="5"/>
    <x v="8"/>
    <x v="1"/>
  </r>
  <r>
    <x v="1519"/>
    <x v="1"/>
    <x v="38"/>
    <n v="63.8"/>
    <n v="1339.8"/>
    <d v="2025-02-26T00:00:00"/>
    <d v="2025-02-28T00:00:00"/>
    <x v="2"/>
    <x v="0"/>
    <n v="4"/>
    <x v="0"/>
    <x v="8"/>
    <x v="1"/>
    <x v="8"/>
    <x v="2"/>
  </r>
  <r>
    <x v="1520"/>
    <x v="7"/>
    <x v="0"/>
    <n v="77.7"/>
    <n v="77.7"/>
    <d v="2025-02-26T00:00:00"/>
    <d v="2025-02-28T00:00:00"/>
    <x v="1"/>
    <x v="0"/>
    <n v="4"/>
    <x v="0"/>
    <x v="8"/>
    <x v="1"/>
    <x v="8"/>
    <x v="1"/>
  </r>
  <r>
    <x v="1521"/>
    <x v="5"/>
    <x v="12"/>
    <n v="60.3"/>
    <n v="241.2"/>
    <d v="2025-02-26T00:00:00"/>
    <d v="2025-02-26T00:00:00"/>
    <x v="1"/>
    <x v="0"/>
    <n v="5"/>
    <x v="0"/>
    <x v="8"/>
    <x v="7"/>
    <x v="8"/>
    <x v="1"/>
  </r>
  <r>
    <x v="1522"/>
    <x v="5"/>
    <x v="1"/>
    <n v="124.1"/>
    <n v="248.2"/>
    <d v="2025-02-26T00:00:00"/>
    <d v="2025-03-01T00:00:00"/>
    <x v="2"/>
    <x v="0"/>
    <n v="5"/>
    <x v="0"/>
    <x v="8"/>
    <x v="2"/>
    <x v="8"/>
    <x v="2"/>
  </r>
  <r>
    <x v="1523"/>
    <x v="16"/>
    <x v="3"/>
    <n v="66"/>
    <n v="462"/>
    <d v="2025-02-26T00:00:00"/>
    <d v="2025-02-26T00:00:00"/>
    <x v="0"/>
    <x v="3"/>
    <n v="4"/>
    <x v="0"/>
    <x v="17"/>
    <x v="7"/>
    <x v="8"/>
    <x v="0"/>
  </r>
  <r>
    <x v="1524"/>
    <x v="2"/>
    <x v="42"/>
    <n v="118.2"/>
    <n v="7446.6"/>
    <d v="2025-02-26T00:00:00"/>
    <d v="2025-03-03T00:00:00"/>
    <x v="0"/>
    <x v="0"/>
    <n v="4"/>
    <x v="0"/>
    <x v="17"/>
    <x v="0"/>
    <x v="8"/>
    <x v="0"/>
  </r>
  <r>
    <x v="1525"/>
    <x v="5"/>
    <x v="9"/>
    <n v="64.3"/>
    <n v="321.5"/>
    <d v="2025-02-26T00:00:00"/>
    <d v="2025-02-27T00:00:00"/>
    <x v="1"/>
    <x v="4"/>
    <n v="2"/>
    <x v="0"/>
    <x v="26"/>
    <x v="3"/>
    <x v="8"/>
    <x v="1"/>
  </r>
  <r>
    <x v="1526"/>
    <x v="1"/>
    <x v="1"/>
    <n v="54.8"/>
    <n v="109.6"/>
    <d v="2025-02-26T00:00:00"/>
    <d v="2025-02-26T00:00:00"/>
    <x v="1"/>
    <x v="0"/>
    <n v="3"/>
    <x v="0"/>
    <x v="26"/>
    <x v="7"/>
    <x v="8"/>
    <x v="1"/>
  </r>
  <r>
    <x v="1527"/>
    <x v="7"/>
    <x v="1"/>
    <n v="78.599999999999994"/>
    <n v="157.19999999999999"/>
    <d v="2025-02-26T00:00:00"/>
    <d v="2025-02-27T00:00:00"/>
    <x v="1"/>
    <x v="0"/>
    <n v="5"/>
    <x v="0"/>
    <x v="9"/>
    <x v="3"/>
    <x v="8"/>
    <x v="1"/>
  </r>
  <r>
    <x v="1528"/>
    <x v="2"/>
    <x v="9"/>
    <n v="158.5"/>
    <n v="792.5"/>
    <d v="2025-02-26T00:00:00"/>
    <d v="2025-02-28T00:00:00"/>
    <x v="0"/>
    <x v="2"/>
    <n v="5"/>
    <x v="0"/>
    <x v="9"/>
    <x v="1"/>
    <x v="8"/>
    <x v="0"/>
  </r>
  <r>
    <x v="1529"/>
    <x v="4"/>
    <x v="7"/>
    <n v="23.5"/>
    <n v="235"/>
    <d v="2025-02-26T00:00:00"/>
    <d v="2025-03-01T00:00:00"/>
    <x v="1"/>
    <x v="0"/>
    <n v="2"/>
    <x v="0"/>
    <x v="10"/>
    <x v="2"/>
    <x v="8"/>
    <x v="1"/>
  </r>
  <r>
    <x v="1530"/>
    <x v="5"/>
    <x v="1"/>
    <n v="32.1"/>
    <n v="64.2"/>
    <d v="2025-02-26T00:00:00"/>
    <d v="2025-02-28T00:00:00"/>
    <x v="0"/>
    <x v="3"/>
    <n v="4"/>
    <x v="0"/>
    <x v="10"/>
    <x v="1"/>
    <x v="8"/>
    <x v="0"/>
  </r>
  <r>
    <x v="1531"/>
    <x v="17"/>
    <x v="12"/>
    <n v="71.900000000000006"/>
    <n v="287.60000000000002"/>
    <d v="2025-02-26T00:00:00"/>
    <d v="2025-02-26T00:00:00"/>
    <x v="1"/>
    <x v="2"/>
    <n v="4"/>
    <x v="0"/>
    <x v="19"/>
    <x v="7"/>
    <x v="8"/>
    <x v="1"/>
  </r>
  <r>
    <x v="1532"/>
    <x v="4"/>
    <x v="13"/>
    <n v="22.3"/>
    <n v="133.80000000000001"/>
    <d v="2025-02-26T00:00:00"/>
    <d v="2025-02-27T00:00:00"/>
    <x v="0"/>
    <x v="3"/>
    <n v="5"/>
    <x v="0"/>
    <x v="13"/>
    <x v="3"/>
    <x v="8"/>
    <x v="0"/>
  </r>
  <r>
    <x v="1533"/>
    <x v="11"/>
    <x v="1"/>
    <n v="29.5"/>
    <n v="59"/>
    <d v="2025-02-26T00:00:00"/>
    <d v="2025-02-27T00:00:00"/>
    <x v="2"/>
    <x v="0"/>
    <n v="5"/>
    <x v="0"/>
    <x v="13"/>
    <x v="3"/>
    <x v="8"/>
    <x v="2"/>
  </r>
  <r>
    <x v="1534"/>
    <x v="6"/>
    <x v="12"/>
    <n v="41.9"/>
    <n v="167.6"/>
    <d v="2025-02-26T00:00:00"/>
    <d v="2025-03-02T00:00:00"/>
    <x v="2"/>
    <x v="0"/>
    <n v="3"/>
    <x v="0"/>
    <x v="21"/>
    <x v="5"/>
    <x v="8"/>
    <x v="2"/>
  </r>
  <r>
    <x v="1535"/>
    <x v="6"/>
    <x v="2"/>
    <n v="107.8"/>
    <n v="323.39999999999998"/>
    <d v="2025-02-26T00:00:00"/>
    <d v="2025-02-27T00:00:00"/>
    <x v="1"/>
    <x v="1"/>
    <n v="5"/>
    <x v="0"/>
    <x v="46"/>
    <x v="3"/>
    <x v="8"/>
    <x v="1"/>
  </r>
  <r>
    <x v="1536"/>
    <x v="4"/>
    <x v="9"/>
    <n v="18.100000000000001"/>
    <n v="90.5"/>
    <d v="2025-02-26T00:00:00"/>
    <d v="2025-03-01T00:00:00"/>
    <x v="1"/>
    <x v="0"/>
    <n v="5"/>
    <x v="0"/>
    <x v="2"/>
    <x v="2"/>
    <x v="8"/>
    <x v="1"/>
  </r>
  <r>
    <x v="1537"/>
    <x v="12"/>
    <x v="11"/>
    <n v="79.8"/>
    <n v="718.19999999999993"/>
    <d v="2025-02-26T00:00:00"/>
    <d v="2025-02-27T00:00:00"/>
    <x v="2"/>
    <x v="1"/>
    <n v="3"/>
    <x v="0"/>
    <x v="22"/>
    <x v="3"/>
    <x v="8"/>
    <x v="2"/>
  </r>
  <r>
    <x v="1538"/>
    <x v="0"/>
    <x v="2"/>
    <n v="22.3"/>
    <n v="66.900000000000006"/>
    <d v="2025-02-26T00:00:00"/>
    <d v="2025-03-01T00:00:00"/>
    <x v="2"/>
    <x v="0"/>
    <n v="5"/>
    <x v="0"/>
    <x v="22"/>
    <x v="2"/>
    <x v="8"/>
    <x v="2"/>
  </r>
  <r>
    <x v="1539"/>
    <x v="8"/>
    <x v="0"/>
    <n v="22.9"/>
    <n v="22.9"/>
    <d v="2025-02-26T00:00:00"/>
    <d v="2025-02-26T00:00:00"/>
    <x v="2"/>
    <x v="1"/>
    <n v="4"/>
    <x v="0"/>
    <x v="22"/>
    <x v="7"/>
    <x v="8"/>
    <x v="2"/>
  </r>
  <r>
    <x v="1540"/>
    <x v="0"/>
    <x v="2"/>
    <n v="16.2"/>
    <n v="48.599999999999994"/>
    <d v="2025-02-27T00:00:00"/>
    <d v="2025-02-27T00:00:00"/>
    <x v="1"/>
    <x v="4"/>
    <n v="5"/>
    <x v="0"/>
    <x v="3"/>
    <x v="7"/>
    <x v="8"/>
    <x v="1"/>
  </r>
  <r>
    <x v="1541"/>
    <x v="10"/>
    <x v="12"/>
    <n v="59.5"/>
    <n v="238"/>
    <d v="2025-02-27T00:00:00"/>
    <d v="2025-02-28T00:00:00"/>
    <x v="1"/>
    <x v="1"/>
    <n v="5"/>
    <x v="0"/>
    <x v="3"/>
    <x v="3"/>
    <x v="8"/>
    <x v="1"/>
  </r>
  <r>
    <x v="1542"/>
    <x v="18"/>
    <x v="9"/>
    <n v="26.2"/>
    <n v="131"/>
    <d v="2025-02-27T00:00:00"/>
    <d v="2025-03-02T00:00:00"/>
    <x v="1"/>
    <x v="3"/>
    <n v="2"/>
    <x v="0"/>
    <x v="3"/>
    <x v="2"/>
    <x v="8"/>
    <x v="1"/>
  </r>
  <r>
    <x v="1543"/>
    <x v="3"/>
    <x v="0"/>
    <n v="44.2"/>
    <n v="44.2"/>
    <d v="2025-02-27T00:00:00"/>
    <d v="2025-03-02T00:00:00"/>
    <x v="2"/>
    <x v="1"/>
    <n v="4"/>
    <x v="0"/>
    <x v="3"/>
    <x v="2"/>
    <x v="8"/>
    <x v="2"/>
  </r>
  <r>
    <x v="1544"/>
    <x v="9"/>
    <x v="1"/>
    <n v="59.2"/>
    <n v="118.4"/>
    <d v="2025-02-27T00:00:00"/>
    <d v="2025-02-27T00:00:00"/>
    <x v="2"/>
    <x v="1"/>
    <n v="2"/>
    <x v="0"/>
    <x v="3"/>
    <x v="7"/>
    <x v="8"/>
    <x v="2"/>
  </r>
  <r>
    <x v="1545"/>
    <x v="15"/>
    <x v="12"/>
    <n v="41.5"/>
    <n v="166"/>
    <d v="2025-02-27T00:00:00"/>
    <d v="2025-03-01T00:00:00"/>
    <x v="2"/>
    <x v="0"/>
    <n v="4"/>
    <x v="0"/>
    <x v="16"/>
    <x v="1"/>
    <x v="8"/>
    <x v="2"/>
  </r>
  <r>
    <x v="1546"/>
    <x v="6"/>
    <x v="4"/>
    <n v="67.099999999999994"/>
    <n v="805.19999999999993"/>
    <d v="2025-02-27T00:00:00"/>
    <d v="2025-03-13T00:00:00"/>
    <x v="2"/>
    <x v="0"/>
    <n v="5"/>
    <x v="0"/>
    <x v="23"/>
    <x v="12"/>
    <x v="8"/>
    <x v="2"/>
  </r>
  <r>
    <x v="1547"/>
    <x v="8"/>
    <x v="1"/>
    <n v="28.7"/>
    <n v="57.4"/>
    <d v="2025-02-27T00:00:00"/>
    <d v="2025-03-03T00:00:00"/>
    <x v="2"/>
    <x v="1"/>
    <n v="4"/>
    <x v="0"/>
    <x v="6"/>
    <x v="5"/>
    <x v="8"/>
    <x v="2"/>
  </r>
  <r>
    <x v="1548"/>
    <x v="2"/>
    <x v="12"/>
    <n v="132.1"/>
    <n v="528.4"/>
    <d v="2025-02-27T00:00:00"/>
    <d v="2025-02-28T00:00:00"/>
    <x v="2"/>
    <x v="0"/>
    <n v="3"/>
    <x v="0"/>
    <x v="6"/>
    <x v="3"/>
    <x v="8"/>
    <x v="2"/>
  </r>
  <r>
    <x v="1549"/>
    <x v="18"/>
    <x v="1"/>
    <n v="47"/>
    <n v="94"/>
    <d v="2025-02-27T00:00:00"/>
    <d v="2025-03-01T00:00:00"/>
    <x v="1"/>
    <x v="4"/>
    <n v="4"/>
    <x v="0"/>
    <x v="8"/>
    <x v="1"/>
    <x v="8"/>
    <x v="1"/>
  </r>
  <r>
    <x v="1550"/>
    <x v="8"/>
    <x v="1"/>
    <n v="41.6"/>
    <n v="83.2"/>
    <d v="2025-02-27T00:00:00"/>
    <d v="2025-03-03T00:00:00"/>
    <x v="1"/>
    <x v="1"/>
    <n v="5"/>
    <x v="0"/>
    <x v="8"/>
    <x v="5"/>
    <x v="8"/>
    <x v="1"/>
  </r>
  <r>
    <x v="1551"/>
    <x v="8"/>
    <x v="43"/>
    <n v="17.3"/>
    <n v="657.4"/>
    <d v="2025-02-27T00:00:00"/>
    <d v="2025-03-01T00:00:00"/>
    <x v="1"/>
    <x v="2"/>
    <n v="5"/>
    <x v="0"/>
    <x v="8"/>
    <x v="1"/>
    <x v="8"/>
    <x v="1"/>
  </r>
  <r>
    <x v="1552"/>
    <x v="13"/>
    <x v="2"/>
    <n v="41.8"/>
    <n v="125.39999999999999"/>
    <d v="2025-02-27T00:00:00"/>
    <d v="2025-03-02T00:00:00"/>
    <x v="1"/>
    <x v="0"/>
    <n v="5"/>
    <x v="0"/>
    <x v="8"/>
    <x v="2"/>
    <x v="8"/>
    <x v="1"/>
  </r>
  <r>
    <x v="1553"/>
    <x v="10"/>
    <x v="0"/>
    <n v="24"/>
    <n v="24"/>
    <d v="2025-02-27T00:00:00"/>
    <d v="2025-02-28T00:00:00"/>
    <x v="2"/>
    <x v="0"/>
    <n v="4"/>
    <x v="0"/>
    <x v="17"/>
    <x v="3"/>
    <x v="8"/>
    <x v="2"/>
  </r>
  <r>
    <x v="1554"/>
    <x v="14"/>
    <x v="11"/>
    <n v="18.5"/>
    <n v="166.5"/>
    <d v="2025-02-27T00:00:00"/>
    <d v="2025-03-01T00:00:00"/>
    <x v="2"/>
    <x v="0"/>
    <n v="4"/>
    <x v="0"/>
    <x v="9"/>
    <x v="1"/>
    <x v="8"/>
    <x v="2"/>
  </r>
  <r>
    <x v="1555"/>
    <x v="3"/>
    <x v="4"/>
    <n v="66.7"/>
    <n v="800.40000000000009"/>
    <d v="2025-02-27T00:00:00"/>
    <d v="2025-03-02T00:00:00"/>
    <x v="0"/>
    <x v="0"/>
    <n v="5"/>
    <x v="0"/>
    <x v="11"/>
    <x v="2"/>
    <x v="8"/>
    <x v="0"/>
  </r>
  <r>
    <x v="1556"/>
    <x v="1"/>
    <x v="12"/>
    <n v="33.1"/>
    <n v="132.4"/>
    <d v="2025-02-27T00:00:00"/>
    <d v="2025-03-04T00:00:00"/>
    <x v="1"/>
    <x v="3"/>
    <n v="4"/>
    <x v="0"/>
    <x v="11"/>
    <x v="0"/>
    <x v="8"/>
    <x v="1"/>
  </r>
  <r>
    <x v="1557"/>
    <x v="19"/>
    <x v="11"/>
    <n v="42.1"/>
    <n v="378.90000000000003"/>
    <d v="2025-02-27T00:00:00"/>
    <d v="2025-03-10T00:00:00"/>
    <x v="1"/>
    <x v="1"/>
    <n v="4"/>
    <x v="0"/>
    <x v="18"/>
    <x v="11"/>
    <x v="8"/>
    <x v="1"/>
  </r>
  <r>
    <x v="1558"/>
    <x v="18"/>
    <x v="3"/>
    <n v="58.7"/>
    <n v="410.90000000000003"/>
    <d v="2025-02-27T00:00:00"/>
    <d v="2025-02-27T00:00:00"/>
    <x v="3"/>
    <x v="3"/>
    <n v="4"/>
    <x v="0"/>
    <x v="31"/>
    <x v="7"/>
    <x v="8"/>
    <x v="3"/>
  </r>
  <r>
    <x v="1559"/>
    <x v="6"/>
    <x v="12"/>
    <n v="54"/>
    <n v="216"/>
    <d v="2025-02-27T00:00:00"/>
    <d v="2025-03-01T00:00:00"/>
    <x v="2"/>
    <x v="1"/>
    <n v="4"/>
    <x v="0"/>
    <x v="1"/>
    <x v="1"/>
    <x v="8"/>
    <x v="2"/>
  </r>
  <r>
    <x v="1560"/>
    <x v="8"/>
    <x v="0"/>
    <n v="52.1"/>
    <n v="52.1"/>
    <d v="2025-02-27T00:00:00"/>
    <d v="2025-02-28T00:00:00"/>
    <x v="2"/>
    <x v="2"/>
    <n v="5"/>
    <x v="0"/>
    <x v="2"/>
    <x v="3"/>
    <x v="8"/>
    <x v="2"/>
  </r>
  <r>
    <x v="1561"/>
    <x v="19"/>
    <x v="1"/>
    <n v="27"/>
    <n v="54"/>
    <d v="2025-02-27T00:00:00"/>
    <d v="2025-03-02T00:00:00"/>
    <x v="3"/>
    <x v="2"/>
    <n v="4"/>
    <x v="0"/>
    <x v="22"/>
    <x v="2"/>
    <x v="8"/>
    <x v="3"/>
  </r>
  <r>
    <x v="1562"/>
    <x v="12"/>
    <x v="7"/>
    <n v="31"/>
    <n v="310"/>
    <d v="2025-02-28T00:00:00"/>
    <d v="2025-03-01T00:00:00"/>
    <x v="2"/>
    <x v="3"/>
    <n v="5"/>
    <x v="0"/>
    <x v="22"/>
    <x v="3"/>
    <x v="8"/>
    <x v="2"/>
  </r>
  <r>
    <x v="1563"/>
    <x v="10"/>
    <x v="1"/>
    <n v="46.7"/>
    <n v="93.4"/>
    <d v="2025-02-28T00:00:00"/>
    <d v="2025-02-28T00:00:00"/>
    <x v="2"/>
    <x v="0"/>
    <n v="4"/>
    <x v="0"/>
    <x v="34"/>
    <x v="7"/>
    <x v="8"/>
    <x v="2"/>
  </r>
  <r>
    <x v="1564"/>
    <x v="6"/>
    <x v="0"/>
    <n v="144.69999999999999"/>
    <n v="144.69999999999999"/>
    <d v="2025-02-28T00:00:00"/>
    <d v="2025-03-03T00:00:00"/>
    <x v="1"/>
    <x v="0"/>
    <n v="5"/>
    <x v="0"/>
    <x v="3"/>
    <x v="2"/>
    <x v="8"/>
    <x v="1"/>
  </r>
  <r>
    <x v="1565"/>
    <x v="2"/>
    <x v="11"/>
    <n v="90.9"/>
    <n v="818.1"/>
    <d v="2025-02-28T00:00:00"/>
    <d v="2025-03-01T00:00:00"/>
    <x v="1"/>
    <x v="0"/>
    <n v="5"/>
    <x v="0"/>
    <x v="3"/>
    <x v="3"/>
    <x v="8"/>
    <x v="1"/>
  </r>
  <r>
    <x v="1566"/>
    <x v="1"/>
    <x v="1"/>
    <n v="75.8"/>
    <n v="151.6"/>
    <d v="2025-02-28T00:00:00"/>
    <d v="2025-03-01T00:00:00"/>
    <x v="2"/>
    <x v="2"/>
    <n v="3"/>
    <x v="0"/>
    <x v="3"/>
    <x v="3"/>
    <x v="8"/>
    <x v="2"/>
  </r>
  <r>
    <x v="1567"/>
    <x v="7"/>
    <x v="9"/>
    <n v="57.9"/>
    <n v="289.5"/>
    <d v="2025-02-28T00:00:00"/>
    <d v="2025-03-02T00:00:00"/>
    <x v="1"/>
    <x v="2"/>
    <n v="5"/>
    <x v="0"/>
    <x v="3"/>
    <x v="1"/>
    <x v="8"/>
    <x v="1"/>
  </r>
  <r>
    <x v="1568"/>
    <x v="8"/>
    <x v="9"/>
    <n v="44.8"/>
    <n v="224"/>
    <d v="2025-02-28T00:00:00"/>
    <d v="2025-03-01T00:00:00"/>
    <x v="2"/>
    <x v="3"/>
    <n v="5"/>
    <x v="0"/>
    <x v="3"/>
    <x v="3"/>
    <x v="8"/>
    <x v="2"/>
  </r>
  <r>
    <x v="1569"/>
    <x v="9"/>
    <x v="2"/>
    <n v="44.2"/>
    <n v="132.60000000000002"/>
    <d v="2025-02-28T00:00:00"/>
    <d v="2025-03-04T00:00:00"/>
    <x v="1"/>
    <x v="2"/>
    <n v="5"/>
    <x v="0"/>
    <x v="3"/>
    <x v="5"/>
    <x v="8"/>
    <x v="1"/>
  </r>
  <r>
    <x v="1570"/>
    <x v="5"/>
    <x v="9"/>
    <n v="53.5"/>
    <n v="267.5"/>
    <d v="2025-02-28T00:00:00"/>
    <d v="2025-03-02T00:00:00"/>
    <x v="1"/>
    <x v="0"/>
    <n v="4"/>
    <x v="0"/>
    <x v="37"/>
    <x v="1"/>
    <x v="8"/>
    <x v="1"/>
  </r>
  <r>
    <x v="1571"/>
    <x v="6"/>
    <x v="1"/>
    <n v="72.2"/>
    <n v="144.4"/>
    <d v="2025-02-28T00:00:00"/>
    <d v="2025-03-01T00:00:00"/>
    <x v="1"/>
    <x v="0"/>
    <n v="5"/>
    <x v="0"/>
    <x v="25"/>
    <x v="3"/>
    <x v="8"/>
    <x v="1"/>
  </r>
  <r>
    <x v="1572"/>
    <x v="6"/>
    <x v="12"/>
    <n v="62.4"/>
    <n v="249.6"/>
    <d v="2025-02-28T00:00:00"/>
    <d v="2025-03-03T00:00:00"/>
    <x v="2"/>
    <x v="0"/>
    <n v="3"/>
    <x v="0"/>
    <x v="23"/>
    <x v="2"/>
    <x v="8"/>
    <x v="2"/>
  </r>
  <r>
    <x v="1573"/>
    <x v="10"/>
    <x v="9"/>
    <n v="24.7"/>
    <n v="123.5"/>
    <d v="2025-02-28T00:00:00"/>
    <d v="2025-03-01T00:00:00"/>
    <x v="2"/>
    <x v="0"/>
    <n v="4"/>
    <x v="0"/>
    <x v="6"/>
    <x v="3"/>
    <x v="8"/>
    <x v="2"/>
  </r>
  <r>
    <x v="1574"/>
    <x v="1"/>
    <x v="9"/>
    <n v="61.7"/>
    <n v="308.5"/>
    <d v="2025-02-28T00:00:00"/>
    <d v="2025-03-02T00:00:00"/>
    <x v="2"/>
    <x v="2"/>
    <n v="4"/>
    <x v="0"/>
    <x v="8"/>
    <x v="1"/>
    <x v="8"/>
    <x v="2"/>
  </r>
  <r>
    <x v="1575"/>
    <x v="8"/>
    <x v="9"/>
    <n v="18.2"/>
    <n v="91"/>
    <d v="2025-02-28T00:00:00"/>
    <d v="2025-03-02T00:00:00"/>
    <x v="2"/>
    <x v="3"/>
    <n v="4"/>
    <x v="0"/>
    <x v="8"/>
    <x v="1"/>
    <x v="8"/>
    <x v="2"/>
  </r>
  <r>
    <x v="1576"/>
    <x v="10"/>
    <x v="12"/>
    <n v="37.200000000000003"/>
    <n v="148.80000000000001"/>
    <d v="2025-02-28T00:00:00"/>
    <d v="2025-03-06T00:00:00"/>
    <x v="2"/>
    <x v="0"/>
    <n v="4"/>
    <x v="0"/>
    <x v="8"/>
    <x v="4"/>
    <x v="8"/>
    <x v="2"/>
  </r>
  <r>
    <x v="1577"/>
    <x v="9"/>
    <x v="2"/>
    <n v="53.5"/>
    <n v="160.5"/>
    <d v="2025-02-28T00:00:00"/>
    <d v="2025-03-02T00:00:00"/>
    <x v="2"/>
    <x v="1"/>
    <n v="5"/>
    <x v="0"/>
    <x v="9"/>
    <x v="1"/>
    <x v="8"/>
    <x v="2"/>
  </r>
  <r>
    <x v="1578"/>
    <x v="8"/>
    <x v="2"/>
    <n v="43.6"/>
    <n v="130.80000000000001"/>
    <d v="2025-02-28T00:00:00"/>
    <d v="2025-02-28T00:00:00"/>
    <x v="2"/>
    <x v="0"/>
    <n v="4"/>
    <x v="0"/>
    <x v="9"/>
    <x v="7"/>
    <x v="8"/>
    <x v="2"/>
  </r>
  <r>
    <x v="1579"/>
    <x v="1"/>
    <x v="7"/>
    <n v="135"/>
    <n v="1350"/>
    <d v="2025-02-28T00:00:00"/>
    <d v="2025-03-02T00:00:00"/>
    <x v="2"/>
    <x v="0"/>
    <n v="5"/>
    <x v="0"/>
    <x v="9"/>
    <x v="1"/>
    <x v="8"/>
    <x v="2"/>
  </r>
  <r>
    <x v="1580"/>
    <x v="8"/>
    <x v="9"/>
    <n v="38.5"/>
    <n v="192.5"/>
    <d v="2025-02-28T00:00:00"/>
    <d v="2025-02-28T00:00:00"/>
    <x v="1"/>
    <x v="4"/>
    <n v="5"/>
    <x v="0"/>
    <x v="10"/>
    <x v="7"/>
    <x v="8"/>
    <x v="1"/>
  </r>
  <r>
    <x v="1581"/>
    <x v="9"/>
    <x v="1"/>
    <n v="24"/>
    <n v="48"/>
    <d v="2025-02-28T00:00:00"/>
    <d v="2025-03-05T00:00:00"/>
    <x v="2"/>
    <x v="0"/>
    <n v="4"/>
    <x v="0"/>
    <x v="11"/>
    <x v="0"/>
    <x v="8"/>
    <x v="2"/>
  </r>
  <r>
    <x v="1582"/>
    <x v="4"/>
    <x v="2"/>
    <n v="28.2"/>
    <n v="84.6"/>
    <d v="2025-02-28T00:00:00"/>
    <d v="2025-03-02T00:00:00"/>
    <x v="1"/>
    <x v="0"/>
    <n v="1"/>
    <x v="0"/>
    <x v="18"/>
    <x v="1"/>
    <x v="8"/>
    <x v="1"/>
  </r>
  <r>
    <x v="1583"/>
    <x v="7"/>
    <x v="2"/>
    <n v="37.4"/>
    <n v="112.19999999999999"/>
    <d v="2025-02-28T00:00:00"/>
    <d v="2025-03-01T00:00:00"/>
    <x v="2"/>
    <x v="3"/>
    <n v="4"/>
    <x v="0"/>
    <x v="1"/>
    <x v="3"/>
    <x v="8"/>
    <x v="2"/>
  </r>
  <r>
    <x v="1584"/>
    <x v="6"/>
    <x v="2"/>
    <n v="53.5"/>
    <n v="160.5"/>
    <d v="2025-02-28T00:00:00"/>
    <d v="2025-03-03T00:00:00"/>
    <x v="0"/>
    <x v="4"/>
    <n v="2"/>
    <x v="0"/>
    <x v="1"/>
    <x v="2"/>
    <x v="8"/>
    <x v="0"/>
  </r>
  <r>
    <x v="1585"/>
    <x v="11"/>
    <x v="9"/>
    <n v="36.200000000000003"/>
    <n v="181"/>
    <d v="2025-02-28T00:00:00"/>
    <d v="2025-03-01T00:00:00"/>
    <x v="1"/>
    <x v="1"/>
    <n v="5"/>
    <x v="0"/>
    <x v="33"/>
    <x v="3"/>
    <x v="8"/>
    <x v="1"/>
  </r>
  <r>
    <x v="1586"/>
    <x v="0"/>
    <x v="8"/>
    <n v="31.9"/>
    <n v="255.2"/>
    <d v="2025-02-28T00:00:00"/>
    <d v="2025-03-01T00:00:00"/>
    <x v="2"/>
    <x v="4"/>
    <n v="4"/>
    <x v="0"/>
    <x v="3"/>
    <x v="3"/>
    <x v="8"/>
    <x v="2"/>
  </r>
  <r>
    <x v="1587"/>
    <x v="8"/>
    <x v="2"/>
    <n v="21.3"/>
    <n v="63.900000000000006"/>
    <d v="2025-02-28T00:00:00"/>
    <d v="2025-03-01T00:00:00"/>
    <x v="1"/>
    <x v="0"/>
    <n v="5"/>
    <x v="0"/>
    <x v="3"/>
    <x v="3"/>
    <x v="8"/>
    <x v="1"/>
  </r>
  <r>
    <x v="1588"/>
    <x v="8"/>
    <x v="0"/>
    <n v="36.299999999999997"/>
    <n v="36.299999999999997"/>
    <d v="2025-02-28T00:00:00"/>
    <d v="2025-03-02T00:00:00"/>
    <x v="3"/>
    <x v="4"/>
    <n v="4"/>
    <x v="0"/>
    <x v="3"/>
    <x v="1"/>
    <x v="8"/>
    <x v="3"/>
  </r>
  <r>
    <x v="1589"/>
    <x v="6"/>
    <x v="2"/>
    <n v="110.5"/>
    <n v="331.5"/>
    <d v="2025-02-28T00:00:00"/>
    <d v="2025-03-01T00:00:00"/>
    <x v="2"/>
    <x v="0"/>
    <n v="1"/>
    <x v="0"/>
    <x v="3"/>
    <x v="3"/>
    <x v="8"/>
    <x v="2"/>
  </r>
  <r>
    <x v="1590"/>
    <x v="10"/>
    <x v="3"/>
    <n v="32.6"/>
    <n v="228.20000000000002"/>
    <d v="2025-02-28T00:00:00"/>
    <d v="2025-03-02T00:00:00"/>
    <x v="2"/>
    <x v="0"/>
    <n v="3"/>
    <x v="0"/>
    <x v="3"/>
    <x v="1"/>
    <x v="8"/>
    <x v="2"/>
  </r>
  <r>
    <x v="1591"/>
    <x v="5"/>
    <x v="2"/>
    <n v="55.6"/>
    <n v="166.8"/>
    <d v="2025-03-01T00:00:00"/>
    <d v="2025-03-14T00:00:00"/>
    <x v="2"/>
    <x v="0"/>
    <n v="4"/>
    <x v="0"/>
    <x v="3"/>
    <x v="10"/>
    <x v="8"/>
    <x v="2"/>
  </r>
  <r>
    <x v="1592"/>
    <x v="1"/>
    <x v="12"/>
    <n v="38"/>
    <n v="152"/>
    <d v="2025-03-01T00:00:00"/>
    <d v="2025-03-02T00:00:00"/>
    <x v="2"/>
    <x v="3"/>
    <n v="5"/>
    <x v="0"/>
    <x v="5"/>
    <x v="3"/>
    <x v="8"/>
    <x v="2"/>
  </r>
  <r>
    <x v="1593"/>
    <x v="10"/>
    <x v="1"/>
    <n v="51.8"/>
    <n v="103.6"/>
    <d v="2025-03-01T00:00:00"/>
    <d v="2025-03-07T00:00:00"/>
    <x v="1"/>
    <x v="1"/>
    <n v="2"/>
    <x v="0"/>
    <x v="6"/>
    <x v="4"/>
    <x v="8"/>
    <x v="1"/>
  </r>
  <r>
    <x v="1594"/>
    <x v="11"/>
    <x v="8"/>
    <n v="28.7"/>
    <n v="229.6"/>
    <d v="2025-03-01T00:00:00"/>
    <d v="2025-03-06T00:00:00"/>
    <x v="2"/>
    <x v="0"/>
    <n v="4"/>
    <x v="0"/>
    <x v="6"/>
    <x v="0"/>
    <x v="8"/>
    <x v="2"/>
  </r>
  <r>
    <x v="1595"/>
    <x v="6"/>
    <x v="4"/>
    <n v="52.2"/>
    <n v="626.40000000000009"/>
    <d v="2025-03-01T00:00:00"/>
    <d v="2025-03-01T00:00:00"/>
    <x v="1"/>
    <x v="0"/>
    <n v="3"/>
    <x v="0"/>
    <x v="6"/>
    <x v="7"/>
    <x v="8"/>
    <x v="1"/>
  </r>
  <r>
    <x v="1596"/>
    <x v="1"/>
    <x v="1"/>
    <n v="68.2"/>
    <n v="136.4"/>
    <d v="2025-03-01T00:00:00"/>
    <d v="2025-03-02T00:00:00"/>
    <x v="0"/>
    <x v="2"/>
    <n v="4"/>
    <x v="0"/>
    <x v="7"/>
    <x v="3"/>
    <x v="8"/>
    <x v="0"/>
  </r>
  <r>
    <x v="1597"/>
    <x v="0"/>
    <x v="2"/>
    <n v="34"/>
    <n v="102"/>
    <d v="2025-03-01T00:00:00"/>
    <d v="2025-03-05T00:00:00"/>
    <x v="2"/>
    <x v="0"/>
    <n v="4"/>
    <x v="0"/>
    <x v="8"/>
    <x v="5"/>
    <x v="8"/>
    <x v="2"/>
  </r>
  <r>
    <x v="1598"/>
    <x v="8"/>
    <x v="2"/>
    <n v="19.100000000000001"/>
    <n v="57.300000000000004"/>
    <d v="2025-03-01T00:00:00"/>
    <d v="2025-03-02T00:00:00"/>
    <x v="2"/>
    <x v="4"/>
    <n v="4"/>
    <x v="0"/>
    <x v="8"/>
    <x v="3"/>
    <x v="8"/>
    <x v="2"/>
  </r>
  <r>
    <x v="1599"/>
    <x v="5"/>
    <x v="8"/>
    <n v="34"/>
    <n v="272"/>
    <d v="2025-03-01T00:00:00"/>
    <d v="2025-03-09T00:00:00"/>
    <x v="2"/>
    <x v="4"/>
    <n v="4"/>
    <x v="0"/>
    <x v="8"/>
    <x v="9"/>
    <x v="8"/>
    <x v="2"/>
  </r>
  <r>
    <x v="1600"/>
    <x v="12"/>
    <x v="1"/>
    <n v="109.1"/>
    <n v="218.2"/>
    <d v="2025-03-01T00:00:00"/>
    <d v="2025-03-03T00:00:00"/>
    <x v="1"/>
    <x v="0"/>
    <n v="5"/>
    <x v="0"/>
    <x v="8"/>
    <x v="1"/>
    <x v="8"/>
    <x v="1"/>
  </r>
  <r>
    <x v="1601"/>
    <x v="18"/>
    <x v="1"/>
    <n v="64.8"/>
    <n v="129.6"/>
    <d v="2025-03-01T00:00:00"/>
    <d v="2025-03-03T00:00:00"/>
    <x v="1"/>
    <x v="0"/>
    <n v="5"/>
    <x v="0"/>
    <x v="8"/>
    <x v="1"/>
    <x v="8"/>
    <x v="1"/>
  </r>
  <r>
    <x v="1602"/>
    <x v="10"/>
    <x v="1"/>
    <n v="21.1"/>
    <n v="42.2"/>
    <d v="2025-03-01T00:00:00"/>
    <d v="2025-03-01T00:00:00"/>
    <x v="2"/>
    <x v="1"/>
    <n v="4"/>
    <x v="0"/>
    <x v="11"/>
    <x v="7"/>
    <x v="8"/>
    <x v="2"/>
  </r>
  <r>
    <x v="1603"/>
    <x v="0"/>
    <x v="8"/>
    <n v="21.3"/>
    <n v="170.4"/>
    <d v="2025-03-01T00:00:00"/>
    <d v="2025-03-03T00:00:00"/>
    <x v="1"/>
    <x v="3"/>
    <n v="3"/>
    <x v="0"/>
    <x v="18"/>
    <x v="1"/>
    <x v="8"/>
    <x v="1"/>
  </r>
  <r>
    <x v="1604"/>
    <x v="9"/>
    <x v="2"/>
    <n v="24.3"/>
    <n v="72.900000000000006"/>
    <d v="2025-03-01T00:00:00"/>
    <d v="2025-03-02T00:00:00"/>
    <x v="1"/>
    <x v="1"/>
    <n v="4"/>
    <x v="0"/>
    <x v="19"/>
    <x v="3"/>
    <x v="8"/>
    <x v="1"/>
  </r>
  <r>
    <x v="1605"/>
    <x v="8"/>
    <x v="0"/>
    <n v="43.3"/>
    <n v="43.3"/>
    <d v="2025-03-01T00:00:00"/>
    <d v="2025-03-05T00:00:00"/>
    <x v="1"/>
    <x v="1"/>
    <n v="3"/>
    <x v="0"/>
    <x v="13"/>
    <x v="5"/>
    <x v="8"/>
    <x v="1"/>
  </r>
  <r>
    <x v="1606"/>
    <x v="9"/>
    <x v="2"/>
    <n v="41"/>
    <n v="123"/>
    <d v="2025-03-01T00:00:00"/>
    <d v="2025-03-02T00:00:00"/>
    <x v="2"/>
    <x v="3"/>
    <n v="2"/>
    <x v="0"/>
    <x v="21"/>
    <x v="3"/>
    <x v="8"/>
    <x v="2"/>
  </r>
  <r>
    <x v="1607"/>
    <x v="16"/>
    <x v="2"/>
    <n v="54.1"/>
    <n v="162.30000000000001"/>
    <d v="2025-03-01T00:00:00"/>
    <d v="2025-03-03T00:00:00"/>
    <x v="2"/>
    <x v="4"/>
    <n v="4"/>
    <x v="0"/>
    <x v="21"/>
    <x v="1"/>
    <x v="8"/>
    <x v="2"/>
  </r>
  <r>
    <x v="1608"/>
    <x v="11"/>
    <x v="1"/>
    <n v="39"/>
    <n v="78"/>
    <d v="2025-03-01T00:00:00"/>
    <d v="2025-03-02T00:00:00"/>
    <x v="1"/>
    <x v="1"/>
    <n v="5"/>
    <x v="0"/>
    <x v="1"/>
    <x v="3"/>
    <x v="8"/>
    <x v="1"/>
  </r>
  <r>
    <x v="1609"/>
    <x v="8"/>
    <x v="1"/>
    <n v="40.299999999999997"/>
    <n v="80.599999999999994"/>
    <d v="2025-03-01T00:00:00"/>
    <d v="2025-03-03T00:00:00"/>
    <x v="1"/>
    <x v="3"/>
    <n v="4"/>
    <x v="0"/>
    <x v="27"/>
    <x v="1"/>
    <x v="8"/>
    <x v="1"/>
  </r>
  <r>
    <x v="1610"/>
    <x v="8"/>
    <x v="2"/>
    <n v="24.1"/>
    <n v="72.300000000000011"/>
    <d v="2025-03-01T00:00:00"/>
    <d v="2025-03-02T00:00:00"/>
    <x v="1"/>
    <x v="0"/>
    <n v="5"/>
    <x v="0"/>
    <x v="34"/>
    <x v="3"/>
    <x v="8"/>
    <x v="1"/>
  </r>
  <r>
    <x v="1611"/>
    <x v="6"/>
    <x v="9"/>
    <n v="52.3"/>
    <n v="261.5"/>
    <d v="2025-03-01T00:00:00"/>
    <d v="2025-03-02T00:00:00"/>
    <x v="1"/>
    <x v="2"/>
    <n v="4"/>
    <x v="0"/>
    <x v="3"/>
    <x v="3"/>
    <x v="8"/>
    <x v="1"/>
  </r>
  <r>
    <x v="1612"/>
    <x v="12"/>
    <x v="12"/>
    <n v="68.8"/>
    <n v="275.2"/>
    <d v="2025-03-01T00:00:00"/>
    <d v="2025-03-05T00:00:00"/>
    <x v="2"/>
    <x v="4"/>
    <n v="5"/>
    <x v="0"/>
    <x v="3"/>
    <x v="5"/>
    <x v="8"/>
    <x v="2"/>
  </r>
  <r>
    <x v="1613"/>
    <x v="2"/>
    <x v="1"/>
    <n v="128.80000000000001"/>
    <n v="257.60000000000002"/>
    <d v="2025-03-02T00:00:00"/>
    <d v="2025-03-05T00:00:00"/>
    <x v="2"/>
    <x v="1"/>
    <n v="3"/>
    <x v="0"/>
    <x v="3"/>
    <x v="2"/>
    <x v="9"/>
    <x v="2"/>
  </r>
  <r>
    <x v="1614"/>
    <x v="15"/>
    <x v="9"/>
    <n v="48.2"/>
    <n v="241"/>
    <d v="2025-03-02T00:00:00"/>
    <d v="2025-03-04T00:00:00"/>
    <x v="2"/>
    <x v="3"/>
    <n v="4"/>
    <x v="0"/>
    <x v="3"/>
    <x v="1"/>
    <x v="9"/>
    <x v="2"/>
  </r>
  <r>
    <x v="1615"/>
    <x v="10"/>
    <x v="0"/>
    <n v="39.700000000000003"/>
    <n v="39.700000000000003"/>
    <d v="2025-03-02T00:00:00"/>
    <d v="2025-03-04T00:00:00"/>
    <x v="2"/>
    <x v="0"/>
    <n v="3"/>
    <x v="0"/>
    <x v="3"/>
    <x v="1"/>
    <x v="9"/>
    <x v="2"/>
  </r>
  <r>
    <x v="1616"/>
    <x v="9"/>
    <x v="0"/>
    <n v="59.7"/>
    <n v="59.7"/>
    <d v="2025-03-02T00:00:00"/>
    <d v="2025-03-05T00:00:00"/>
    <x v="2"/>
    <x v="4"/>
    <n v="4"/>
    <x v="0"/>
    <x v="3"/>
    <x v="2"/>
    <x v="9"/>
    <x v="2"/>
  </r>
  <r>
    <x v="1617"/>
    <x v="6"/>
    <x v="0"/>
    <n v="48.3"/>
    <n v="48.3"/>
    <d v="2025-03-02T00:00:00"/>
    <d v="2025-03-16T00:00:00"/>
    <x v="3"/>
    <x v="0"/>
    <n v="5"/>
    <x v="0"/>
    <x v="3"/>
    <x v="12"/>
    <x v="9"/>
    <x v="3"/>
  </r>
  <r>
    <x v="1618"/>
    <x v="8"/>
    <x v="2"/>
    <n v="45.5"/>
    <n v="136.5"/>
    <d v="2025-03-02T00:00:00"/>
    <d v="2025-03-04T00:00:00"/>
    <x v="1"/>
    <x v="2"/>
    <n v="3"/>
    <x v="0"/>
    <x v="3"/>
    <x v="1"/>
    <x v="9"/>
    <x v="1"/>
  </r>
  <r>
    <x v="1619"/>
    <x v="9"/>
    <x v="6"/>
    <n v="51"/>
    <n v="1377"/>
    <d v="2025-03-02T00:00:00"/>
    <d v="2025-03-02T00:00:00"/>
    <x v="2"/>
    <x v="2"/>
    <n v="4"/>
    <x v="0"/>
    <x v="3"/>
    <x v="7"/>
    <x v="9"/>
    <x v="2"/>
  </r>
  <r>
    <x v="1620"/>
    <x v="4"/>
    <x v="13"/>
    <n v="20.399999999999999"/>
    <n v="122.39999999999999"/>
    <d v="2025-03-02T00:00:00"/>
    <d v="2025-03-03T00:00:00"/>
    <x v="1"/>
    <x v="2"/>
    <n v="4"/>
    <x v="0"/>
    <x v="3"/>
    <x v="3"/>
    <x v="9"/>
    <x v="1"/>
  </r>
  <r>
    <x v="1621"/>
    <x v="10"/>
    <x v="1"/>
    <n v="30.4"/>
    <n v="60.8"/>
    <d v="2025-03-02T00:00:00"/>
    <d v="2025-03-04T00:00:00"/>
    <x v="1"/>
    <x v="2"/>
    <n v="4"/>
    <x v="0"/>
    <x v="3"/>
    <x v="1"/>
    <x v="9"/>
    <x v="1"/>
  </r>
  <r>
    <x v="1622"/>
    <x v="7"/>
    <x v="1"/>
    <n v="71.5"/>
    <n v="143"/>
    <d v="2025-03-02T00:00:00"/>
    <d v="2025-03-06T00:00:00"/>
    <x v="2"/>
    <x v="0"/>
    <n v="4"/>
    <x v="0"/>
    <x v="3"/>
    <x v="5"/>
    <x v="9"/>
    <x v="2"/>
  </r>
  <r>
    <x v="1623"/>
    <x v="8"/>
    <x v="13"/>
    <n v="18"/>
    <n v="108"/>
    <d v="2025-03-02T00:00:00"/>
    <d v="2025-03-03T00:00:00"/>
    <x v="3"/>
    <x v="1"/>
    <n v="5"/>
    <x v="0"/>
    <x v="6"/>
    <x v="3"/>
    <x v="9"/>
    <x v="3"/>
  </r>
  <r>
    <x v="1624"/>
    <x v="15"/>
    <x v="5"/>
    <n v="45.6"/>
    <n v="501.6"/>
    <d v="2025-03-02T00:00:00"/>
    <d v="2025-03-03T00:00:00"/>
    <x v="3"/>
    <x v="1"/>
    <n v="3"/>
    <x v="0"/>
    <x v="7"/>
    <x v="3"/>
    <x v="9"/>
    <x v="3"/>
  </r>
  <r>
    <x v="1625"/>
    <x v="9"/>
    <x v="0"/>
    <n v="31.8"/>
    <n v="31.8"/>
    <d v="2025-03-02T00:00:00"/>
    <d v="2025-03-06T00:00:00"/>
    <x v="2"/>
    <x v="0"/>
    <n v="5"/>
    <x v="0"/>
    <x v="7"/>
    <x v="5"/>
    <x v="9"/>
    <x v="2"/>
  </r>
  <r>
    <x v="1626"/>
    <x v="8"/>
    <x v="9"/>
    <n v="19.899999999999999"/>
    <n v="99.5"/>
    <d v="2025-03-02T00:00:00"/>
    <d v="2025-03-03T00:00:00"/>
    <x v="2"/>
    <x v="1"/>
    <n v="4"/>
    <x v="0"/>
    <x v="7"/>
    <x v="3"/>
    <x v="9"/>
    <x v="2"/>
  </r>
  <r>
    <x v="1627"/>
    <x v="12"/>
    <x v="11"/>
    <n v="52.1"/>
    <n v="468.90000000000003"/>
    <d v="2025-03-02T00:00:00"/>
    <d v="2025-03-04T00:00:00"/>
    <x v="1"/>
    <x v="0"/>
    <n v="4"/>
    <x v="0"/>
    <x v="8"/>
    <x v="1"/>
    <x v="9"/>
    <x v="1"/>
  </r>
  <r>
    <x v="1628"/>
    <x v="1"/>
    <x v="3"/>
    <n v="45.9"/>
    <n v="321.3"/>
    <d v="2025-03-02T00:00:00"/>
    <d v="2025-03-03T00:00:00"/>
    <x v="1"/>
    <x v="0"/>
    <n v="3"/>
    <x v="0"/>
    <x v="8"/>
    <x v="3"/>
    <x v="9"/>
    <x v="1"/>
  </r>
  <r>
    <x v="1629"/>
    <x v="1"/>
    <x v="7"/>
    <n v="115.9"/>
    <n v="1159"/>
    <d v="2025-03-02T00:00:00"/>
    <d v="2025-03-05T00:00:00"/>
    <x v="2"/>
    <x v="1"/>
    <n v="4"/>
    <x v="0"/>
    <x v="8"/>
    <x v="2"/>
    <x v="9"/>
    <x v="2"/>
  </r>
  <r>
    <x v="1630"/>
    <x v="6"/>
    <x v="11"/>
    <n v="86"/>
    <n v="774"/>
    <d v="2025-03-02T00:00:00"/>
    <d v="2025-03-07T00:00:00"/>
    <x v="2"/>
    <x v="0"/>
    <n v="3"/>
    <x v="0"/>
    <x v="8"/>
    <x v="0"/>
    <x v="9"/>
    <x v="2"/>
  </r>
  <r>
    <x v="1631"/>
    <x v="7"/>
    <x v="3"/>
    <n v="73.599999999999994"/>
    <n v="515.19999999999993"/>
    <d v="2025-03-02T00:00:00"/>
    <d v="2025-03-04T00:00:00"/>
    <x v="2"/>
    <x v="0"/>
    <n v="4"/>
    <x v="0"/>
    <x v="17"/>
    <x v="1"/>
    <x v="9"/>
    <x v="2"/>
  </r>
  <r>
    <x v="1632"/>
    <x v="10"/>
    <x v="2"/>
    <n v="26.7"/>
    <n v="80.099999999999994"/>
    <d v="2025-03-02T00:00:00"/>
    <d v="2025-03-06T00:00:00"/>
    <x v="2"/>
    <x v="0"/>
    <n v="4"/>
    <x v="0"/>
    <x v="11"/>
    <x v="5"/>
    <x v="9"/>
    <x v="2"/>
  </r>
  <r>
    <x v="1633"/>
    <x v="8"/>
    <x v="3"/>
    <n v="46.6"/>
    <n v="326.2"/>
    <d v="2025-03-02T00:00:00"/>
    <d v="2025-03-04T00:00:00"/>
    <x v="0"/>
    <x v="3"/>
    <n v="4"/>
    <x v="0"/>
    <x v="11"/>
    <x v="1"/>
    <x v="9"/>
    <x v="0"/>
  </r>
  <r>
    <x v="1634"/>
    <x v="3"/>
    <x v="2"/>
    <n v="84.6"/>
    <n v="253.79999999999998"/>
    <d v="2025-03-02T00:00:00"/>
    <d v="2025-03-04T00:00:00"/>
    <x v="1"/>
    <x v="4"/>
    <n v="4"/>
    <x v="0"/>
    <x v="11"/>
    <x v="1"/>
    <x v="9"/>
    <x v="1"/>
  </r>
  <r>
    <x v="1635"/>
    <x v="7"/>
    <x v="21"/>
    <n v="41.5"/>
    <n v="581"/>
    <d v="2025-03-02T00:00:00"/>
    <d v="2025-03-16T00:00:00"/>
    <x v="1"/>
    <x v="1"/>
    <n v="4"/>
    <x v="0"/>
    <x v="53"/>
    <x v="12"/>
    <x v="9"/>
    <x v="1"/>
  </r>
  <r>
    <x v="1636"/>
    <x v="8"/>
    <x v="0"/>
    <n v="32.799999999999997"/>
    <n v="32.799999999999997"/>
    <d v="2025-03-02T00:00:00"/>
    <d v="2025-03-05T00:00:00"/>
    <x v="1"/>
    <x v="0"/>
    <n v="5"/>
    <x v="0"/>
    <x v="30"/>
    <x v="2"/>
    <x v="9"/>
    <x v="1"/>
  </r>
  <r>
    <x v="1637"/>
    <x v="4"/>
    <x v="3"/>
    <n v="46.7"/>
    <n v="326.90000000000003"/>
    <d v="2025-03-02T00:00:00"/>
    <d v="2025-03-04T00:00:00"/>
    <x v="3"/>
    <x v="0"/>
    <n v="5"/>
    <x v="0"/>
    <x v="18"/>
    <x v="1"/>
    <x v="9"/>
    <x v="3"/>
  </r>
  <r>
    <x v="1638"/>
    <x v="15"/>
    <x v="3"/>
    <n v="21"/>
    <n v="147"/>
    <d v="2025-03-02T00:00:00"/>
    <d v="2025-03-05T00:00:00"/>
    <x v="1"/>
    <x v="2"/>
    <n v="3"/>
    <x v="0"/>
    <x v="21"/>
    <x v="2"/>
    <x v="9"/>
    <x v="1"/>
  </r>
  <r>
    <x v="1639"/>
    <x v="5"/>
    <x v="3"/>
    <n v="29.4"/>
    <n v="205.79999999999998"/>
    <d v="2025-03-02T00:00:00"/>
    <d v="2025-03-02T00:00:00"/>
    <x v="1"/>
    <x v="3"/>
    <n v="5"/>
    <x v="0"/>
    <x v="21"/>
    <x v="7"/>
    <x v="9"/>
    <x v="1"/>
  </r>
  <r>
    <x v="1640"/>
    <x v="15"/>
    <x v="1"/>
    <n v="32.299999999999997"/>
    <n v="64.599999999999994"/>
    <d v="2025-03-02T00:00:00"/>
    <d v="2025-03-03T00:00:00"/>
    <x v="1"/>
    <x v="0"/>
    <n v="5"/>
    <x v="0"/>
    <x v="21"/>
    <x v="3"/>
    <x v="9"/>
    <x v="1"/>
  </r>
  <r>
    <x v="1641"/>
    <x v="6"/>
    <x v="0"/>
    <n v="42.2"/>
    <n v="42.2"/>
    <d v="2025-03-03T00:00:00"/>
    <d v="2025-03-05T00:00:00"/>
    <x v="2"/>
    <x v="0"/>
    <n v="5"/>
    <x v="0"/>
    <x v="21"/>
    <x v="1"/>
    <x v="9"/>
    <x v="2"/>
  </r>
  <r>
    <x v="1642"/>
    <x v="6"/>
    <x v="0"/>
    <n v="53.7"/>
    <n v="53.7"/>
    <d v="2025-03-03T00:00:00"/>
    <d v="2025-03-05T00:00:00"/>
    <x v="1"/>
    <x v="1"/>
    <n v="3"/>
    <x v="0"/>
    <x v="1"/>
    <x v="1"/>
    <x v="9"/>
    <x v="1"/>
  </r>
  <r>
    <x v="1643"/>
    <x v="2"/>
    <x v="1"/>
    <n v="123.9"/>
    <n v="247.8"/>
    <d v="2025-03-03T00:00:00"/>
    <d v="2025-03-06T00:00:00"/>
    <x v="1"/>
    <x v="2"/>
    <n v="4"/>
    <x v="0"/>
    <x v="1"/>
    <x v="2"/>
    <x v="9"/>
    <x v="1"/>
  </r>
  <r>
    <x v="1644"/>
    <x v="4"/>
    <x v="2"/>
    <n v="35.9"/>
    <n v="107.69999999999999"/>
    <d v="2025-03-03T00:00:00"/>
    <d v="2025-03-05T00:00:00"/>
    <x v="1"/>
    <x v="2"/>
    <n v="4"/>
    <x v="0"/>
    <x v="22"/>
    <x v="1"/>
    <x v="9"/>
    <x v="1"/>
  </r>
  <r>
    <x v="1645"/>
    <x v="4"/>
    <x v="1"/>
    <n v="23.6"/>
    <n v="47.2"/>
    <d v="2025-03-03T00:00:00"/>
    <d v="2025-03-06T00:00:00"/>
    <x v="1"/>
    <x v="0"/>
    <n v="5"/>
    <x v="0"/>
    <x v="3"/>
    <x v="2"/>
    <x v="9"/>
    <x v="1"/>
  </r>
  <r>
    <x v="1646"/>
    <x v="15"/>
    <x v="36"/>
    <n v="45.7"/>
    <n v="1599.5"/>
    <d v="2025-03-03T00:00:00"/>
    <d v="2025-03-04T00:00:00"/>
    <x v="1"/>
    <x v="0"/>
    <n v="3"/>
    <x v="0"/>
    <x v="3"/>
    <x v="3"/>
    <x v="9"/>
    <x v="1"/>
  </r>
  <r>
    <x v="1647"/>
    <x v="6"/>
    <x v="5"/>
    <n v="118.3"/>
    <n v="1301.3"/>
    <d v="2025-03-03T00:00:00"/>
    <d v="2025-03-05T00:00:00"/>
    <x v="1"/>
    <x v="4"/>
    <n v="5"/>
    <x v="0"/>
    <x v="3"/>
    <x v="1"/>
    <x v="9"/>
    <x v="1"/>
  </r>
  <r>
    <x v="1648"/>
    <x v="19"/>
    <x v="0"/>
    <n v="36"/>
    <n v="36"/>
    <d v="2025-03-03T00:00:00"/>
    <d v="2025-03-04T00:00:00"/>
    <x v="2"/>
    <x v="0"/>
    <n v="3"/>
    <x v="0"/>
    <x v="3"/>
    <x v="3"/>
    <x v="9"/>
    <x v="2"/>
  </r>
  <r>
    <x v="1649"/>
    <x v="8"/>
    <x v="1"/>
    <n v="37.1"/>
    <n v="74.2"/>
    <d v="2025-03-03T00:00:00"/>
    <d v="2025-03-06T00:00:00"/>
    <x v="2"/>
    <x v="2"/>
    <n v="4"/>
    <x v="0"/>
    <x v="3"/>
    <x v="2"/>
    <x v="9"/>
    <x v="2"/>
  </r>
  <r>
    <x v="1650"/>
    <x v="18"/>
    <x v="2"/>
    <n v="45.1"/>
    <n v="135.30000000000001"/>
    <d v="2025-03-03T00:00:00"/>
    <d v="2025-03-05T00:00:00"/>
    <x v="2"/>
    <x v="1"/>
    <n v="5"/>
    <x v="0"/>
    <x v="3"/>
    <x v="1"/>
    <x v="9"/>
    <x v="2"/>
  </r>
  <r>
    <x v="1651"/>
    <x v="5"/>
    <x v="27"/>
    <n v="37.9"/>
    <n v="606.4"/>
    <d v="2025-03-03T00:00:00"/>
    <d v="2025-03-04T00:00:00"/>
    <x v="2"/>
    <x v="3"/>
    <n v="5"/>
    <x v="0"/>
    <x v="3"/>
    <x v="3"/>
    <x v="9"/>
    <x v="2"/>
  </r>
  <r>
    <x v="1652"/>
    <x v="2"/>
    <x v="1"/>
    <n v="121.6"/>
    <n v="243.2"/>
    <d v="2025-03-03T00:00:00"/>
    <d v="2025-03-06T00:00:00"/>
    <x v="1"/>
    <x v="3"/>
    <n v="5"/>
    <x v="0"/>
    <x v="3"/>
    <x v="2"/>
    <x v="9"/>
    <x v="1"/>
  </r>
  <r>
    <x v="1653"/>
    <x v="5"/>
    <x v="3"/>
    <n v="38.200000000000003"/>
    <n v="267.40000000000003"/>
    <d v="2025-03-03T00:00:00"/>
    <d v="2025-03-06T00:00:00"/>
    <x v="2"/>
    <x v="0"/>
    <n v="4"/>
    <x v="0"/>
    <x v="3"/>
    <x v="2"/>
    <x v="9"/>
    <x v="2"/>
  </r>
  <r>
    <x v="1654"/>
    <x v="17"/>
    <x v="1"/>
    <n v="37.200000000000003"/>
    <n v="74.400000000000006"/>
    <d v="2025-03-03T00:00:00"/>
    <d v="2025-03-06T00:00:00"/>
    <x v="1"/>
    <x v="4"/>
    <n v="4"/>
    <x v="0"/>
    <x v="3"/>
    <x v="2"/>
    <x v="9"/>
    <x v="1"/>
  </r>
  <r>
    <x v="1655"/>
    <x v="2"/>
    <x v="12"/>
    <n v="115.7"/>
    <n v="462.8"/>
    <d v="2025-03-03T00:00:00"/>
    <d v="2025-03-06T00:00:00"/>
    <x v="2"/>
    <x v="1"/>
    <n v="4"/>
    <x v="0"/>
    <x v="3"/>
    <x v="2"/>
    <x v="9"/>
    <x v="2"/>
  </r>
  <r>
    <x v="1656"/>
    <x v="2"/>
    <x v="13"/>
    <n v="99.4"/>
    <n v="596.40000000000009"/>
    <d v="2025-03-03T00:00:00"/>
    <d v="2025-03-06T00:00:00"/>
    <x v="1"/>
    <x v="0"/>
    <n v="5"/>
    <x v="0"/>
    <x v="3"/>
    <x v="2"/>
    <x v="9"/>
    <x v="1"/>
  </r>
  <r>
    <x v="1657"/>
    <x v="11"/>
    <x v="0"/>
    <n v="38.700000000000003"/>
    <n v="38.700000000000003"/>
    <d v="2025-03-03T00:00:00"/>
    <d v="2025-03-04T00:00:00"/>
    <x v="2"/>
    <x v="2"/>
    <n v="4"/>
    <x v="0"/>
    <x v="25"/>
    <x v="3"/>
    <x v="9"/>
    <x v="2"/>
  </r>
  <r>
    <x v="1658"/>
    <x v="4"/>
    <x v="1"/>
    <n v="35.5"/>
    <n v="71"/>
    <d v="2025-03-03T00:00:00"/>
    <d v="2025-03-06T00:00:00"/>
    <x v="1"/>
    <x v="0"/>
    <n v="5"/>
    <x v="0"/>
    <x v="25"/>
    <x v="2"/>
    <x v="9"/>
    <x v="1"/>
  </r>
  <r>
    <x v="1659"/>
    <x v="2"/>
    <x v="12"/>
    <n v="93.3"/>
    <n v="373.2"/>
    <d v="2025-03-03T00:00:00"/>
    <d v="2025-03-06T00:00:00"/>
    <x v="2"/>
    <x v="0"/>
    <n v="5"/>
    <x v="0"/>
    <x v="6"/>
    <x v="2"/>
    <x v="9"/>
    <x v="2"/>
  </r>
  <r>
    <x v="1660"/>
    <x v="16"/>
    <x v="0"/>
    <n v="31.4"/>
    <n v="31.4"/>
    <d v="2025-03-03T00:00:00"/>
    <d v="2025-03-08T00:00:00"/>
    <x v="2"/>
    <x v="2"/>
    <n v="5"/>
    <x v="0"/>
    <x v="6"/>
    <x v="0"/>
    <x v="9"/>
    <x v="2"/>
  </r>
  <r>
    <x v="1661"/>
    <x v="1"/>
    <x v="0"/>
    <n v="85.9"/>
    <n v="85.9"/>
    <d v="2025-03-03T00:00:00"/>
    <d v="2025-03-06T00:00:00"/>
    <x v="1"/>
    <x v="1"/>
    <n v="4"/>
    <x v="0"/>
    <x v="6"/>
    <x v="2"/>
    <x v="9"/>
    <x v="1"/>
  </r>
  <r>
    <x v="1662"/>
    <x v="6"/>
    <x v="8"/>
    <n v="41.7"/>
    <n v="333.6"/>
    <d v="2025-03-03T00:00:00"/>
    <d v="2025-03-11T00:00:00"/>
    <x v="1"/>
    <x v="0"/>
    <n v="5"/>
    <x v="0"/>
    <x v="7"/>
    <x v="9"/>
    <x v="9"/>
    <x v="1"/>
  </r>
  <r>
    <x v="1663"/>
    <x v="8"/>
    <x v="12"/>
    <n v="31.5"/>
    <n v="126"/>
    <d v="2025-03-03T00:00:00"/>
    <d v="2025-03-04T00:00:00"/>
    <x v="2"/>
    <x v="0"/>
    <n v="4"/>
    <x v="0"/>
    <x v="7"/>
    <x v="3"/>
    <x v="9"/>
    <x v="2"/>
  </r>
  <r>
    <x v="1664"/>
    <x v="8"/>
    <x v="1"/>
    <n v="36.299999999999997"/>
    <n v="72.599999999999994"/>
    <d v="2025-03-03T00:00:00"/>
    <d v="2025-03-04T00:00:00"/>
    <x v="2"/>
    <x v="0"/>
    <n v="2"/>
    <x v="0"/>
    <x v="8"/>
    <x v="3"/>
    <x v="9"/>
    <x v="2"/>
  </r>
  <r>
    <x v="1665"/>
    <x v="8"/>
    <x v="2"/>
    <n v="33.4"/>
    <n v="100.19999999999999"/>
    <d v="2025-03-03T00:00:00"/>
    <d v="2025-03-04T00:00:00"/>
    <x v="2"/>
    <x v="3"/>
    <n v="4"/>
    <x v="0"/>
    <x v="17"/>
    <x v="3"/>
    <x v="9"/>
    <x v="2"/>
  </r>
  <r>
    <x v="1666"/>
    <x v="2"/>
    <x v="2"/>
    <n v="65.2"/>
    <n v="195.60000000000002"/>
    <d v="2025-03-03T00:00:00"/>
    <d v="2025-03-04T00:00:00"/>
    <x v="2"/>
    <x v="2"/>
    <n v="5"/>
    <x v="0"/>
    <x v="26"/>
    <x v="3"/>
    <x v="9"/>
    <x v="2"/>
  </r>
  <r>
    <x v="1667"/>
    <x v="8"/>
    <x v="11"/>
    <n v="65.5"/>
    <n v="589.5"/>
    <d v="2025-03-03T00:00:00"/>
    <d v="2025-03-06T00:00:00"/>
    <x v="2"/>
    <x v="0"/>
    <n v="5"/>
    <x v="0"/>
    <x v="9"/>
    <x v="2"/>
    <x v="9"/>
    <x v="2"/>
  </r>
  <r>
    <x v="1668"/>
    <x v="6"/>
    <x v="2"/>
    <n v="52.8"/>
    <n v="158.39999999999998"/>
    <d v="2025-03-03T00:00:00"/>
    <d v="2025-03-06T00:00:00"/>
    <x v="1"/>
    <x v="2"/>
    <n v="4"/>
    <x v="0"/>
    <x v="9"/>
    <x v="2"/>
    <x v="9"/>
    <x v="1"/>
  </r>
  <r>
    <x v="1669"/>
    <x v="9"/>
    <x v="9"/>
    <n v="24"/>
    <n v="120"/>
    <d v="2025-03-03T00:00:00"/>
    <d v="2025-03-07T00:00:00"/>
    <x v="1"/>
    <x v="0"/>
    <n v="3"/>
    <x v="0"/>
    <x v="11"/>
    <x v="5"/>
    <x v="9"/>
    <x v="1"/>
  </r>
  <r>
    <x v="1670"/>
    <x v="3"/>
    <x v="2"/>
    <n v="51.2"/>
    <n v="153.60000000000002"/>
    <d v="2025-03-03T00:00:00"/>
    <d v="2025-03-04T00:00:00"/>
    <x v="2"/>
    <x v="0"/>
    <n v="4"/>
    <x v="0"/>
    <x v="32"/>
    <x v="3"/>
    <x v="9"/>
    <x v="2"/>
  </r>
  <r>
    <x v="1671"/>
    <x v="5"/>
    <x v="2"/>
    <n v="28.3"/>
    <n v="84.9"/>
    <d v="2025-03-03T00:00:00"/>
    <d v="2025-03-05T00:00:00"/>
    <x v="1"/>
    <x v="4"/>
    <n v="4"/>
    <x v="0"/>
    <x v="19"/>
    <x v="1"/>
    <x v="9"/>
    <x v="1"/>
  </r>
  <r>
    <x v="1672"/>
    <x v="6"/>
    <x v="2"/>
    <n v="42.3"/>
    <n v="126.89999999999999"/>
    <d v="2025-03-03T00:00:00"/>
    <d v="2025-03-03T00:00:00"/>
    <x v="2"/>
    <x v="2"/>
    <n v="3"/>
    <x v="0"/>
    <x v="19"/>
    <x v="7"/>
    <x v="9"/>
    <x v="2"/>
  </r>
  <r>
    <x v="1673"/>
    <x v="2"/>
    <x v="8"/>
    <n v="163.30000000000001"/>
    <n v="1306.4000000000001"/>
    <d v="2025-03-04T00:00:00"/>
    <d v="2025-03-05T00:00:00"/>
    <x v="2"/>
    <x v="1"/>
    <n v="4"/>
    <x v="0"/>
    <x v="13"/>
    <x v="3"/>
    <x v="9"/>
    <x v="2"/>
  </r>
  <r>
    <x v="1674"/>
    <x v="6"/>
    <x v="3"/>
    <n v="47.3"/>
    <n v="331.09999999999997"/>
    <d v="2025-03-04T00:00:00"/>
    <d v="2025-03-07T00:00:00"/>
    <x v="2"/>
    <x v="4"/>
    <n v="3"/>
    <x v="0"/>
    <x v="21"/>
    <x v="2"/>
    <x v="9"/>
    <x v="2"/>
  </r>
  <r>
    <x v="1675"/>
    <x v="8"/>
    <x v="27"/>
    <n v="27.3"/>
    <n v="436.8"/>
    <d v="2025-03-04T00:00:00"/>
    <d v="2025-03-05T00:00:00"/>
    <x v="2"/>
    <x v="2"/>
    <n v="4"/>
    <x v="0"/>
    <x v="21"/>
    <x v="3"/>
    <x v="9"/>
    <x v="2"/>
  </r>
  <r>
    <x v="1676"/>
    <x v="10"/>
    <x v="13"/>
    <n v="34.9"/>
    <n v="209.39999999999998"/>
    <d v="2025-03-04T00:00:00"/>
    <d v="2025-03-15T00:00:00"/>
    <x v="2"/>
    <x v="0"/>
    <n v="4"/>
    <x v="0"/>
    <x v="21"/>
    <x v="11"/>
    <x v="9"/>
    <x v="2"/>
  </r>
  <r>
    <x v="1677"/>
    <x v="6"/>
    <x v="1"/>
    <n v="53.9"/>
    <n v="107.8"/>
    <d v="2025-03-04T00:00:00"/>
    <d v="2025-03-07T00:00:00"/>
    <x v="3"/>
    <x v="0"/>
    <n v="2"/>
    <x v="0"/>
    <x v="1"/>
    <x v="2"/>
    <x v="9"/>
    <x v="3"/>
  </r>
  <r>
    <x v="1678"/>
    <x v="2"/>
    <x v="1"/>
    <n v="87.2"/>
    <n v="174.4"/>
    <d v="2025-03-04T00:00:00"/>
    <d v="2025-03-05T00:00:00"/>
    <x v="2"/>
    <x v="0"/>
    <n v="3"/>
    <x v="0"/>
    <x v="1"/>
    <x v="3"/>
    <x v="9"/>
    <x v="2"/>
  </r>
  <r>
    <x v="1679"/>
    <x v="15"/>
    <x v="0"/>
    <n v="58.8"/>
    <n v="58.8"/>
    <d v="2025-03-04T00:00:00"/>
    <d v="2025-03-06T00:00:00"/>
    <x v="2"/>
    <x v="2"/>
    <n v="4"/>
    <x v="0"/>
    <x v="44"/>
    <x v="1"/>
    <x v="9"/>
    <x v="2"/>
  </r>
  <r>
    <x v="1680"/>
    <x v="2"/>
    <x v="3"/>
    <n v="125.5"/>
    <n v="878.5"/>
    <d v="2025-03-04T00:00:00"/>
    <d v="2025-03-05T00:00:00"/>
    <x v="1"/>
    <x v="2"/>
    <n v="2"/>
    <x v="0"/>
    <x v="22"/>
    <x v="3"/>
    <x v="9"/>
    <x v="1"/>
  </r>
  <r>
    <x v="1681"/>
    <x v="1"/>
    <x v="12"/>
    <n v="124.6"/>
    <n v="498.4"/>
    <d v="2025-03-04T00:00:00"/>
    <d v="2025-03-06T00:00:00"/>
    <x v="2"/>
    <x v="0"/>
    <n v="3"/>
    <x v="0"/>
    <x v="22"/>
    <x v="1"/>
    <x v="9"/>
    <x v="2"/>
  </r>
  <r>
    <x v="1682"/>
    <x v="1"/>
    <x v="3"/>
    <n v="39.9"/>
    <n v="279.3"/>
    <d v="2025-03-04T00:00:00"/>
    <d v="2025-03-05T00:00:00"/>
    <x v="1"/>
    <x v="2"/>
    <n v="3"/>
    <x v="0"/>
    <x v="3"/>
    <x v="3"/>
    <x v="9"/>
    <x v="1"/>
  </r>
  <r>
    <x v="1683"/>
    <x v="6"/>
    <x v="0"/>
    <n v="94.6"/>
    <n v="94.6"/>
    <d v="2025-03-04T00:00:00"/>
    <d v="2025-03-18T00:00:00"/>
    <x v="2"/>
    <x v="0"/>
    <n v="3"/>
    <x v="0"/>
    <x v="3"/>
    <x v="12"/>
    <x v="9"/>
    <x v="2"/>
  </r>
  <r>
    <x v="1684"/>
    <x v="2"/>
    <x v="1"/>
    <n v="149.6"/>
    <n v="299.2"/>
    <d v="2025-03-04T00:00:00"/>
    <d v="2025-03-05T00:00:00"/>
    <x v="2"/>
    <x v="0"/>
    <n v="4"/>
    <x v="0"/>
    <x v="3"/>
    <x v="3"/>
    <x v="9"/>
    <x v="2"/>
  </r>
  <r>
    <x v="1685"/>
    <x v="8"/>
    <x v="0"/>
    <n v="52.2"/>
    <n v="52.2"/>
    <d v="2025-03-04T00:00:00"/>
    <d v="2025-03-05T00:00:00"/>
    <x v="0"/>
    <x v="1"/>
    <n v="4"/>
    <x v="0"/>
    <x v="3"/>
    <x v="3"/>
    <x v="9"/>
    <x v="0"/>
  </r>
  <r>
    <x v="1686"/>
    <x v="6"/>
    <x v="1"/>
    <n v="96.5"/>
    <n v="193"/>
    <d v="2025-03-04T00:00:00"/>
    <d v="2025-03-05T00:00:00"/>
    <x v="2"/>
    <x v="1"/>
    <n v="3"/>
    <x v="0"/>
    <x v="3"/>
    <x v="3"/>
    <x v="9"/>
    <x v="2"/>
  </r>
  <r>
    <x v="1687"/>
    <x v="8"/>
    <x v="1"/>
    <n v="79.8"/>
    <n v="159.6"/>
    <d v="2025-03-04T00:00:00"/>
    <d v="2025-03-06T00:00:00"/>
    <x v="2"/>
    <x v="0"/>
    <n v="3"/>
    <x v="0"/>
    <x v="3"/>
    <x v="1"/>
    <x v="9"/>
    <x v="2"/>
  </r>
  <r>
    <x v="1688"/>
    <x v="8"/>
    <x v="2"/>
    <n v="35.6"/>
    <n v="106.80000000000001"/>
    <d v="2025-03-04T00:00:00"/>
    <d v="2025-03-05T00:00:00"/>
    <x v="2"/>
    <x v="2"/>
    <n v="4"/>
    <x v="0"/>
    <x v="3"/>
    <x v="3"/>
    <x v="9"/>
    <x v="2"/>
  </r>
  <r>
    <x v="1689"/>
    <x v="16"/>
    <x v="0"/>
    <n v="50.2"/>
    <n v="50.2"/>
    <d v="2025-03-04T00:00:00"/>
    <d v="2025-03-05T00:00:00"/>
    <x v="2"/>
    <x v="1"/>
    <n v="5"/>
    <x v="0"/>
    <x v="3"/>
    <x v="3"/>
    <x v="9"/>
    <x v="2"/>
  </r>
  <r>
    <x v="1690"/>
    <x v="1"/>
    <x v="2"/>
    <n v="55.3"/>
    <n v="165.89999999999998"/>
    <d v="2025-03-04T00:00:00"/>
    <d v="2025-03-07T00:00:00"/>
    <x v="2"/>
    <x v="0"/>
    <n v="2"/>
    <x v="0"/>
    <x v="40"/>
    <x v="2"/>
    <x v="9"/>
    <x v="2"/>
  </r>
  <r>
    <x v="1691"/>
    <x v="6"/>
    <x v="3"/>
    <n v="104.5"/>
    <n v="731.5"/>
    <d v="2025-03-04T00:00:00"/>
    <d v="2025-03-08T00:00:00"/>
    <x v="2"/>
    <x v="1"/>
    <n v="4"/>
    <x v="0"/>
    <x v="7"/>
    <x v="5"/>
    <x v="9"/>
    <x v="2"/>
  </r>
  <r>
    <x v="1692"/>
    <x v="6"/>
    <x v="12"/>
    <n v="66.5"/>
    <n v="266"/>
    <d v="2025-03-04T00:00:00"/>
    <d v="2025-03-06T00:00:00"/>
    <x v="1"/>
    <x v="1"/>
    <n v="4"/>
    <x v="0"/>
    <x v="7"/>
    <x v="1"/>
    <x v="9"/>
    <x v="1"/>
  </r>
  <r>
    <x v="1693"/>
    <x v="10"/>
    <x v="8"/>
    <n v="38.299999999999997"/>
    <n v="306.39999999999998"/>
    <d v="2025-03-04T00:00:00"/>
    <d v="2025-03-05T00:00:00"/>
    <x v="2"/>
    <x v="0"/>
    <n v="4"/>
    <x v="0"/>
    <x v="7"/>
    <x v="3"/>
    <x v="9"/>
    <x v="2"/>
  </r>
  <r>
    <x v="1694"/>
    <x v="6"/>
    <x v="2"/>
    <n v="63.8"/>
    <n v="191.39999999999998"/>
    <d v="2025-03-04T00:00:00"/>
    <d v="2025-03-07T00:00:00"/>
    <x v="2"/>
    <x v="1"/>
    <n v="4"/>
    <x v="0"/>
    <x v="8"/>
    <x v="2"/>
    <x v="9"/>
    <x v="2"/>
  </r>
  <r>
    <x v="1695"/>
    <x v="15"/>
    <x v="0"/>
    <n v="21.4"/>
    <n v="21.4"/>
    <d v="2025-03-04T00:00:00"/>
    <d v="2025-03-04T00:00:00"/>
    <x v="1"/>
    <x v="4"/>
    <n v="4"/>
    <x v="0"/>
    <x v="8"/>
    <x v="7"/>
    <x v="9"/>
    <x v="1"/>
  </r>
  <r>
    <x v="1696"/>
    <x v="8"/>
    <x v="12"/>
    <n v="44.1"/>
    <n v="176.4"/>
    <d v="2025-03-04T00:00:00"/>
    <d v="2025-03-06T00:00:00"/>
    <x v="2"/>
    <x v="2"/>
    <n v="4"/>
    <x v="0"/>
    <x v="8"/>
    <x v="1"/>
    <x v="9"/>
    <x v="2"/>
  </r>
  <r>
    <x v="1697"/>
    <x v="5"/>
    <x v="8"/>
    <n v="57.6"/>
    <n v="460.8"/>
    <d v="2025-03-04T00:00:00"/>
    <d v="2025-03-06T00:00:00"/>
    <x v="1"/>
    <x v="1"/>
    <n v="5"/>
    <x v="0"/>
    <x v="8"/>
    <x v="1"/>
    <x v="9"/>
    <x v="1"/>
  </r>
  <r>
    <x v="1698"/>
    <x v="9"/>
    <x v="1"/>
    <n v="20.3"/>
    <n v="40.6"/>
    <d v="2025-03-04T00:00:00"/>
    <d v="2025-03-10T00:00:00"/>
    <x v="2"/>
    <x v="3"/>
    <n v="4"/>
    <x v="0"/>
    <x v="8"/>
    <x v="4"/>
    <x v="9"/>
    <x v="2"/>
  </r>
  <r>
    <x v="1699"/>
    <x v="8"/>
    <x v="0"/>
    <n v="22.9"/>
    <n v="22.9"/>
    <d v="2025-03-04T00:00:00"/>
    <d v="2025-03-06T00:00:00"/>
    <x v="2"/>
    <x v="2"/>
    <n v="5"/>
    <x v="0"/>
    <x v="8"/>
    <x v="1"/>
    <x v="9"/>
    <x v="2"/>
  </r>
  <r>
    <x v="1700"/>
    <x v="6"/>
    <x v="12"/>
    <n v="105.9"/>
    <n v="423.6"/>
    <d v="2025-03-04T00:00:00"/>
    <d v="2025-03-05T00:00:00"/>
    <x v="2"/>
    <x v="1"/>
    <n v="5"/>
    <x v="0"/>
    <x v="17"/>
    <x v="3"/>
    <x v="9"/>
    <x v="2"/>
  </r>
  <r>
    <x v="1701"/>
    <x v="1"/>
    <x v="11"/>
    <n v="37.4"/>
    <n v="336.59999999999997"/>
    <d v="2025-03-04T00:00:00"/>
    <d v="2025-03-08T00:00:00"/>
    <x v="1"/>
    <x v="1"/>
    <n v="4"/>
    <x v="0"/>
    <x v="11"/>
    <x v="5"/>
    <x v="9"/>
    <x v="1"/>
  </r>
  <r>
    <x v="1702"/>
    <x v="18"/>
    <x v="1"/>
    <n v="79"/>
    <n v="158"/>
    <d v="2025-03-04T00:00:00"/>
    <d v="2025-03-05T00:00:00"/>
    <x v="1"/>
    <x v="2"/>
    <n v="4"/>
    <x v="0"/>
    <x v="28"/>
    <x v="3"/>
    <x v="9"/>
    <x v="1"/>
  </r>
  <r>
    <x v="1703"/>
    <x v="0"/>
    <x v="2"/>
    <n v="19.3"/>
    <n v="57.900000000000006"/>
    <d v="2025-03-04T00:00:00"/>
    <d v="2025-03-05T00:00:00"/>
    <x v="2"/>
    <x v="4"/>
    <n v="4"/>
    <x v="0"/>
    <x v="21"/>
    <x v="3"/>
    <x v="9"/>
    <x v="2"/>
  </r>
  <r>
    <x v="1704"/>
    <x v="0"/>
    <x v="0"/>
    <n v="24"/>
    <n v="24"/>
    <d v="2025-03-04T00:00:00"/>
    <d v="2025-03-05T00:00:00"/>
    <x v="2"/>
    <x v="1"/>
    <n v="4"/>
    <x v="0"/>
    <x v="1"/>
    <x v="3"/>
    <x v="9"/>
    <x v="2"/>
  </r>
  <r>
    <x v="1705"/>
    <x v="6"/>
    <x v="9"/>
    <n v="71.3"/>
    <n v="356.5"/>
    <d v="2025-03-04T00:00:00"/>
    <d v="2025-03-07T00:00:00"/>
    <x v="2"/>
    <x v="2"/>
    <n v="4"/>
    <x v="0"/>
    <x v="2"/>
    <x v="2"/>
    <x v="9"/>
    <x v="2"/>
  </r>
  <r>
    <x v="1706"/>
    <x v="5"/>
    <x v="1"/>
    <n v="166.2"/>
    <n v="332.4"/>
    <d v="2025-03-04T00:00:00"/>
    <d v="2025-03-05T00:00:00"/>
    <x v="1"/>
    <x v="0"/>
    <n v="5"/>
    <x v="0"/>
    <x v="50"/>
    <x v="3"/>
    <x v="9"/>
    <x v="1"/>
  </r>
  <r>
    <x v="1707"/>
    <x v="6"/>
    <x v="0"/>
    <n v="81"/>
    <n v="81"/>
    <d v="2025-03-04T00:00:00"/>
    <d v="2025-03-05T00:00:00"/>
    <x v="2"/>
    <x v="2"/>
    <n v="3"/>
    <x v="0"/>
    <x v="3"/>
    <x v="3"/>
    <x v="9"/>
    <x v="2"/>
  </r>
  <r>
    <x v="1708"/>
    <x v="10"/>
    <x v="13"/>
    <n v="38.5"/>
    <n v="231"/>
    <d v="2025-03-04T00:00:00"/>
    <d v="2025-03-08T00:00:00"/>
    <x v="2"/>
    <x v="0"/>
    <n v="4"/>
    <x v="0"/>
    <x v="3"/>
    <x v="5"/>
    <x v="9"/>
    <x v="2"/>
  </r>
  <r>
    <x v="1709"/>
    <x v="6"/>
    <x v="0"/>
    <n v="86.1"/>
    <n v="86.1"/>
    <d v="2025-03-04T00:00:00"/>
    <d v="2025-03-06T00:00:00"/>
    <x v="2"/>
    <x v="3"/>
    <n v="4"/>
    <x v="0"/>
    <x v="3"/>
    <x v="1"/>
    <x v="9"/>
    <x v="2"/>
  </r>
  <r>
    <x v="1710"/>
    <x v="2"/>
    <x v="9"/>
    <n v="51"/>
    <n v="255"/>
    <d v="2025-03-04T00:00:00"/>
    <d v="2025-03-05T00:00:00"/>
    <x v="1"/>
    <x v="0"/>
    <n v="3"/>
    <x v="0"/>
    <x v="3"/>
    <x v="3"/>
    <x v="9"/>
    <x v="1"/>
  </r>
  <r>
    <x v="1711"/>
    <x v="3"/>
    <x v="9"/>
    <n v="115.4"/>
    <n v="577"/>
    <d v="2025-03-04T00:00:00"/>
    <d v="2025-03-05T00:00:00"/>
    <x v="1"/>
    <x v="0"/>
    <n v="4"/>
    <x v="0"/>
    <x v="3"/>
    <x v="3"/>
    <x v="9"/>
    <x v="1"/>
  </r>
  <r>
    <x v="1712"/>
    <x v="6"/>
    <x v="12"/>
    <n v="176.5"/>
    <n v="706"/>
    <d v="2025-03-04T00:00:00"/>
    <d v="2025-03-05T00:00:00"/>
    <x v="2"/>
    <x v="2"/>
    <n v="5"/>
    <x v="0"/>
    <x v="3"/>
    <x v="3"/>
    <x v="9"/>
    <x v="2"/>
  </r>
  <r>
    <x v="1713"/>
    <x v="7"/>
    <x v="2"/>
    <n v="48.9"/>
    <n v="146.69999999999999"/>
    <d v="2025-03-04T00:00:00"/>
    <d v="2025-03-05T00:00:00"/>
    <x v="1"/>
    <x v="4"/>
    <n v="4"/>
    <x v="0"/>
    <x v="3"/>
    <x v="3"/>
    <x v="9"/>
    <x v="1"/>
  </r>
  <r>
    <x v="1714"/>
    <x v="8"/>
    <x v="2"/>
    <n v="18.100000000000001"/>
    <n v="54.300000000000004"/>
    <d v="2025-03-04T00:00:00"/>
    <d v="2025-03-11T00:00:00"/>
    <x v="2"/>
    <x v="1"/>
    <n v="5"/>
    <x v="0"/>
    <x v="29"/>
    <x v="6"/>
    <x v="9"/>
    <x v="2"/>
  </r>
  <r>
    <x v="1715"/>
    <x v="2"/>
    <x v="1"/>
    <n v="118.5"/>
    <n v="237"/>
    <d v="2025-03-04T00:00:00"/>
    <d v="2025-03-07T00:00:00"/>
    <x v="1"/>
    <x v="1"/>
    <n v="5"/>
    <x v="0"/>
    <x v="16"/>
    <x v="2"/>
    <x v="9"/>
    <x v="1"/>
  </r>
  <r>
    <x v="1716"/>
    <x v="15"/>
    <x v="3"/>
    <n v="59.1"/>
    <n v="413.7"/>
    <d v="2025-03-04T00:00:00"/>
    <d v="2025-03-05T00:00:00"/>
    <x v="2"/>
    <x v="3"/>
    <n v="4"/>
    <x v="0"/>
    <x v="25"/>
    <x v="3"/>
    <x v="9"/>
    <x v="2"/>
  </r>
  <r>
    <x v="1717"/>
    <x v="4"/>
    <x v="0"/>
    <n v="21.2"/>
    <n v="21.2"/>
    <d v="2025-03-04T00:00:00"/>
    <d v="2025-03-05T00:00:00"/>
    <x v="2"/>
    <x v="0"/>
    <n v="3"/>
    <x v="0"/>
    <x v="6"/>
    <x v="3"/>
    <x v="9"/>
    <x v="2"/>
  </r>
  <r>
    <x v="1718"/>
    <x v="6"/>
    <x v="1"/>
    <n v="68.8"/>
    <n v="137.6"/>
    <d v="2025-03-04T00:00:00"/>
    <d v="2025-03-09T00:00:00"/>
    <x v="2"/>
    <x v="3"/>
    <n v="5"/>
    <x v="0"/>
    <x v="6"/>
    <x v="0"/>
    <x v="9"/>
    <x v="2"/>
  </r>
  <r>
    <x v="1719"/>
    <x v="6"/>
    <x v="1"/>
    <n v="65.400000000000006"/>
    <n v="130.80000000000001"/>
    <d v="2025-03-04T00:00:00"/>
    <d v="2025-03-08T00:00:00"/>
    <x v="2"/>
    <x v="0"/>
    <n v="4"/>
    <x v="0"/>
    <x v="6"/>
    <x v="5"/>
    <x v="9"/>
    <x v="2"/>
  </r>
  <r>
    <x v="1720"/>
    <x v="12"/>
    <x v="9"/>
    <n v="66.3"/>
    <n v="331.5"/>
    <d v="2025-03-05T00:00:00"/>
    <d v="2025-03-08T00:00:00"/>
    <x v="2"/>
    <x v="4"/>
    <n v="4"/>
    <x v="0"/>
    <x v="6"/>
    <x v="2"/>
    <x v="9"/>
    <x v="2"/>
  </r>
  <r>
    <x v="1721"/>
    <x v="6"/>
    <x v="2"/>
    <n v="97.5"/>
    <n v="292.5"/>
    <d v="2025-03-05T00:00:00"/>
    <d v="2025-03-05T00:00:00"/>
    <x v="1"/>
    <x v="3"/>
    <n v="4"/>
    <x v="0"/>
    <x v="8"/>
    <x v="7"/>
    <x v="9"/>
    <x v="1"/>
  </r>
  <r>
    <x v="1722"/>
    <x v="1"/>
    <x v="1"/>
    <n v="44"/>
    <n v="88"/>
    <d v="2025-03-05T00:00:00"/>
    <d v="2025-03-08T00:00:00"/>
    <x v="2"/>
    <x v="1"/>
    <n v="5"/>
    <x v="0"/>
    <x v="8"/>
    <x v="2"/>
    <x v="9"/>
    <x v="2"/>
  </r>
  <r>
    <x v="1723"/>
    <x v="0"/>
    <x v="0"/>
    <n v="21.9"/>
    <n v="21.9"/>
    <d v="2025-03-05T00:00:00"/>
    <d v="2025-03-06T00:00:00"/>
    <x v="1"/>
    <x v="0"/>
    <n v="4"/>
    <x v="0"/>
    <x v="8"/>
    <x v="3"/>
    <x v="9"/>
    <x v="1"/>
  </r>
  <r>
    <x v="1724"/>
    <x v="4"/>
    <x v="3"/>
    <n v="21.5"/>
    <n v="150.5"/>
    <d v="2025-03-05T00:00:00"/>
    <d v="2025-03-07T00:00:00"/>
    <x v="2"/>
    <x v="1"/>
    <n v="5"/>
    <x v="0"/>
    <x v="9"/>
    <x v="1"/>
    <x v="9"/>
    <x v="2"/>
  </r>
  <r>
    <x v="1725"/>
    <x v="12"/>
    <x v="13"/>
    <n v="133"/>
    <n v="798"/>
    <d v="2025-03-05T00:00:00"/>
    <d v="2025-03-06T00:00:00"/>
    <x v="3"/>
    <x v="0"/>
    <n v="5"/>
    <x v="0"/>
    <x v="10"/>
    <x v="3"/>
    <x v="9"/>
    <x v="3"/>
  </r>
  <r>
    <x v="1726"/>
    <x v="8"/>
    <x v="1"/>
    <n v="47.7"/>
    <n v="95.4"/>
    <d v="2025-03-05T00:00:00"/>
    <d v="2025-03-09T00:00:00"/>
    <x v="1"/>
    <x v="0"/>
    <n v="5"/>
    <x v="0"/>
    <x v="10"/>
    <x v="5"/>
    <x v="9"/>
    <x v="1"/>
  </r>
  <r>
    <x v="1727"/>
    <x v="16"/>
    <x v="2"/>
    <n v="58.1"/>
    <n v="174.3"/>
    <d v="2025-03-05T00:00:00"/>
    <d v="2025-03-06T00:00:00"/>
    <x v="2"/>
    <x v="0"/>
    <n v="4"/>
    <x v="0"/>
    <x v="11"/>
    <x v="3"/>
    <x v="9"/>
    <x v="2"/>
  </r>
  <r>
    <x v="1728"/>
    <x v="12"/>
    <x v="12"/>
    <n v="66.599999999999994"/>
    <n v="266.39999999999998"/>
    <d v="2025-03-05T00:00:00"/>
    <d v="2025-03-06T00:00:00"/>
    <x v="0"/>
    <x v="0"/>
    <n v="4"/>
    <x v="0"/>
    <x v="11"/>
    <x v="3"/>
    <x v="9"/>
    <x v="0"/>
  </r>
  <r>
    <x v="1729"/>
    <x v="9"/>
    <x v="0"/>
    <n v="24.1"/>
    <n v="24.1"/>
    <d v="2025-03-05T00:00:00"/>
    <d v="2025-03-08T00:00:00"/>
    <x v="1"/>
    <x v="2"/>
    <n v="3"/>
    <x v="0"/>
    <x v="19"/>
    <x v="2"/>
    <x v="9"/>
    <x v="1"/>
  </r>
  <r>
    <x v="1730"/>
    <x v="10"/>
    <x v="9"/>
    <n v="51.5"/>
    <n v="257.5"/>
    <d v="2025-03-05T00:00:00"/>
    <d v="2025-03-10T00:00:00"/>
    <x v="2"/>
    <x v="0"/>
    <n v="4"/>
    <x v="0"/>
    <x v="13"/>
    <x v="0"/>
    <x v="9"/>
    <x v="2"/>
  </r>
  <r>
    <x v="1731"/>
    <x v="0"/>
    <x v="5"/>
    <n v="25.8"/>
    <n v="283.8"/>
    <d v="2025-03-05T00:00:00"/>
    <d v="2025-03-09T00:00:00"/>
    <x v="2"/>
    <x v="3"/>
    <n v="2"/>
    <x v="0"/>
    <x v="21"/>
    <x v="5"/>
    <x v="9"/>
    <x v="2"/>
  </r>
  <r>
    <x v="1732"/>
    <x v="9"/>
    <x v="12"/>
    <n v="47.7"/>
    <n v="190.8"/>
    <d v="2025-03-05T00:00:00"/>
    <d v="2025-03-05T00:00:00"/>
    <x v="2"/>
    <x v="0"/>
    <n v="3"/>
    <x v="0"/>
    <x v="21"/>
    <x v="7"/>
    <x v="9"/>
    <x v="2"/>
  </r>
  <r>
    <x v="1733"/>
    <x v="7"/>
    <x v="9"/>
    <n v="73.599999999999994"/>
    <n v="368"/>
    <d v="2025-03-05T00:00:00"/>
    <d v="2025-03-09T00:00:00"/>
    <x v="1"/>
    <x v="1"/>
    <n v="4"/>
    <x v="0"/>
    <x v="21"/>
    <x v="5"/>
    <x v="9"/>
    <x v="1"/>
  </r>
  <r>
    <x v="1734"/>
    <x v="5"/>
    <x v="3"/>
    <n v="91.2"/>
    <n v="638.4"/>
    <d v="2025-03-05T00:00:00"/>
    <d v="2025-03-06T00:00:00"/>
    <x v="1"/>
    <x v="1"/>
    <n v="5"/>
    <x v="0"/>
    <x v="21"/>
    <x v="3"/>
    <x v="9"/>
    <x v="1"/>
  </r>
  <r>
    <x v="1735"/>
    <x v="1"/>
    <x v="8"/>
    <n v="36.200000000000003"/>
    <n v="289.60000000000002"/>
    <d v="2025-03-05T00:00:00"/>
    <d v="2025-03-05T00:00:00"/>
    <x v="1"/>
    <x v="2"/>
    <n v="5"/>
    <x v="0"/>
    <x v="1"/>
    <x v="7"/>
    <x v="9"/>
    <x v="1"/>
  </r>
  <r>
    <x v="1736"/>
    <x v="9"/>
    <x v="8"/>
    <n v="98"/>
    <n v="784"/>
    <d v="2025-03-05T00:00:00"/>
    <d v="2025-03-09T00:00:00"/>
    <x v="2"/>
    <x v="2"/>
    <n v="4"/>
    <x v="0"/>
    <x v="2"/>
    <x v="5"/>
    <x v="9"/>
    <x v="2"/>
  </r>
  <r>
    <x v="1737"/>
    <x v="1"/>
    <x v="8"/>
    <n v="43.6"/>
    <n v="348.8"/>
    <d v="2025-03-05T00:00:00"/>
    <d v="2025-03-06T00:00:00"/>
    <x v="2"/>
    <x v="2"/>
    <n v="4"/>
    <x v="0"/>
    <x v="22"/>
    <x v="3"/>
    <x v="9"/>
    <x v="2"/>
  </r>
  <r>
    <x v="1738"/>
    <x v="8"/>
    <x v="7"/>
    <n v="37.799999999999997"/>
    <n v="378"/>
    <d v="2025-03-05T00:00:00"/>
    <d v="2025-03-05T00:00:00"/>
    <x v="3"/>
    <x v="0"/>
    <n v="4"/>
    <x v="0"/>
    <x v="50"/>
    <x v="7"/>
    <x v="9"/>
    <x v="3"/>
  </r>
  <r>
    <x v="1739"/>
    <x v="17"/>
    <x v="9"/>
    <n v="63.7"/>
    <n v="318.5"/>
    <d v="2025-03-05T00:00:00"/>
    <d v="2025-03-08T00:00:00"/>
    <x v="2"/>
    <x v="2"/>
    <n v="3"/>
    <x v="0"/>
    <x v="3"/>
    <x v="2"/>
    <x v="9"/>
    <x v="2"/>
  </r>
  <r>
    <x v="1740"/>
    <x v="5"/>
    <x v="11"/>
    <n v="62.9"/>
    <n v="566.1"/>
    <d v="2025-03-05T00:00:00"/>
    <d v="2025-03-10T00:00:00"/>
    <x v="1"/>
    <x v="3"/>
    <n v="5"/>
    <x v="0"/>
    <x v="3"/>
    <x v="0"/>
    <x v="9"/>
    <x v="1"/>
  </r>
  <r>
    <x v="1741"/>
    <x v="6"/>
    <x v="3"/>
    <n v="61.7"/>
    <n v="431.90000000000003"/>
    <d v="2025-03-05T00:00:00"/>
    <d v="2025-03-08T00:00:00"/>
    <x v="2"/>
    <x v="2"/>
    <n v="5"/>
    <x v="0"/>
    <x v="3"/>
    <x v="2"/>
    <x v="9"/>
    <x v="2"/>
  </r>
  <r>
    <x v="1742"/>
    <x v="18"/>
    <x v="21"/>
    <n v="36.5"/>
    <n v="511"/>
    <d v="2025-03-05T00:00:00"/>
    <d v="2025-03-06T00:00:00"/>
    <x v="1"/>
    <x v="0"/>
    <n v="5"/>
    <x v="0"/>
    <x v="3"/>
    <x v="3"/>
    <x v="9"/>
    <x v="1"/>
  </r>
  <r>
    <x v="1743"/>
    <x v="11"/>
    <x v="2"/>
    <n v="98.6"/>
    <n v="295.79999999999995"/>
    <d v="2025-03-05T00:00:00"/>
    <d v="2025-03-08T00:00:00"/>
    <x v="3"/>
    <x v="0"/>
    <n v="2"/>
    <x v="0"/>
    <x v="3"/>
    <x v="2"/>
    <x v="9"/>
    <x v="3"/>
  </r>
  <r>
    <x v="1744"/>
    <x v="8"/>
    <x v="1"/>
    <n v="19.2"/>
    <n v="38.4"/>
    <d v="2025-03-05T00:00:00"/>
    <d v="2025-03-15T00:00:00"/>
    <x v="1"/>
    <x v="0"/>
    <n v="4"/>
    <x v="0"/>
    <x v="3"/>
    <x v="14"/>
    <x v="9"/>
    <x v="1"/>
  </r>
  <r>
    <x v="1745"/>
    <x v="3"/>
    <x v="13"/>
    <n v="55.6"/>
    <n v="333.6"/>
    <d v="2025-03-05T00:00:00"/>
    <d v="2025-03-09T00:00:00"/>
    <x v="2"/>
    <x v="0"/>
    <n v="5"/>
    <x v="0"/>
    <x v="3"/>
    <x v="5"/>
    <x v="9"/>
    <x v="2"/>
  </r>
  <r>
    <x v="1746"/>
    <x v="5"/>
    <x v="13"/>
    <n v="56.4"/>
    <n v="338.4"/>
    <d v="2025-03-05T00:00:00"/>
    <d v="2025-03-06T00:00:00"/>
    <x v="2"/>
    <x v="1"/>
    <n v="4"/>
    <x v="0"/>
    <x v="3"/>
    <x v="3"/>
    <x v="9"/>
    <x v="2"/>
  </r>
  <r>
    <x v="1747"/>
    <x v="4"/>
    <x v="8"/>
    <n v="43.1"/>
    <n v="344.8"/>
    <d v="2025-03-05T00:00:00"/>
    <d v="2025-03-09T00:00:00"/>
    <x v="2"/>
    <x v="4"/>
    <n v="4"/>
    <x v="0"/>
    <x v="3"/>
    <x v="5"/>
    <x v="9"/>
    <x v="2"/>
  </r>
  <r>
    <x v="1748"/>
    <x v="1"/>
    <x v="1"/>
    <n v="77.3"/>
    <n v="154.6"/>
    <d v="2025-03-05T00:00:00"/>
    <d v="2025-03-07T00:00:00"/>
    <x v="1"/>
    <x v="0"/>
    <n v="4"/>
    <x v="0"/>
    <x v="6"/>
    <x v="1"/>
    <x v="9"/>
    <x v="1"/>
  </r>
  <r>
    <x v="1749"/>
    <x v="9"/>
    <x v="8"/>
    <n v="38.299999999999997"/>
    <n v="306.39999999999998"/>
    <d v="2025-03-05T00:00:00"/>
    <d v="2025-03-06T00:00:00"/>
    <x v="1"/>
    <x v="0"/>
    <n v="4"/>
    <x v="0"/>
    <x v="7"/>
    <x v="3"/>
    <x v="9"/>
    <x v="1"/>
  </r>
  <r>
    <x v="1750"/>
    <x v="0"/>
    <x v="3"/>
    <n v="16.8"/>
    <n v="117.60000000000001"/>
    <d v="2025-03-05T00:00:00"/>
    <d v="2025-03-08T00:00:00"/>
    <x v="1"/>
    <x v="2"/>
    <n v="3"/>
    <x v="0"/>
    <x v="8"/>
    <x v="2"/>
    <x v="9"/>
    <x v="1"/>
  </r>
  <r>
    <x v="1751"/>
    <x v="2"/>
    <x v="2"/>
    <n v="63.2"/>
    <n v="189.60000000000002"/>
    <d v="2025-03-05T00:00:00"/>
    <d v="2025-03-06T00:00:00"/>
    <x v="2"/>
    <x v="0"/>
    <n v="5"/>
    <x v="0"/>
    <x v="8"/>
    <x v="3"/>
    <x v="9"/>
    <x v="2"/>
  </r>
  <r>
    <x v="1752"/>
    <x v="14"/>
    <x v="44"/>
    <n v="39.700000000000003"/>
    <n v="913.1"/>
    <d v="2025-03-05T00:00:00"/>
    <d v="2025-03-06T00:00:00"/>
    <x v="1"/>
    <x v="0"/>
    <n v="4"/>
    <x v="0"/>
    <x v="8"/>
    <x v="3"/>
    <x v="9"/>
    <x v="1"/>
  </r>
  <r>
    <x v="1753"/>
    <x v="10"/>
    <x v="2"/>
    <n v="45.8"/>
    <n v="137.39999999999998"/>
    <d v="2025-03-05T00:00:00"/>
    <d v="2025-03-06T00:00:00"/>
    <x v="2"/>
    <x v="1"/>
    <n v="5"/>
    <x v="0"/>
    <x v="8"/>
    <x v="3"/>
    <x v="9"/>
    <x v="2"/>
  </r>
  <r>
    <x v="1754"/>
    <x v="0"/>
    <x v="13"/>
    <n v="12.4"/>
    <n v="74.400000000000006"/>
    <d v="2025-03-05T00:00:00"/>
    <d v="2025-03-08T00:00:00"/>
    <x v="1"/>
    <x v="0"/>
    <n v="4"/>
    <x v="0"/>
    <x v="8"/>
    <x v="2"/>
    <x v="9"/>
    <x v="1"/>
  </r>
  <r>
    <x v="1755"/>
    <x v="14"/>
    <x v="2"/>
    <n v="50.8"/>
    <n v="152.39999999999998"/>
    <d v="2025-03-06T00:00:00"/>
    <d v="2025-03-06T00:00:00"/>
    <x v="2"/>
    <x v="4"/>
    <n v="4"/>
    <x v="0"/>
    <x v="17"/>
    <x v="7"/>
    <x v="9"/>
    <x v="2"/>
  </r>
  <r>
    <x v="1756"/>
    <x v="9"/>
    <x v="0"/>
    <n v="76"/>
    <n v="76"/>
    <d v="2025-03-06T00:00:00"/>
    <d v="2025-03-10T00:00:00"/>
    <x v="3"/>
    <x v="2"/>
    <n v="5"/>
    <x v="0"/>
    <x v="17"/>
    <x v="5"/>
    <x v="9"/>
    <x v="3"/>
  </r>
  <r>
    <x v="1757"/>
    <x v="1"/>
    <x v="1"/>
    <n v="51.9"/>
    <n v="103.8"/>
    <d v="2025-03-06T00:00:00"/>
    <d v="2025-03-07T00:00:00"/>
    <x v="1"/>
    <x v="1"/>
    <n v="5"/>
    <x v="0"/>
    <x v="26"/>
    <x v="3"/>
    <x v="9"/>
    <x v="1"/>
  </r>
  <r>
    <x v="1758"/>
    <x v="2"/>
    <x v="1"/>
    <n v="93.4"/>
    <n v="186.8"/>
    <d v="2025-03-06T00:00:00"/>
    <d v="2025-03-13T00:00:00"/>
    <x v="1"/>
    <x v="0"/>
    <n v="1"/>
    <x v="0"/>
    <x v="11"/>
    <x v="6"/>
    <x v="9"/>
    <x v="1"/>
  </r>
  <r>
    <x v="1759"/>
    <x v="7"/>
    <x v="13"/>
    <n v="30.8"/>
    <n v="184.8"/>
    <d v="2025-03-06T00:00:00"/>
    <d v="2025-03-09T00:00:00"/>
    <x v="2"/>
    <x v="1"/>
    <n v="4"/>
    <x v="0"/>
    <x v="11"/>
    <x v="2"/>
    <x v="9"/>
    <x v="2"/>
  </r>
  <r>
    <x v="1760"/>
    <x v="2"/>
    <x v="0"/>
    <n v="143.19999999999999"/>
    <n v="143.19999999999999"/>
    <d v="2025-03-06T00:00:00"/>
    <d v="2025-03-09T00:00:00"/>
    <x v="1"/>
    <x v="2"/>
    <n v="4"/>
    <x v="0"/>
    <x v="11"/>
    <x v="2"/>
    <x v="9"/>
    <x v="1"/>
  </r>
  <r>
    <x v="1761"/>
    <x v="6"/>
    <x v="5"/>
    <n v="40.4"/>
    <n v="444.4"/>
    <d v="2025-03-06T00:00:00"/>
    <d v="2025-03-08T00:00:00"/>
    <x v="1"/>
    <x v="2"/>
    <n v="5"/>
    <x v="0"/>
    <x v="18"/>
    <x v="1"/>
    <x v="9"/>
    <x v="1"/>
  </r>
  <r>
    <x v="1762"/>
    <x v="2"/>
    <x v="10"/>
    <n v="131.5"/>
    <n v="2498.5"/>
    <d v="2025-03-06T00:00:00"/>
    <d v="2025-03-08T00:00:00"/>
    <x v="1"/>
    <x v="1"/>
    <n v="3"/>
    <x v="0"/>
    <x v="18"/>
    <x v="1"/>
    <x v="9"/>
    <x v="1"/>
  </r>
  <r>
    <x v="1763"/>
    <x v="18"/>
    <x v="3"/>
    <n v="61.6"/>
    <n v="431.2"/>
    <d v="2025-03-06T00:00:00"/>
    <d v="2025-03-07T00:00:00"/>
    <x v="1"/>
    <x v="2"/>
    <n v="4"/>
    <x v="0"/>
    <x v="21"/>
    <x v="3"/>
    <x v="9"/>
    <x v="1"/>
  </r>
  <r>
    <x v="1764"/>
    <x v="9"/>
    <x v="9"/>
    <n v="32.700000000000003"/>
    <n v="163.5"/>
    <d v="2025-03-06T00:00:00"/>
    <d v="2025-03-08T00:00:00"/>
    <x v="1"/>
    <x v="2"/>
    <n v="4"/>
    <x v="0"/>
    <x v="1"/>
    <x v="1"/>
    <x v="9"/>
    <x v="1"/>
  </r>
  <r>
    <x v="1765"/>
    <x v="0"/>
    <x v="7"/>
    <n v="13.7"/>
    <n v="137"/>
    <d v="2025-03-06T00:00:00"/>
    <d v="2025-03-07T00:00:00"/>
    <x v="1"/>
    <x v="0"/>
    <n v="5"/>
    <x v="0"/>
    <x v="3"/>
    <x v="3"/>
    <x v="9"/>
    <x v="1"/>
  </r>
  <r>
    <x v="1766"/>
    <x v="0"/>
    <x v="12"/>
    <n v="32.1"/>
    <n v="128.4"/>
    <d v="2025-03-06T00:00:00"/>
    <d v="2025-03-07T00:00:00"/>
    <x v="1"/>
    <x v="4"/>
    <n v="3"/>
    <x v="0"/>
    <x v="3"/>
    <x v="3"/>
    <x v="9"/>
    <x v="1"/>
  </r>
  <r>
    <x v="1767"/>
    <x v="14"/>
    <x v="8"/>
    <n v="12"/>
    <n v="96"/>
    <d v="2025-03-06T00:00:00"/>
    <d v="2025-03-07T00:00:00"/>
    <x v="1"/>
    <x v="1"/>
    <n v="4"/>
    <x v="0"/>
    <x v="24"/>
    <x v="3"/>
    <x v="9"/>
    <x v="1"/>
  </r>
  <r>
    <x v="1768"/>
    <x v="12"/>
    <x v="0"/>
    <n v="64.3"/>
    <n v="64.3"/>
    <d v="2025-03-06T00:00:00"/>
    <d v="2025-03-08T00:00:00"/>
    <x v="2"/>
    <x v="2"/>
    <n v="5"/>
    <x v="0"/>
    <x v="6"/>
    <x v="1"/>
    <x v="9"/>
    <x v="2"/>
  </r>
  <r>
    <x v="1769"/>
    <x v="1"/>
    <x v="2"/>
    <n v="58.2"/>
    <n v="174.60000000000002"/>
    <d v="2025-03-06T00:00:00"/>
    <d v="2025-03-08T00:00:00"/>
    <x v="2"/>
    <x v="1"/>
    <n v="5"/>
    <x v="0"/>
    <x v="6"/>
    <x v="1"/>
    <x v="9"/>
    <x v="2"/>
  </r>
  <r>
    <x v="1770"/>
    <x v="6"/>
    <x v="12"/>
    <n v="59.2"/>
    <n v="236.8"/>
    <d v="2025-03-06T00:00:00"/>
    <d v="2025-03-06T00:00:00"/>
    <x v="1"/>
    <x v="1"/>
    <n v="5"/>
    <x v="0"/>
    <x v="6"/>
    <x v="7"/>
    <x v="9"/>
    <x v="1"/>
  </r>
  <r>
    <x v="1771"/>
    <x v="10"/>
    <x v="5"/>
    <n v="35.6"/>
    <n v="391.6"/>
    <d v="2025-03-06T00:00:00"/>
    <d v="2025-03-13T00:00:00"/>
    <x v="1"/>
    <x v="0"/>
    <n v="5"/>
    <x v="0"/>
    <x v="8"/>
    <x v="6"/>
    <x v="9"/>
    <x v="1"/>
  </r>
  <r>
    <x v="1772"/>
    <x v="16"/>
    <x v="8"/>
    <n v="37"/>
    <n v="296"/>
    <d v="2025-03-06T00:00:00"/>
    <d v="2025-03-10T00:00:00"/>
    <x v="2"/>
    <x v="2"/>
    <n v="3"/>
    <x v="0"/>
    <x v="8"/>
    <x v="5"/>
    <x v="9"/>
    <x v="2"/>
  </r>
  <r>
    <x v="1773"/>
    <x v="1"/>
    <x v="15"/>
    <n v="80.8"/>
    <n v="1050.3999999999999"/>
    <d v="2025-03-06T00:00:00"/>
    <d v="2025-03-08T00:00:00"/>
    <x v="2"/>
    <x v="0"/>
    <n v="4"/>
    <x v="0"/>
    <x v="8"/>
    <x v="1"/>
    <x v="9"/>
    <x v="2"/>
  </r>
  <r>
    <x v="1774"/>
    <x v="8"/>
    <x v="1"/>
    <n v="63.2"/>
    <n v="126.4"/>
    <d v="2025-03-06T00:00:00"/>
    <d v="2025-03-07T00:00:00"/>
    <x v="1"/>
    <x v="0"/>
    <n v="3"/>
    <x v="0"/>
    <x v="8"/>
    <x v="3"/>
    <x v="9"/>
    <x v="1"/>
  </r>
  <r>
    <x v="1775"/>
    <x v="3"/>
    <x v="1"/>
    <n v="40.799999999999997"/>
    <n v="81.599999999999994"/>
    <d v="2025-03-06T00:00:00"/>
    <d v="2025-03-08T00:00:00"/>
    <x v="1"/>
    <x v="0"/>
    <n v="3"/>
    <x v="0"/>
    <x v="17"/>
    <x v="1"/>
    <x v="9"/>
    <x v="1"/>
  </r>
  <r>
    <x v="1776"/>
    <x v="13"/>
    <x v="13"/>
    <n v="25.7"/>
    <n v="154.19999999999999"/>
    <d v="2025-03-06T00:00:00"/>
    <d v="2025-03-08T00:00:00"/>
    <x v="1"/>
    <x v="4"/>
    <n v="4"/>
    <x v="0"/>
    <x v="18"/>
    <x v="1"/>
    <x v="9"/>
    <x v="1"/>
  </r>
  <r>
    <x v="1777"/>
    <x v="16"/>
    <x v="1"/>
    <n v="49.9"/>
    <n v="99.8"/>
    <d v="2025-03-06T00:00:00"/>
    <d v="2025-03-09T00:00:00"/>
    <x v="1"/>
    <x v="0"/>
    <n v="4"/>
    <x v="0"/>
    <x v="20"/>
    <x v="2"/>
    <x v="9"/>
    <x v="1"/>
  </r>
  <r>
    <x v="1778"/>
    <x v="8"/>
    <x v="1"/>
    <n v="20.2"/>
    <n v="40.4"/>
    <d v="2025-03-06T00:00:00"/>
    <d v="2025-03-08T00:00:00"/>
    <x v="2"/>
    <x v="3"/>
    <n v="4"/>
    <x v="0"/>
    <x v="21"/>
    <x v="1"/>
    <x v="9"/>
    <x v="2"/>
  </r>
  <r>
    <x v="1779"/>
    <x v="6"/>
    <x v="2"/>
    <n v="48.4"/>
    <n v="145.19999999999999"/>
    <d v="2025-03-06T00:00:00"/>
    <d v="2025-03-11T00:00:00"/>
    <x v="2"/>
    <x v="0"/>
    <n v="5"/>
    <x v="0"/>
    <x v="21"/>
    <x v="0"/>
    <x v="9"/>
    <x v="2"/>
  </r>
  <r>
    <x v="1780"/>
    <x v="6"/>
    <x v="1"/>
    <n v="81"/>
    <n v="162"/>
    <d v="2025-03-06T00:00:00"/>
    <d v="2025-03-07T00:00:00"/>
    <x v="2"/>
    <x v="1"/>
    <n v="5"/>
    <x v="0"/>
    <x v="21"/>
    <x v="3"/>
    <x v="9"/>
    <x v="2"/>
  </r>
  <r>
    <x v="1781"/>
    <x v="8"/>
    <x v="13"/>
    <n v="19.899999999999999"/>
    <n v="119.39999999999999"/>
    <d v="2025-03-06T00:00:00"/>
    <d v="2025-03-09T00:00:00"/>
    <x v="2"/>
    <x v="0"/>
    <n v="3"/>
    <x v="0"/>
    <x v="22"/>
    <x v="2"/>
    <x v="9"/>
    <x v="2"/>
  </r>
  <r>
    <x v="1782"/>
    <x v="4"/>
    <x v="12"/>
    <n v="32.200000000000003"/>
    <n v="128.80000000000001"/>
    <d v="2025-03-06T00:00:00"/>
    <d v="2025-03-16T00:00:00"/>
    <x v="1"/>
    <x v="0"/>
    <n v="4"/>
    <x v="0"/>
    <x v="22"/>
    <x v="14"/>
    <x v="9"/>
    <x v="1"/>
  </r>
  <r>
    <x v="1783"/>
    <x v="5"/>
    <x v="2"/>
    <n v="76.8"/>
    <n v="230.39999999999998"/>
    <d v="2025-03-06T00:00:00"/>
    <d v="2025-03-07T00:00:00"/>
    <x v="2"/>
    <x v="0"/>
    <n v="3"/>
    <x v="0"/>
    <x v="3"/>
    <x v="3"/>
    <x v="9"/>
    <x v="2"/>
  </r>
  <r>
    <x v="1784"/>
    <x v="6"/>
    <x v="1"/>
    <n v="41.9"/>
    <n v="83.8"/>
    <d v="2025-03-06T00:00:00"/>
    <d v="2025-03-08T00:00:00"/>
    <x v="2"/>
    <x v="0"/>
    <n v="4"/>
    <x v="0"/>
    <x v="3"/>
    <x v="1"/>
    <x v="9"/>
    <x v="2"/>
  </r>
  <r>
    <x v="1785"/>
    <x v="0"/>
    <x v="3"/>
    <n v="34"/>
    <n v="238"/>
    <d v="2025-03-06T00:00:00"/>
    <d v="2025-03-08T00:00:00"/>
    <x v="2"/>
    <x v="1"/>
    <n v="5"/>
    <x v="0"/>
    <x v="3"/>
    <x v="1"/>
    <x v="9"/>
    <x v="2"/>
  </r>
  <r>
    <x v="1786"/>
    <x v="7"/>
    <x v="3"/>
    <n v="61.3"/>
    <n v="429.09999999999997"/>
    <d v="2025-03-06T00:00:00"/>
    <d v="2025-03-06T00:00:00"/>
    <x v="2"/>
    <x v="4"/>
    <n v="5"/>
    <x v="0"/>
    <x v="3"/>
    <x v="7"/>
    <x v="9"/>
    <x v="2"/>
  </r>
  <r>
    <x v="1787"/>
    <x v="9"/>
    <x v="0"/>
    <n v="54.7"/>
    <n v="54.7"/>
    <d v="2025-03-07T00:00:00"/>
    <d v="2025-03-08T00:00:00"/>
    <x v="1"/>
    <x v="0"/>
    <n v="3"/>
    <x v="0"/>
    <x v="3"/>
    <x v="3"/>
    <x v="9"/>
    <x v="1"/>
  </r>
  <r>
    <x v="1788"/>
    <x v="6"/>
    <x v="7"/>
    <n v="84.7"/>
    <n v="847"/>
    <d v="2025-03-07T00:00:00"/>
    <d v="2025-03-11T00:00:00"/>
    <x v="2"/>
    <x v="0"/>
    <n v="4"/>
    <x v="0"/>
    <x v="3"/>
    <x v="5"/>
    <x v="9"/>
    <x v="2"/>
  </r>
  <r>
    <x v="1789"/>
    <x v="1"/>
    <x v="2"/>
    <n v="93.4"/>
    <n v="280.20000000000005"/>
    <d v="2025-03-07T00:00:00"/>
    <d v="2025-03-11T00:00:00"/>
    <x v="2"/>
    <x v="3"/>
    <n v="4"/>
    <x v="0"/>
    <x v="3"/>
    <x v="5"/>
    <x v="9"/>
    <x v="2"/>
  </r>
  <r>
    <x v="1790"/>
    <x v="8"/>
    <x v="9"/>
    <n v="27"/>
    <n v="135"/>
    <d v="2025-03-07T00:00:00"/>
    <d v="2025-03-10T00:00:00"/>
    <x v="1"/>
    <x v="0"/>
    <n v="3"/>
    <x v="0"/>
    <x v="3"/>
    <x v="2"/>
    <x v="9"/>
    <x v="1"/>
  </r>
  <r>
    <x v="1791"/>
    <x v="0"/>
    <x v="12"/>
    <n v="10.9"/>
    <n v="43.6"/>
    <d v="2025-03-07T00:00:00"/>
    <d v="2025-03-08T00:00:00"/>
    <x v="1"/>
    <x v="2"/>
    <n v="4"/>
    <x v="0"/>
    <x v="3"/>
    <x v="3"/>
    <x v="9"/>
    <x v="1"/>
  </r>
  <r>
    <x v="1792"/>
    <x v="16"/>
    <x v="2"/>
    <n v="48"/>
    <n v="144"/>
    <d v="2025-03-07T00:00:00"/>
    <d v="2025-03-12T00:00:00"/>
    <x v="2"/>
    <x v="4"/>
    <n v="4"/>
    <x v="0"/>
    <x v="3"/>
    <x v="0"/>
    <x v="9"/>
    <x v="2"/>
  </r>
  <r>
    <x v="1793"/>
    <x v="5"/>
    <x v="1"/>
    <n v="67.900000000000006"/>
    <n v="135.80000000000001"/>
    <d v="2025-03-07T00:00:00"/>
    <d v="2025-03-08T00:00:00"/>
    <x v="1"/>
    <x v="0"/>
    <n v="5"/>
    <x v="0"/>
    <x v="23"/>
    <x v="3"/>
    <x v="9"/>
    <x v="1"/>
  </r>
  <r>
    <x v="1794"/>
    <x v="4"/>
    <x v="2"/>
    <n v="36"/>
    <n v="108"/>
    <d v="2025-03-07T00:00:00"/>
    <d v="2025-03-08T00:00:00"/>
    <x v="1"/>
    <x v="1"/>
    <n v="4"/>
    <x v="0"/>
    <x v="6"/>
    <x v="3"/>
    <x v="9"/>
    <x v="1"/>
  </r>
  <r>
    <x v="1795"/>
    <x v="2"/>
    <x v="0"/>
    <n v="128.80000000000001"/>
    <n v="128.80000000000001"/>
    <d v="2025-03-07T00:00:00"/>
    <d v="2025-03-08T00:00:00"/>
    <x v="1"/>
    <x v="4"/>
    <n v="5"/>
    <x v="0"/>
    <x v="6"/>
    <x v="3"/>
    <x v="9"/>
    <x v="1"/>
  </r>
  <r>
    <x v="1796"/>
    <x v="18"/>
    <x v="3"/>
    <n v="33.299999999999997"/>
    <n v="233.09999999999997"/>
    <d v="2025-03-07T00:00:00"/>
    <d v="2025-03-08T00:00:00"/>
    <x v="2"/>
    <x v="3"/>
    <n v="4"/>
    <x v="0"/>
    <x v="8"/>
    <x v="3"/>
    <x v="9"/>
    <x v="2"/>
  </r>
  <r>
    <x v="1797"/>
    <x v="10"/>
    <x v="2"/>
    <n v="37.799999999999997"/>
    <n v="113.39999999999999"/>
    <d v="2025-03-07T00:00:00"/>
    <d v="2025-03-09T00:00:00"/>
    <x v="1"/>
    <x v="1"/>
    <n v="5"/>
    <x v="0"/>
    <x v="8"/>
    <x v="1"/>
    <x v="9"/>
    <x v="1"/>
  </r>
  <r>
    <x v="1798"/>
    <x v="5"/>
    <x v="2"/>
    <n v="26"/>
    <n v="78"/>
    <d v="2025-03-07T00:00:00"/>
    <d v="2025-03-12T00:00:00"/>
    <x v="2"/>
    <x v="0"/>
    <n v="4"/>
    <x v="0"/>
    <x v="8"/>
    <x v="0"/>
    <x v="9"/>
    <x v="2"/>
  </r>
  <r>
    <x v="1799"/>
    <x v="8"/>
    <x v="10"/>
    <n v="28.3"/>
    <n v="537.70000000000005"/>
    <d v="2025-03-07T00:00:00"/>
    <d v="2025-03-08T00:00:00"/>
    <x v="2"/>
    <x v="3"/>
    <n v="2"/>
    <x v="0"/>
    <x v="8"/>
    <x v="3"/>
    <x v="9"/>
    <x v="2"/>
  </r>
  <r>
    <x v="1800"/>
    <x v="8"/>
    <x v="12"/>
    <n v="31.3"/>
    <n v="125.2"/>
    <d v="2025-03-07T00:00:00"/>
    <d v="2025-03-07T00:00:00"/>
    <x v="2"/>
    <x v="0"/>
    <n v="4"/>
    <x v="0"/>
    <x v="8"/>
    <x v="7"/>
    <x v="9"/>
    <x v="2"/>
  </r>
  <r>
    <x v="1801"/>
    <x v="7"/>
    <x v="2"/>
    <n v="69.5"/>
    <n v="208.5"/>
    <d v="2025-03-07T00:00:00"/>
    <d v="2025-03-08T00:00:00"/>
    <x v="2"/>
    <x v="3"/>
    <n v="5"/>
    <x v="0"/>
    <x v="8"/>
    <x v="3"/>
    <x v="9"/>
    <x v="2"/>
  </r>
  <r>
    <x v="1802"/>
    <x v="0"/>
    <x v="1"/>
    <n v="16.7"/>
    <n v="33.4"/>
    <d v="2025-03-07T00:00:00"/>
    <d v="2025-03-08T00:00:00"/>
    <x v="2"/>
    <x v="3"/>
    <n v="3"/>
    <x v="0"/>
    <x v="8"/>
    <x v="3"/>
    <x v="9"/>
    <x v="2"/>
  </r>
  <r>
    <x v="1803"/>
    <x v="9"/>
    <x v="1"/>
    <n v="62.6"/>
    <n v="125.2"/>
    <d v="2025-03-07T00:00:00"/>
    <d v="2025-03-08T00:00:00"/>
    <x v="1"/>
    <x v="2"/>
    <n v="5"/>
    <x v="0"/>
    <x v="9"/>
    <x v="3"/>
    <x v="9"/>
    <x v="1"/>
  </r>
  <r>
    <x v="1804"/>
    <x v="7"/>
    <x v="0"/>
    <n v="81.2"/>
    <n v="81.2"/>
    <d v="2025-03-07T00:00:00"/>
    <d v="2025-03-13T00:00:00"/>
    <x v="1"/>
    <x v="4"/>
    <n v="2"/>
    <x v="0"/>
    <x v="9"/>
    <x v="4"/>
    <x v="9"/>
    <x v="1"/>
  </r>
  <r>
    <x v="1805"/>
    <x v="0"/>
    <x v="7"/>
    <n v="12.7"/>
    <n v="127"/>
    <d v="2025-03-07T00:00:00"/>
    <d v="2025-03-08T00:00:00"/>
    <x v="2"/>
    <x v="0"/>
    <n v="5"/>
    <x v="0"/>
    <x v="9"/>
    <x v="3"/>
    <x v="9"/>
    <x v="2"/>
  </r>
  <r>
    <x v="1806"/>
    <x v="7"/>
    <x v="12"/>
    <n v="77.7"/>
    <n v="310.8"/>
    <d v="2025-03-08T00:00:00"/>
    <d v="2025-03-12T00:00:00"/>
    <x v="1"/>
    <x v="1"/>
    <n v="4"/>
    <x v="0"/>
    <x v="11"/>
    <x v="5"/>
    <x v="9"/>
    <x v="1"/>
  </r>
  <r>
    <x v="1807"/>
    <x v="5"/>
    <x v="1"/>
    <n v="37.299999999999997"/>
    <n v="74.599999999999994"/>
    <d v="2025-03-08T00:00:00"/>
    <d v="2025-03-09T00:00:00"/>
    <x v="2"/>
    <x v="0"/>
    <n v="5"/>
    <x v="0"/>
    <x v="18"/>
    <x v="3"/>
    <x v="9"/>
    <x v="2"/>
  </r>
  <r>
    <x v="1808"/>
    <x v="10"/>
    <x v="12"/>
    <n v="35.6"/>
    <n v="142.4"/>
    <d v="2025-03-08T00:00:00"/>
    <d v="2025-03-10T00:00:00"/>
    <x v="2"/>
    <x v="1"/>
    <n v="3"/>
    <x v="0"/>
    <x v="19"/>
    <x v="1"/>
    <x v="9"/>
    <x v="2"/>
  </r>
  <r>
    <x v="1809"/>
    <x v="2"/>
    <x v="2"/>
    <n v="95"/>
    <n v="285"/>
    <d v="2025-03-08T00:00:00"/>
    <d v="2025-03-12T00:00:00"/>
    <x v="2"/>
    <x v="2"/>
    <n v="5"/>
    <x v="0"/>
    <x v="56"/>
    <x v="5"/>
    <x v="9"/>
    <x v="2"/>
  </r>
  <r>
    <x v="1810"/>
    <x v="2"/>
    <x v="12"/>
    <n v="172.1"/>
    <n v="688.4"/>
    <d v="2025-03-08T00:00:00"/>
    <d v="2025-03-12T00:00:00"/>
    <x v="3"/>
    <x v="2"/>
    <n v="5"/>
    <x v="0"/>
    <x v="21"/>
    <x v="5"/>
    <x v="9"/>
    <x v="3"/>
  </r>
  <r>
    <x v="1811"/>
    <x v="2"/>
    <x v="1"/>
    <n v="233"/>
    <n v="466"/>
    <d v="2025-03-08T00:00:00"/>
    <d v="2025-03-11T00:00:00"/>
    <x v="2"/>
    <x v="1"/>
    <n v="4"/>
    <x v="0"/>
    <x v="21"/>
    <x v="2"/>
    <x v="9"/>
    <x v="2"/>
  </r>
  <r>
    <x v="1812"/>
    <x v="0"/>
    <x v="0"/>
    <n v="43.5"/>
    <n v="43.5"/>
    <d v="2025-03-08T00:00:00"/>
    <d v="2025-03-09T00:00:00"/>
    <x v="2"/>
    <x v="2"/>
    <n v="5"/>
    <x v="0"/>
    <x v="21"/>
    <x v="3"/>
    <x v="9"/>
    <x v="2"/>
  </r>
  <r>
    <x v="1813"/>
    <x v="9"/>
    <x v="1"/>
    <n v="47.8"/>
    <n v="95.6"/>
    <d v="2025-03-08T00:00:00"/>
    <d v="2025-03-11T00:00:00"/>
    <x v="1"/>
    <x v="4"/>
    <n v="5"/>
    <x v="0"/>
    <x v="1"/>
    <x v="2"/>
    <x v="9"/>
    <x v="1"/>
  </r>
  <r>
    <x v="1814"/>
    <x v="12"/>
    <x v="1"/>
    <n v="65.8"/>
    <n v="131.6"/>
    <d v="2025-03-08T00:00:00"/>
    <d v="2025-03-10T00:00:00"/>
    <x v="2"/>
    <x v="0"/>
    <n v="1"/>
    <x v="0"/>
    <x v="33"/>
    <x v="1"/>
    <x v="9"/>
    <x v="2"/>
  </r>
  <r>
    <x v="1815"/>
    <x v="15"/>
    <x v="5"/>
    <n v="38.700000000000003"/>
    <n v="425.70000000000005"/>
    <d v="2025-03-08T00:00:00"/>
    <d v="2025-03-08T00:00:00"/>
    <x v="1"/>
    <x v="0"/>
    <n v="4"/>
    <x v="0"/>
    <x v="22"/>
    <x v="7"/>
    <x v="9"/>
    <x v="1"/>
  </r>
  <r>
    <x v="1816"/>
    <x v="3"/>
    <x v="12"/>
    <n v="55.7"/>
    <n v="222.8"/>
    <d v="2025-03-08T00:00:00"/>
    <d v="2025-03-10T00:00:00"/>
    <x v="3"/>
    <x v="0"/>
    <n v="3"/>
    <x v="0"/>
    <x v="22"/>
    <x v="1"/>
    <x v="9"/>
    <x v="3"/>
  </r>
  <r>
    <x v="1817"/>
    <x v="7"/>
    <x v="1"/>
    <n v="102.4"/>
    <n v="204.8"/>
    <d v="2025-03-08T00:00:00"/>
    <d v="2025-03-08T00:00:00"/>
    <x v="2"/>
    <x v="1"/>
    <n v="4"/>
    <x v="0"/>
    <x v="3"/>
    <x v="7"/>
    <x v="9"/>
    <x v="2"/>
  </r>
  <r>
    <x v="1818"/>
    <x v="1"/>
    <x v="0"/>
    <n v="92"/>
    <n v="92"/>
    <d v="2025-03-08T00:00:00"/>
    <d v="2025-03-12T00:00:00"/>
    <x v="0"/>
    <x v="2"/>
    <n v="4"/>
    <x v="0"/>
    <x v="3"/>
    <x v="5"/>
    <x v="9"/>
    <x v="0"/>
  </r>
  <r>
    <x v="1819"/>
    <x v="6"/>
    <x v="12"/>
    <n v="75.900000000000006"/>
    <n v="303.60000000000002"/>
    <d v="2025-03-08T00:00:00"/>
    <d v="2025-03-10T00:00:00"/>
    <x v="2"/>
    <x v="1"/>
    <n v="4"/>
    <x v="0"/>
    <x v="3"/>
    <x v="1"/>
    <x v="9"/>
    <x v="2"/>
  </r>
  <r>
    <x v="1820"/>
    <x v="1"/>
    <x v="12"/>
    <n v="36.200000000000003"/>
    <n v="144.80000000000001"/>
    <d v="2025-03-08T00:00:00"/>
    <d v="2025-03-09T00:00:00"/>
    <x v="2"/>
    <x v="1"/>
    <n v="4"/>
    <x v="0"/>
    <x v="3"/>
    <x v="3"/>
    <x v="9"/>
    <x v="2"/>
  </r>
  <r>
    <x v="1821"/>
    <x v="6"/>
    <x v="45"/>
    <n v="83.5"/>
    <n v="7264.5"/>
    <d v="2025-03-08T00:00:00"/>
    <d v="2025-03-10T00:00:00"/>
    <x v="0"/>
    <x v="3"/>
    <n v="4"/>
    <x v="0"/>
    <x v="3"/>
    <x v="1"/>
    <x v="9"/>
    <x v="0"/>
  </r>
  <r>
    <x v="1822"/>
    <x v="19"/>
    <x v="4"/>
    <n v="52.4"/>
    <n v="628.79999999999995"/>
    <d v="2025-03-08T00:00:00"/>
    <d v="2025-03-08T00:00:00"/>
    <x v="1"/>
    <x v="2"/>
    <n v="4"/>
    <x v="0"/>
    <x v="3"/>
    <x v="7"/>
    <x v="9"/>
    <x v="1"/>
  </r>
  <r>
    <x v="1823"/>
    <x v="12"/>
    <x v="2"/>
    <n v="69.5"/>
    <n v="208.5"/>
    <d v="2025-03-08T00:00:00"/>
    <d v="2025-03-09T00:00:00"/>
    <x v="3"/>
    <x v="4"/>
    <n v="4"/>
    <x v="0"/>
    <x v="3"/>
    <x v="3"/>
    <x v="9"/>
    <x v="3"/>
  </r>
  <r>
    <x v="1824"/>
    <x v="0"/>
    <x v="0"/>
    <n v="15.5"/>
    <n v="15.5"/>
    <d v="2025-03-08T00:00:00"/>
    <d v="2025-03-10T00:00:00"/>
    <x v="1"/>
    <x v="0"/>
    <n v="4"/>
    <x v="0"/>
    <x v="3"/>
    <x v="1"/>
    <x v="9"/>
    <x v="1"/>
  </r>
  <r>
    <x v="1825"/>
    <x v="4"/>
    <x v="12"/>
    <n v="35.200000000000003"/>
    <n v="140.80000000000001"/>
    <d v="2025-03-08T00:00:00"/>
    <d v="2025-03-09T00:00:00"/>
    <x v="2"/>
    <x v="2"/>
    <n v="5"/>
    <x v="0"/>
    <x v="3"/>
    <x v="3"/>
    <x v="9"/>
    <x v="2"/>
  </r>
  <r>
    <x v="1826"/>
    <x v="8"/>
    <x v="13"/>
    <n v="34.6"/>
    <n v="207.60000000000002"/>
    <d v="2025-03-08T00:00:00"/>
    <d v="2025-03-09T00:00:00"/>
    <x v="0"/>
    <x v="0"/>
    <n v="3"/>
    <x v="0"/>
    <x v="3"/>
    <x v="3"/>
    <x v="9"/>
    <x v="0"/>
  </r>
  <r>
    <x v="1827"/>
    <x v="4"/>
    <x v="0"/>
    <n v="21.3"/>
    <n v="21.3"/>
    <d v="2025-03-09T00:00:00"/>
    <d v="2025-03-10T00:00:00"/>
    <x v="1"/>
    <x v="2"/>
    <n v="3"/>
    <x v="0"/>
    <x v="3"/>
    <x v="3"/>
    <x v="10"/>
    <x v="1"/>
  </r>
  <r>
    <x v="1828"/>
    <x v="6"/>
    <x v="1"/>
    <n v="136.5"/>
    <n v="273"/>
    <d v="2025-03-09T00:00:00"/>
    <d v="2025-03-15T00:00:00"/>
    <x v="2"/>
    <x v="0"/>
    <n v="4"/>
    <x v="0"/>
    <x v="37"/>
    <x v="4"/>
    <x v="10"/>
    <x v="2"/>
  </r>
  <r>
    <x v="1829"/>
    <x v="9"/>
    <x v="3"/>
    <n v="30.7"/>
    <n v="214.9"/>
    <d v="2025-03-09T00:00:00"/>
    <d v="2025-03-10T00:00:00"/>
    <x v="1"/>
    <x v="2"/>
    <n v="5"/>
    <x v="0"/>
    <x v="25"/>
    <x v="3"/>
    <x v="10"/>
    <x v="1"/>
  </r>
  <r>
    <x v="1830"/>
    <x v="1"/>
    <x v="1"/>
    <n v="61.6"/>
    <n v="123.2"/>
    <d v="2025-03-09T00:00:00"/>
    <d v="2025-03-10T00:00:00"/>
    <x v="2"/>
    <x v="2"/>
    <n v="5"/>
    <x v="0"/>
    <x v="23"/>
    <x v="3"/>
    <x v="10"/>
    <x v="2"/>
  </r>
  <r>
    <x v="1831"/>
    <x v="6"/>
    <x v="12"/>
    <n v="54.3"/>
    <n v="217.2"/>
    <d v="2025-03-09T00:00:00"/>
    <d v="2025-03-11T00:00:00"/>
    <x v="0"/>
    <x v="4"/>
    <n v="4"/>
    <x v="0"/>
    <x v="7"/>
    <x v="1"/>
    <x v="10"/>
    <x v="0"/>
  </r>
  <r>
    <x v="1832"/>
    <x v="1"/>
    <x v="1"/>
    <n v="44.1"/>
    <n v="88.2"/>
    <d v="2025-03-09T00:00:00"/>
    <d v="2025-03-21T00:00:00"/>
    <x v="2"/>
    <x v="0"/>
    <n v="5"/>
    <x v="0"/>
    <x v="8"/>
    <x v="13"/>
    <x v="10"/>
    <x v="2"/>
  </r>
  <r>
    <x v="1833"/>
    <x v="8"/>
    <x v="12"/>
    <n v="43.5"/>
    <n v="174"/>
    <d v="2025-03-09T00:00:00"/>
    <d v="2025-03-15T00:00:00"/>
    <x v="1"/>
    <x v="3"/>
    <n v="4"/>
    <x v="0"/>
    <x v="8"/>
    <x v="4"/>
    <x v="10"/>
    <x v="1"/>
  </r>
  <r>
    <x v="1834"/>
    <x v="8"/>
    <x v="2"/>
    <n v="48.2"/>
    <n v="144.60000000000002"/>
    <d v="2025-03-09T00:00:00"/>
    <d v="2025-03-13T00:00:00"/>
    <x v="1"/>
    <x v="3"/>
    <n v="3"/>
    <x v="0"/>
    <x v="8"/>
    <x v="5"/>
    <x v="10"/>
    <x v="1"/>
  </r>
  <r>
    <x v="1835"/>
    <x v="19"/>
    <x v="0"/>
    <n v="13.7"/>
    <n v="13.7"/>
    <d v="2025-03-09T00:00:00"/>
    <d v="2025-03-10T00:00:00"/>
    <x v="2"/>
    <x v="2"/>
    <n v="5"/>
    <x v="0"/>
    <x v="8"/>
    <x v="3"/>
    <x v="10"/>
    <x v="2"/>
  </r>
  <r>
    <x v="1836"/>
    <x v="2"/>
    <x v="1"/>
    <n v="110.5"/>
    <n v="221"/>
    <d v="2025-03-09T00:00:00"/>
    <d v="2025-03-10T00:00:00"/>
    <x v="2"/>
    <x v="0"/>
    <n v="3"/>
    <x v="0"/>
    <x v="8"/>
    <x v="3"/>
    <x v="10"/>
    <x v="2"/>
  </r>
  <r>
    <x v="1837"/>
    <x v="8"/>
    <x v="2"/>
    <n v="26"/>
    <n v="78"/>
    <d v="2025-03-09T00:00:00"/>
    <d v="2025-03-14T00:00:00"/>
    <x v="2"/>
    <x v="1"/>
    <n v="3"/>
    <x v="0"/>
    <x v="8"/>
    <x v="0"/>
    <x v="10"/>
    <x v="2"/>
  </r>
  <r>
    <x v="1838"/>
    <x v="2"/>
    <x v="7"/>
    <n v="140.69999999999999"/>
    <n v="1407"/>
    <d v="2025-03-09T00:00:00"/>
    <d v="2025-03-15T00:00:00"/>
    <x v="1"/>
    <x v="3"/>
    <n v="3"/>
    <x v="0"/>
    <x v="8"/>
    <x v="4"/>
    <x v="10"/>
    <x v="1"/>
  </r>
  <r>
    <x v="1839"/>
    <x v="17"/>
    <x v="1"/>
    <n v="41.7"/>
    <n v="83.4"/>
    <d v="2025-03-09T00:00:00"/>
    <d v="2025-03-17T00:00:00"/>
    <x v="2"/>
    <x v="0"/>
    <n v="2"/>
    <x v="0"/>
    <x v="8"/>
    <x v="9"/>
    <x v="10"/>
    <x v="2"/>
  </r>
  <r>
    <x v="1840"/>
    <x v="2"/>
    <x v="1"/>
    <n v="135.1"/>
    <n v="270.2"/>
    <d v="2025-03-09T00:00:00"/>
    <d v="2025-03-10T00:00:00"/>
    <x v="1"/>
    <x v="0"/>
    <n v="5"/>
    <x v="0"/>
    <x v="17"/>
    <x v="3"/>
    <x v="10"/>
    <x v="1"/>
  </r>
  <r>
    <x v="1841"/>
    <x v="12"/>
    <x v="32"/>
    <n v="95.5"/>
    <n v="2101"/>
    <d v="2025-03-09T00:00:00"/>
    <d v="2025-03-10T00:00:00"/>
    <x v="2"/>
    <x v="4"/>
    <n v="2"/>
    <x v="0"/>
    <x v="26"/>
    <x v="3"/>
    <x v="10"/>
    <x v="2"/>
  </r>
  <r>
    <x v="1842"/>
    <x v="15"/>
    <x v="0"/>
    <n v="25.5"/>
    <n v="25.5"/>
    <d v="2025-03-09T00:00:00"/>
    <d v="2025-03-12T00:00:00"/>
    <x v="0"/>
    <x v="2"/>
    <n v="5"/>
    <x v="0"/>
    <x v="11"/>
    <x v="2"/>
    <x v="10"/>
    <x v="0"/>
  </r>
  <r>
    <x v="1843"/>
    <x v="1"/>
    <x v="0"/>
    <n v="42.6"/>
    <n v="42.6"/>
    <d v="2025-03-09T00:00:00"/>
    <d v="2025-03-13T00:00:00"/>
    <x v="2"/>
    <x v="0"/>
    <n v="4"/>
    <x v="0"/>
    <x v="11"/>
    <x v="5"/>
    <x v="10"/>
    <x v="2"/>
  </r>
  <r>
    <x v="1844"/>
    <x v="8"/>
    <x v="20"/>
    <n v="32.4"/>
    <n v="486"/>
    <d v="2025-03-09T00:00:00"/>
    <d v="2025-03-10T00:00:00"/>
    <x v="1"/>
    <x v="1"/>
    <n v="3"/>
    <x v="0"/>
    <x v="11"/>
    <x v="3"/>
    <x v="10"/>
    <x v="1"/>
  </r>
  <r>
    <x v="1845"/>
    <x v="4"/>
    <x v="12"/>
    <n v="20.2"/>
    <n v="80.8"/>
    <d v="2025-03-09T00:00:00"/>
    <d v="2025-03-10T00:00:00"/>
    <x v="3"/>
    <x v="2"/>
    <n v="4"/>
    <x v="0"/>
    <x v="11"/>
    <x v="3"/>
    <x v="10"/>
    <x v="3"/>
  </r>
  <r>
    <x v="1846"/>
    <x v="16"/>
    <x v="2"/>
    <n v="52.5"/>
    <n v="157.5"/>
    <d v="2025-03-09T00:00:00"/>
    <d v="2025-03-14T00:00:00"/>
    <x v="2"/>
    <x v="4"/>
    <n v="4"/>
    <x v="0"/>
    <x v="18"/>
    <x v="0"/>
    <x v="10"/>
    <x v="2"/>
  </r>
  <r>
    <x v="1847"/>
    <x v="2"/>
    <x v="9"/>
    <n v="59.9"/>
    <n v="299.5"/>
    <d v="2025-03-09T00:00:00"/>
    <d v="2025-03-11T00:00:00"/>
    <x v="2"/>
    <x v="2"/>
    <n v="4"/>
    <x v="0"/>
    <x v="19"/>
    <x v="1"/>
    <x v="10"/>
    <x v="2"/>
  </r>
  <r>
    <x v="1848"/>
    <x v="4"/>
    <x v="1"/>
    <n v="53.2"/>
    <n v="106.4"/>
    <d v="2025-03-09T00:00:00"/>
    <d v="2025-03-10T00:00:00"/>
    <x v="2"/>
    <x v="1"/>
    <n v="1"/>
    <x v="0"/>
    <x v="20"/>
    <x v="3"/>
    <x v="10"/>
    <x v="2"/>
  </r>
  <r>
    <x v="1849"/>
    <x v="2"/>
    <x v="1"/>
    <n v="60"/>
    <n v="120"/>
    <d v="2025-03-09T00:00:00"/>
    <d v="2025-03-15T00:00:00"/>
    <x v="1"/>
    <x v="1"/>
    <n v="5"/>
    <x v="0"/>
    <x v="20"/>
    <x v="4"/>
    <x v="10"/>
    <x v="1"/>
  </r>
  <r>
    <x v="1850"/>
    <x v="8"/>
    <x v="2"/>
    <n v="29.3"/>
    <n v="87.9"/>
    <d v="2025-03-09T00:00:00"/>
    <d v="2025-03-10T00:00:00"/>
    <x v="2"/>
    <x v="4"/>
    <n v="4"/>
    <x v="0"/>
    <x v="13"/>
    <x v="3"/>
    <x v="10"/>
    <x v="2"/>
  </r>
  <r>
    <x v="1851"/>
    <x v="12"/>
    <x v="1"/>
    <n v="55.4"/>
    <n v="110.8"/>
    <d v="2025-03-09T00:00:00"/>
    <d v="2025-03-10T00:00:00"/>
    <x v="2"/>
    <x v="0"/>
    <n v="5"/>
    <x v="0"/>
    <x v="21"/>
    <x v="3"/>
    <x v="10"/>
    <x v="2"/>
  </r>
  <r>
    <x v="1852"/>
    <x v="0"/>
    <x v="9"/>
    <n v="20.100000000000001"/>
    <n v="100.5"/>
    <d v="2025-03-09T00:00:00"/>
    <d v="2025-03-11T00:00:00"/>
    <x v="2"/>
    <x v="1"/>
    <n v="5"/>
    <x v="0"/>
    <x v="21"/>
    <x v="1"/>
    <x v="10"/>
    <x v="2"/>
  </r>
  <r>
    <x v="1853"/>
    <x v="14"/>
    <x v="9"/>
    <n v="24"/>
    <n v="120"/>
    <d v="2025-03-09T00:00:00"/>
    <d v="2025-03-12T00:00:00"/>
    <x v="1"/>
    <x v="2"/>
    <n v="4"/>
    <x v="0"/>
    <x v="1"/>
    <x v="2"/>
    <x v="10"/>
    <x v="1"/>
  </r>
  <r>
    <x v="1854"/>
    <x v="8"/>
    <x v="1"/>
    <n v="30.6"/>
    <n v="61.2"/>
    <d v="2025-03-10T00:00:00"/>
    <d v="2025-03-12T00:00:00"/>
    <x v="2"/>
    <x v="0"/>
    <n v="4"/>
    <x v="0"/>
    <x v="1"/>
    <x v="1"/>
    <x v="10"/>
    <x v="2"/>
  </r>
  <r>
    <x v="1855"/>
    <x v="10"/>
    <x v="9"/>
    <n v="33"/>
    <n v="165"/>
    <d v="2025-03-10T00:00:00"/>
    <d v="2025-03-11T00:00:00"/>
    <x v="1"/>
    <x v="1"/>
    <n v="3"/>
    <x v="0"/>
    <x v="27"/>
    <x v="3"/>
    <x v="10"/>
    <x v="1"/>
  </r>
  <r>
    <x v="1856"/>
    <x v="17"/>
    <x v="11"/>
    <n v="42.1"/>
    <n v="378.90000000000003"/>
    <d v="2025-03-10T00:00:00"/>
    <d v="2025-03-16T00:00:00"/>
    <x v="2"/>
    <x v="2"/>
    <n v="4"/>
    <x v="0"/>
    <x v="44"/>
    <x v="4"/>
    <x v="10"/>
    <x v="2"/>
  </r>
  <r>
    <x v="1857"/>
    <x v="6"/>
    <x v="3"/>
    <n v="77.7"/>
    <n v="543.9"/>
    <d v="2025-03-10T00:00:00"/>
    <d v="2025-03-15T00:00:00"/>
    <x v="2"/>
    <x v="1"/>
    <n v="5"/>
    <x v="0"/>
    <x v="50"/>
    <x v="0"/>
    <x v="10"/>
    <x v="2"/>
  </r>
  <r>
    <x v="1858"/>
    <x v="17"/>
    <x v="13"/>
    <n v="22.7"/>
    <n v="136.19999999999999"/>
    <d v="2025-03-10T00:00:00"/>
    <d v="2025-03-13T00:00:00"/>
    <x v="2"/>
    <x v="2"/>
    <n v="4"/>
    <x v="0"/>
    <x v="3"/>
    <x v="2"/>
    <x v="10"/>
    <x v="2"/>
  </r>
  <r>
    <x v="1859"/>
    <x v="2"/>
    <x v="1"/>
    <n v="133"/>
    <n v="266"/>
    <d v="2025-03-10T00:00:00"/>
    <d v="2025-03-10T00:00:00"/>
    <x v="1"/>
    <x v="2"/>
    <n v="5"/>
    <x v="0"/>
    <x v="3"/>
    <x v="7"/>
    <x v="10"/>
    <x v="1"/>
  </r>
  <r>
    <x v="1860"/>
    <x v="0"/>
    <x v="1"/>
    <n v="23.3"/>
    <n v="46.6"/>
    <d v="2025-03-10T00:00:00"/>
    <d v="2025-03-11T00:00:00"/>
    <x v="1"/>
    <x v="1"/>
    <n v="5"/>
    <x v="0"/>
    <x v="3"/>
    <x v="3"/>
    <x v="10"/>
    <x v="1"/>
  </r>
  <r>
    <x v="1861"/>
    <x v="8"/>
    <x v="2"/>
    <n v="20.7"/>
    <n v="62.099999999999994"/>
    <d v="2025-03-10T00:00:00"/>
    <d v="2025-03-12T00:00:00"/>
    <x v="3"/>
    <x v="0"/>
    <n v="5"/>
    <x v="0"/>
    <x v="3"/>
    <x v="1"/>
    <x v="10"/>
    <x v="3"/>
  </r>
  <r>
    <x v="1862"/>
    <x v="12"/>
    <x v="1"/>
    <n v="47"/>
    <n v="94"/>
    <d v="2025-03-10T00:00:00"/>
    <d v="2025-03-11T00:00:00"/>
    <x v="1"/>
    <x v="1"/>
    <n v="5"/>
    <x v="0"/>
    <x v="3"/>
    <x v="3"/>
    <x v="10"/>
    <x v="1"/>
  </r>
  <r>
    <x v="1863"/>
    <x v="12"/>
    <x v="2"/>
    <n v="38.200000000000003"/>
    <n v="114.60000000000001"/>
    <d v="2025-03-10T00:00:00"/>
    <d v="2025-03-12T00:00:00"/>
    <x v="2"/>
    <x v="2"/>
    <n v="2"/>
    <x v="0"/>
    <x v="3"/>
    <x v="1"/>
    <x v="10"/>
    <x v="2"/>
  </r>
  <r>
    <x v="1864"/>
    <x v="9"/>
    <x v="0"/>
    <n v="39.1"/>
    <n v="39.1"/>
    <d v="2025-03-10T00:00:00"/>
    <d v="2025-03-12T00:00:00"/>
    <x v="2"/>
    <x v="0"/>
    <n v="4"/>
    <x v="0"/>
    <x v="3"/>
    <x v="1"/>
    <x v="10"/>
    <x v="2"/>
  </r>
  <r>
    <x v="1865"/>
    <x v="7"/>
    <x v="30"/>
    <n v="55.6"/>
    <n v="1390"/>
    <d v="2025-03-10T00:00:00"/>
    <d v="2025-03-12T00:00:00"/>
    <x v="1"/>
    <x v="0"/>
    <n v="5"/>
    <x v="0"/>
    <x v="3"/>
    <x v="1"/>
    <x v="10"/>
    <x v="1"/>
  </r>
  <r>
    <x v="1866"/>
    <x v="15"/>
    <x v="0"/>
    <n v="43.1"/>
    <n v="43.1"/>
    <d v="2025-03-10T00:00:00"/>
    <d v="2025-03-10T00:00:00"/>
    <x v="3"/>
    <x v="1"/>
    <n v="5"/>
    <x v="0"/>
    <x v="3"/>
    <x v="7"/>
    <x v="10"/>
    <x v="3"/>
  </r>
  <r>
    <x v="1867"/>
    <x v="6"/>
    <x v="12"/>
    <n v="48.1"/>
    <n v="192.4"/>
    <d v="2025-03-10T00:00:00"/>
    <d v="2025-03-11T00:00:00"/>
    <x v="2"/>
    <x v="4"/>
    <n v="5"/>
    <x v="0"/>
    <x v="3"/>
    <x v="3"/>
    <x v="10"/>
    <x v="2"/>
  </r>
  <r>
    <x v="1868"/>
    <x v="4"/>
    <x v="0"/>
    <n v="42"/>
    <n v="42"/>
    <d v="2025-03-10T00:00:00"/>
    <d v="2025-03-11T00:00:00"/>
    <x v="3"/>
    <x v="0"/>
    <n v="4"/>
    <x v="0"/>
    <x v="3"/>
    <x v="3"/>
    <x v="10"/>
    <x v="3"/>
  </r>
  <r>
    <x v="1869"/>
    <x v="8"/>
    <x v="9"/>
    <n v="18.3"/>
    <n v="91.5"/>
    <d v="2025-03-10T00:00:00"/>
    <d v="2025-03-10T00:00:00"/>
    <x v="2"/>
    <x v="2"/>
    <n v="4"/>
    <x v="0"/>
    <x v="3"/>
    <x v="7"/>
    <x v="10"/>
    <x v="2"/>
  </r>
  <r>
    <x v="1870"/>
    <x v="10"/>
    <x v="12"/>
    <n v="45.3"/>
    <n v="181.2"/>
    <d v="2025-03-10T00:00:00"/>
    <d v="2025-03-13T00:00:00"/>
    <x v="2"/>
    <x v="0"/>
    <n v="5"/>
    <x v="0"/>
    <x v="3"/>
    <x v="2"/>
    <x v="10"/>
    <x v="2"/>
  </r>
  <r>
    <x v="1871"/>
    <x v="0"/>
    <x v="1"/>
    <n v="27.6"/>
    <n v="55.2"/>
    <d v="2025-03-10T00:00:00"/>
    <d v="2025-03-12T00:00:00"/>
    <x v="1"/>
    <x v="0"/>
    <n v="5"/>
    <x v="0"/>
    <x v="37"/>
    <x v="1"/>
    <x v="10"/>
    <x v="1"/>
  </r>
  <r>
    <x v="1872"/>
    <x v="4"/>
    <x v="9"/>
    <n v="26.9"/>
    <n v="134.5"/>
    <d v="2025-03-10T00:00:00"/>
    <d v="2025-03-11T00:00:00"/>
    <x v="2"/>
    <x v="2"/>
    <n v="4"/>
    <x v="0"/>
    <x v="25"/>
    <x v="3"/>
    <x v="10"/>
    <x v="2"/>
  </r>
  <r>
    <x v="1873"/>
    <x v="2"/>
    <x v="11"/>
    <n v="82.4"/>
    <n v="741.6"/>
    <d v="2025-03-10T00:00:00"/>
    <d v="2025-03-12T00:00:00"/>
    <x v="3"/>
    <x v="2"/>
    <n v="4"/>
    <x v="0"/>
    <x v="5"/>
    <x v="1"/>
    <x v="10"/>
    <x v="3"/>
  </r>
  <r>
    <x v="1874"/>
    <x v="6"/>
    <x v="0"/>
    <n v="103.7"/>
    <n v="103.7"/>
    <d v="2025-03-10T00:00:00"/>
    <d v="2025-03-12T00:00:00"/>
    <x v="2"/>
    <x v="1"/>
    <n v="4"/>
    <x v="0"/>
    <x v="5"/>
    <x v="1"/>
    <x v="10"/>
    <x v="2"/>
  </r>
  <r>
    <x v="1875"/>
    <x v="2"/>
    <x v="1"/>
    <n v="58.8"/>
    <n v="117.6"/>
    <d v="2025-03-10T00:00:00"/>
    <d v="2025-03-15T00:00:00"/>
    <x v="2"/>
    <x v="1"/>
    <n v="5"/>
    <x v="0"/>
    <x v="6"/>
    <x v="0"/>
    <x v="10"/>
    <x v="2"/>
  </r>
  <r>
    <x v="1876"/>
    <x v="13"/>
    <x v="0"/>
    <n v="31.5"/>
    <n v="31.5"/>
    <d v="2025-03-10T00:00:00"/>
    <d v="2025-03-11T00:00:00"/>
    <x v="2"/>
    <x v="1"/>
    <n v="3"/>
    <x v="0"/>
    <x v="6"/>
    <x v="3"/>
    <x v="10"/>
    <x v="2"/>
  </r>
  <r>
    <x v="1877"/>
    <x v="7"/>
    <x v="9"/>
    <n v="36.799999999999997"/>
    <n v="184"/>
    <d v="2025-03-10T00:00:00"/>
    <d v="2025-03-12T00:00:00"/>
    <x v="2"/>
    <x v="0"/>
    <n v="4"/>
    <x v="0"/>
    <x v="8"/>
    <x v="1"/>
    <x v="10"/>
    <x v="2"/>
  </r>
  <r>
    <x v="1878"/>
    <x v="3"/>
    <x v="0"/>
    <n v="84.4"/>
    <n v="84.4"/>
    <d v="2025-03-10T00:00:00"/>
    <d v="2025-03-11T00:00:00"/>
    <x v="2"/>
    <x v="0"/>
    <n v="4"/>
    <x v="0"/>
    <x v="8"/>
    <x v="3"/>
    <x v="10"/>
    <x v="2"/>
  </r>
  <r>
    <x v="1879"/>
    <x v="14"/>
    <x v="0"/>
    <n v="44.7"/>
    <n v="44.7"/>
    <d v="2025-03-10T00:00:00"/>
    <d v="2025-03-11T00:00:00"/>
    <x v="1"/>
    <x v="0"/>
    <n v="3"/>
    <x v="0"/>
    <x v="8"/>
    <x v="3"/>
    <x v="10"/>
    <x v="1"/>
  </r>
  <r>
    <x v="1880"/>
    <x v="9"/>
    <x v="8"/>
    <n v="39.4"/>
    <n v="315.2"/>
    <d v="2025-03-10T00:00:00"/>
    <d v="2025-03-11T00:00:00"/>
    <x v="2"/>
    <x v="1"/>
    <n v="5"/>
    <x v="0"/>
    <x v="8"/>
    <x v="3"/>
    <x v="10"/>
    <x v="2"/>
  </r>
  <r>
    <x v="1881"/>
    <x v="11"/>
    <x v="12"/>
    <n v="34.9"/>
    <n v="139.6"/>
    <d v="2025-03-10T00:00:00"/>
    <d v="2025-03-12T00:00:00"/>
    <x v="2"/>
    <x v="0"/>
    <n v="5"/>
    <x v="0"/>
    <x v="8"/>
    <x v="1"/>
    <x v="10"/>
    <x v="2"/>
  </r>
  <r>
    <x v="1882"/>
    <x v="1"/>
    <x v="2"/>
    <n v="62.3"/>
    <n v="186.89999999999998"/>
    <d v="2025-03-10T00:00:00"/>
    <d v="2025-03-12T00:00:00"/>
    <x v="1"/>
    <x v="4"/>
    <n v="5"/>
    <x v="0"/>
    <x v="8"/>
    <x v="1"/>
    <x v="10"/>
    <x v="1"/>
  </r>
  <r>
    <x v="1883"/>
    <x v="8"/>
    <x v="12"/>
    <n v="21.1"/>
    <n v="84.4"/>
    <d v="2025-03-10T00:00:00"/>
    <d v="2025-03-13T00:00:00"/>
    <x v="1"/>
    <x v="3"/>
    <n v="4"/>
    <x v="0"/>
    <x v="8"/>
    <x v="2"/>
    <x v="10"/>
    <x v="1"/>
  </r>
  <r>
    <x v="1884"/>
    <x v="8"/>
    <x v="2"/>
    <n v="33.200000000000003"/>
    <n v="99.600000000000009"/>
    <d v="2025-03-10T00:00:00"/>
    <d v="2025-03-24T00:00:00"/>
    <x v="0"/>
    <x v="0"/>
    <n v="2"/>
    <x v="0"/>
    <x v="8"/>
    <x v="12"/>
    <x v="10"/>
    <x v="0"/>
  </r>
  <r>
    <x v="1885"/>
    <x v="1"/>
    <x v="12"/>
    <n v="74.5"/>
    <n v="298"/>
    <d v="2025-03-10T00:00:00"/>
    <d v="2025-03-11T00:00:00"/>
    <x v="1"/>
    <x v="4"/>
    <n v="4"/>
    <x v="0"/>
    <x v="8"/>
    <x v="3"/>
    <x v="10"/>
    <x v="1"/>
  </r>
  <r>
    <x v="1886"/>
    <x v="10"/>
    <x v="4"/>
    <n v="68.599999999999994"/>
    <n v="823.19999999999993"/>
    <d v="2025-03-10T00:00:00"/>
    <d v="2025-03-13T00:00:00"/>
    <x v="2"/>
    <x v="0"/>
    <n v="5"/>
    <x v="0"/>
    <x v="8"/>
    <x v="2"/>
    <x v="10"/>
    <x v="2"/>
  </r>
  <r>
    <x v="1887"/>
    <x v="5"/>
    <x v="21"/>
    <n v="36.4"/>
    <n v="509.59999999999997"/>
    <d v="2025-03-10T00:00:00"/>
    <d v="2025-03-12T00:00:00"/>
    <x v="2"/>
    <x v="0"/>
    <n v="3"/>
    <x v="0"/>
    <x v="9"/>
    <x v="1"/>
    <x v="10"/>
    <x v="2"/>
  </r>
  <r>
    <x v="1888"/>
    <x v="16"/>
    <x v="9"/>
    <n v="67.599999999999994"/>
    <n v="338"/>
    <d v="2025-03-11T00:00:00"/>
    <d v="2025-03-14T00:00:00"/>
    <x v="2"/>
    <x v="4"/>
    <n v="3"/>
    <x v="0"/>
    <x v="9"/>
    <x v="2"/>
    <x v="10"/>
    <x v="2"/>
  </r>
  <r>
    <x v="1889"/>
    <x v="15"/>
    <x v="0"/>
    <n v="46.3"/>
    <n v="46.3"/>
    <d v="2025-03-11T00:00:00"/>
    <d v="2025-03-12T00:00:00"/>
    <x v="1"/>
    <x v="2"/>
    <n v="4"/>
    <x v="0"/>
    <x v="9"/>
    <x v="3"/>
    <x v="10"/>
    <x v="1"/>
  </r>
  <r>
    <x v="1890"/>
    <x v="1"/>
    <x v="2"/>
    <n v="124.2"/>
    <n v="372.6"/>
    <d v="2025-03-11T00:00:00"/>
    <d v="2025-03-13T00:00:00"/>
    <x v="2"/>
    <x v="1"/>
    <n v="5"/>
    <x v="0"/>
    <x v="11"/>
    <x v="1"/>
    <x v="10"/>
    <x v="2"/>
  </r>
  <r>
    <x v="1891"/>
    <x v="10"/>
    <x v="1"/>
    <n v="37"/>
    <n v="74"/>
    <d v="2025-03-11T00:00:00"/>
    <d v="2025-03-17T00:00:00"/>
    <x v="1"/>
    <x v="0"/>
    <n v="4"/>
    <x v="0"/>
    <x v="11"/>
    <x v="4"/>
    <x v="10"/>
    <x v="1"/>
  </r>
  <r>
    <x v="1892"/>
    <x v="5"/>
    <x v="0"/>
    <n v="41.8"/>
    <n v="41.8"/>
    <d v="2025-03-11T00:00:00"/>
    <d v="2025-03-12T00:00:00"/>
    <x v="1"/>
    <x v="2"/>
    <n v="4"/>
    <x v="0"/>
    <x v="31"/>
    <x v="3"/>
    <x v="10"/>
    <x v="1"/>
  </r>
  <r>
    <x v="1893"/>
    <x v="9"/>
    <x v="1"/>
    <n v="57.2"/>
    <n v="114.4"/>
    <d v="2025-03-11T00:00:00"/>
    <d v="2025-03-13T00:00:00"/>
    <x v="1"/>
    <x v="2"/>
    <n v="3"/>
    <x v="0"/>
    <x v="20"/>
    <x v="1"/>
    <x v="10"/>
    <x v="1"/>
  </r>
  <r>
    <x v="1894"/>
    <x v="6"/>
    <x v="1"/>
    <n v="47.1"/>
    <n v="94.2"/>
    <d v="2025-03-11T00:00:00"/>
    <d v="2025-03-13T00:00:00"/>
    <x v="2"/>
    <x v="0"/>
    <n v="2"/>
    <x v="0"/>
    <x v="20"/>
    <x v="1"/>
    <x v="10"/>
    <x v="2"/>
  </r>
  <r>
    <x v="1895"/>
    <x v="5"/>
    <x v="2"/>
    <n v="86.4"/>
    <n v="259.20000000000005"/>
    <d v="2025-03-11T00:00:00"/>
    <d v="2025-03-12T00:00:00"/>
    <x v="1"/>
    <x v="2"/>
    <n v="3"/>
    <x v="0"/>
    <x v="52"/>
    <x v="3"/>
    <x v="10"/>
    <x v="1"/>
  </r>
  <r>
    <x v="1896"/>
    <x v="6"/>
    <x v="9"/>
    <n v="105"/>
    <n v="525"/>
    <d v="2025-03-11T00:00:00"/>
    <d v="2025-03-14T00:00:00"/>
    <x v="1"/>
    <x v="0"/>
    <n v="4"/>
    <x v="0"/>
    <x v="13"/>
    <x v="2"/>
    <x v="10"/>
    <x v="1"/>
  </r>
  <r>
    <x v="1897"/>
    <x v="18"/>
    <x v="0"/>
    <n v="33"/>
    <n v="33"/>
    <d v="2025-03-11T00:00:00"/>
    <d v="2025-03-14T00:00:00"/>
    <x v="1"/>
    <x v="4"/>
    <n v="4"/>
    <x v="0"/>
    <x v="21"/>
    <x v="2"/>
    <x v="10"/>
    <x v="1"/>
  </r>
  <r>
    <x v="1898"/>
    <x v="6"/>
    <x v="9"/>
    <n v="106.6"/>
    <n v="533"/>
    <d v="2025-03-11T00:00:00"/>
    <d v="2025-03-24T00:00:00"/>
    <x v="2"/>
    <x v="2"/>
    <n v="4"/>
    <x v="0"/>
    <x v="1"/>
    <x v="10"/>
    <x v="10"/>
    <x v="2"/>
  </r>
  <r>
    <x v="1899"/>
    <x v="10"/>
    <x v="46"/>
    <n v="26.8"/>
    <n v="857.6"/>
    <d v="2025-03-11T00:00:00"/>
    <d v="2025-03-12T00:00:00"/>
    <x v="2"/>
    <x v="2"/>
    <n v="4"/>
    <x v="0"/>
    <x v="1"/>
    <x v="3"/>
    <x v="10"/>
    <x v="2"/>
  </r>
  <r>
    <x v="1900"/>
    <x v="17"/>
    <x v="9"/>
    <n v="25.8"/>
    <n v="129"/>
    <d v="2025-03-11T00:00:00"/>
    <d v="2025-03-11T00:00:00"/>
    <x v="2"/>
    <x v="1"/>
    <n v="5"/>
    <x v="0"/>
    <x v="3"/>
    <x v="7"/>
    <x v="10"/>
    <x v="2"/>
  </r>
  <r>
    <x v="1901"/>
    <x v="2"/>
    <x v="2"/>
    <n v="217"/>
    <n v="651"/>
    <d v="2025-03-11T00:00:00"/>
    <d v="2025-03-12T00:00:00"/>
    <x v="2"/>
    <x v="1"/>
    <n v="3"/>
    <x v="0"/>
    <x v="3"/>
    <x v="3"/>
    <x v="10"/>
    <x v="2"/>
  </r>
  <r>
    <x v="1902"/>
    <x v="2"/>
    <x v="1"/>
    <n v="97.3"/>
    <n v="194.6"/>
    <d v="2025-03-11T00:00:00"/>
    <d v="2025-03-12T00:00:00"/>
    <x v="1"/>
    <x v="2"/>
    <n v="2"/>
    <x v="0"/>
    <x v="3"/>
    <x v="3"/>
    <x v="10"/>
    <x v="1"/>
  </r>
  <r>
    <x v="1903"/>
    <x v="1"/>
    <x v="0"/>
    <n v="49.8"/>
    <n v="49.8"/>
    <d v="2025-03-11T00:00:00"/>
    <d v="2025-03-12T00:00:00"/>
    <x v="2"/>
    <x v="0"/>
    <n v="4"/>
    <x v="0"/>
    <x v="3"/>
    <x v="3"/>
    <x v="10"/>
    <x v="2"/>
  </r>
  <r>
    <x v="1904"/>
    <x v="12"/>
    <x v="9"/>
    <n v="32.6"/>
    <n v="163"/>
    <d v="2025-03-11T00:00:00"/>
    <d v="2025-03-12T00:00:00"/>
    <x v="2"/>
    <x v="0"/>
    <n v="4"/>
    <x v="0"/>
    <x v="3"/>
    <x v="3"/>
    <x v="10"/>
    <x v="2"/>
  </r>
  <r>
    <x v="1905"/>
    <x v="9"/>
    <x v="1"/>
    <n v="40.1"/>
    <n v="80.2"/>
    <d v="2025-03-11T00:00:00"/>
    <d v="2025-03-14T00:00:00"/>
    <x v="1"/>
    <x v="1"/>
    <n v="5"/>
    <x v="0"/>
    <x v="3"/>
    <x v="2"/>
    <x v="10"/>
    <x v="1"/>
  </r>
  <r>
    <x v="1906"/>
    <x v="10"/>
    <x v="1"/>
    <n v="49.4"/>
    <n v="98.8"/>
    <d v="2025-03-11T00:00:00"/>
    <d v="2025-03-13T00:00:00"/>
    <x v="1"/>
    <x v="1"/>
    <n v="4"/>
    <x v="0"/>
    <x v="3"/>
    <x v="1"/>
    <x v="10"/>
    <x v="1"/>
  </r>
  <r>
    <x v="1907"/>
    <x v="2"/>
    <x v="0"/>
    <n v="67.3"/>
    <n v="67.3"/>
    <d v="2025-03-11T00:00:00"/>
    <d v="2025-03-12T00:00:00"/>
    <x v="2"/>
    <x v="0"/>
    <n v="5"/>
    <x v="0"/>
    <x v="3"/>
    <x v="3"/>
    <x v="10"/>
    <x v="2"/>
  </r>
  <r>
    <x v="1908"/>
    <x v="18"/>
    <x v="12"/>
    <n v="44.5"/>
    <n v="178"/>
    <d v="2025-03-11T00:00:00"/>
    <d v="2025-03-14T00:00:00"/>
    <x v="0"/>
    <x v="1"/>
    <n v="4"/>
    <x v="0"/>
    <x v="3"/>
    <x v="2"/>
    <x v="10"/>
    <x v="0"/>
  </r>
  <r>
    <x v="1909"/>
    <x v="6"/>
    <x v="5"/>
    <n v="111.1"/>
    <n v="1222.0999999999999"/>
    <d v="2025-03-11T00:00:00"/>
    <d v="2025-03-12T00:00:00"/>
    <x v="2"/>
    <x v="4"/>
    <n v="4"/>
    <x v="0"/>
    <x v="3"/>
    <x v="3"/>
    <x v="10"/>
    <x v="2"/>
  </r>
  <r>
    <x v="1910"/>
    <x v="8"/>
    <x v="2"/>
    <n v="19.7"/>
    <n v="59.099999999999994"/>
    <d v="2025-03-11T00:00:00"/>
    <d v="2025-03-12T00:00:00"/>
    <x v="2"/>
    <x v="4"/>
    <n v="2"/>
    <x v="0"/>
    <x v="3"/>
    <x v="3"/>
    <x v="10"/>
    <x v="2"/>
  </r>
  <r>
    <x v="1911"/>
    <x v="1"/>
    <x v="0"/>
    <n v="40.299999999999997"/>
    <n v="40.299999999999997"/>
    <d v="2025-03-11T00:00:00"/>
    <d v="2025-03-12T00:00:00"/>
    <x v="3"/>
    <x v="1"/>
    <n v="4"/>
    <x v="0"/>
    <x v="3"/>
    <x v="3"/>
    <x v="10"/>
    <x v="3"/>
  </r>
  <r>
    <x v="1912"/>
    <x v="6"/>
    <x v="1"/>
    <n v="108.8"/>
    <n v="217.6"/>
    <d v="2025-03-11T00:00:00"/>
    <d v="2025-03-16T00:00:00"/>
    <x v="1"/>
    <x v="0"/>
    <n v="5"/>
    <x v="0"/>
    <x v="6"/>
    <x v="0"/>
    <x v="10"/>
    <x v="1"/>
  </r>
  <r>
    <x v="1913"/>
    <x v="8"/>
    <x v="2"/>
    <n v="48.2"/>
    <n v="144.60000000000002"/>
    <d v="2025-03-11T00:00:00"/>
    <d v="2025-03-16T00:00:00"/>
    <x v="2"/>
    <x v="4"/>
    <n v="4"/>
    <x v="0"/>
    <x v="7"/>
    <x v="0"/>
    <x v="10"/>
    <x v="2"/>
  </r>
  <r>
    <x v="1914"/>
    <x v="2"/>
    <x v="2"/>
    <n v="104.7"/>
    <n v="314.10000000000002"/>
    <d v="2025-03-11T00:00:00"/>
    <d v="2025-03-13T00:00:00"/>
    <x v="2"/>
    <x v="0"/>
    <n v="3"/>
    <x v="0"/>
    <x v="7"/>
    <x v="1"/>
    <x v="10"/>
    <x v="2"/>
  </r>
  <r>
    <x v="1915"/>
    <x v="1"/>
    <x v="1"/>
    <n v="80.599999999999994"/>
    <n v="161.19999999999999"/>
    <d v="2025-03-11T00:00:00"/>
    <d v="2025-03-11T00:00:00"/>
    <x v="2"/>
    <x v="1"/>
    <n v="4"/>
    <x v="0"/>
    <x v="8"/>
    <x v="7"/>
    <x v="10"/>
    <x v="2"/>
  </r>
  <r>
    <x v="1916"/>
    <x v="6"/>
    <x v="0"/>
    <n v="65.5"/>
    <n v="65.5"/>
    <d v="2025-03-11T00:00:00"/>
    <d v="2025-03-13T00:00:00"/>
    <x v="3"/>
    <x v="1"/>
    <n v="4"/>
    <x v="0"/>
    <x v="8"/>
    <x v="1"/>
    <x v="10"/>
    <x v="3"/>
  </r>
  <r>
    <x v="1917"/>
    <x v="9"/>
    <x v="2"/>
    <n v="61.4"/>
    <n v="184.2"/>
    <d v="2025-03-11T00:00:00"/>
    <d v="2025-03-13T00:00:00"/>
    <x v="2"/>
    <x v="4"/>
    <n v="5"/>
    <x v="0"/>
    <x v="8"/>
    <x v="1"/>
    <x v="10"/>
    <x v="2"/>
  </r>
  <r>
    <x v="1918"/>
    <x v="0"/>
    <x v="0"/>
    <n v="12.5"/>
    <n v="12.5"/>
    <d v="2025-03-12T00:00:00"/>
    <d v="2025-03-15T00:00:00"/>
    <x v="2"/>
    <x v="0"/>
    <n v="3"/>
    <x v="0"/>
    <x v="8"/>
    <x v="2"/>
    <x v="10"/>
    <x v="2"/>
  </r>
  <r>
    <x v="1919"/>
    <x v="4"/>
    <x v="12"/>
    <n v="35.1"/>
    <n v="140.4"/>
    <d v="2025-03-12T00:00:00"/>
    <d v="2025-03-13T00:00:00"/>
    <x v="1"/>
    <x v="2"/>
    <n v="3"/>
    <x v="0"/>
    <x v="17"/>
    <x v="3"/>
    <x v="10"/>
    <x v="1"/>
  </r>
  <r>
    <x v="1920"/>
    <x v="5"/>
    <x v="1"/>
    <n v="55.7"/>
    <n v="111.4"/>
    <d v="2025-03-12T00:00:00"/>
    <d v="2025-03-13T00:00:00"/>
    <x v="1"/>
    <x v="0"/>
    <n v="3"/>
    <x v="0"/>
    <x v="26"/>
    <x v="3"/>
    <x v="10"/>
    <x v="1"/>
  </r>
  <r>
    <x v="1921"/>
    <x v="7"/>
    <x v="1"/>
    <n v="57.7"/>
    <n v="115.4"/>
    <d v="2025-03-12T00:00:00"/>
    <d v="2025-03-14T00:00:00"/>
    <x v="1"/>
    <x v="4"/>
    <n v="3"/>
    <x v="0"/>
    <x v="9"/>
    <x v="1"/>
    <x v="10"/>
    <x v="1"/>
  </r>
  <r>
    <x v="1922"/>
    <x v="2"/>
    <x v="13"/>
    <n v="85.7"/>
    <n v="514.20000000000005"/>
    <d v="2025-03-12T00:00:00"/>
    <d v="2025-03-13T00:00:00"/>
    <x v="1"/>
    <x v="3"/>
    <n v="5"/>
    <x v="0"/>
    <x v="9"/>
    <x v="3"/>
    <x v="10"/>
    <x v="1"/>
  </r>
  <r>
    <x v="1923"/>
    <x v="2"/>
    <x v="2"/>
    <n v="86.9"/>
    <n v="260.70000000000005"/>
    <d v="2025-03-12T00:00:00"/>
    <d v="2025-03-14T00:00:00"/>
    <x v="2"/>
    <x v="1"/>
    <n v="4"/>
    <x v="0"/>
    <x v="11"/>
    <x v="1"/>
    <x v="10"/>
    <x v="2"/>
  </r>
  <r>
    <x v="1924"/>
    <x v="18"/>
    <x v="1"/>
    <n v="46.4"/>
    <n v="92.8"/>
    <d v="2025-03-12T00:00:00"/>
    <d v="2025-03-15T00:00:00"/>
    <x v="2"/>
    <x v="4"/>
    <n v="4"/>
    <x v="0"/>
    <x v="11"/>
    <x v="2"/>
    <x v="10"/>
    <x v="2"/>
  </r>
  <r>
    <x v="1925"/>
    <x v="5"/>
    <x v="2"/>
    <n v="25.4"/>
    <n v="76.199999999999989"/>
    <d v="2025-03-12T00:00:00"/>
    <d v="2025-03-12T00:00:00"/>
    <x v="2"/>
    <x v="2"/>
    <n v="5"/>
    <x v="0"/>
    <x v="18"/>
    <x v="7"/>
    <x v="10"/>
    <x v="2"/>
  </r>
  <r>
    <x v="1926"/>
    <x v="10"/>
    <x v="2"/>
    <n v="47.8"/>
    <n v="143.39999999999998"/>
    <d v="2025-03-12T00:00:00"/>
    <d v="2025-03-12T00:00:00"/>
    <x v="0"/>
    <x v="2"/>
    <n v="5"/>
    <x v="0"/>
    <x v="19"/>
    <x v="7"/>
    <x v="10"/>
    <x v="0"/>
  </r>
  <r>
    <x v="1927"/>
    <x v="8"/>
    <x v="10"/>
    <n v="18.399999999999999"/>
    <n v="349.59999999999997"/>
    <d v="2025-03-12T00:00:00"/>
    <d v="2025-03-14T00:00:00"/>
    <x v="3"/>
    <x v="2"/>
    <n v="4"/>
    <x v="0"/>
    <x v="20"/>
    <x v="1"/>
    <x v="10"/>
    <x v="3"/>
  </r>
  <r>
    <x v="1928"/>
    <x v="12"/>
    <x v="2"/>
    <n v="65.5"/>
    <n v="196.5"/>
    <d v="2025-03-12T00:00:00"/>
    <d v="2025-03-20T00:00:00"/>
    <x v="2"/>
    <x v="0"/>
    <n v="4"/>
    <x v="0"/>
    <x v="21"/>
    <x v="9"/>
    <x v="10"/>
    <x v="2"/>
  </r>
  <r>
    <x v="1929"/>
    <x v="10"/>
    <x v="1"/>
    <n v="50.6"/>
    <n v="101.2"/>
    <d v="2025-03-12T00:00:00"/>
    <d v="2025-03-15T00:00:00"/>
    <x v="1"/>
    <x v="2"/>
    <n v="2"/>
    <x v="0"/>
    <x v="21"/>
    <x v="2"/>
    <x v="10"/>
    <x v="1"/>
  </r>
  <r>
    <x v="1930"/>
    <x v="3"/>
    <x v="9"/>
    <n v="69"/>
    <n v="345"/>
    <d v="2025-03-12T00:00:00"/>
    <d v="2025-03-16T00:00:00"/>
    <x v="1"/>
    <x v="3"/>
    <n v="4"/>
    <x v="0"/>
    <x v="21"/>
    <x v="5"/>
    <x v="10"/>
    <x v="1"/>
  </r>
  <r>
    <x v="1931"/>
    <x v="9"/>
    <x v="8"/>
    <n v="51.1"/>
    <n v="408.8"/>
    <d v="2025-03-12T00:00:00"/>
    <d v="2025-03-14T00:00:00"/>
    <x v="2"/>
    <x v="0"/>
    <n v="4"/>
    <x v="0"/>
    <x v="1"/>
    <x v="1"/>
    <x v="10"/>
    <x v="2"/>
  </r>
  <r>
    <x v="1932"/>
    <x v="9"/>
    <x v="0"/>
    <n v="36.1"/>
    <n v="36.1"/>
    <d v="2025-03-12T00:00:00"/>
    <d v="2025-03-13T00:00:00"/>
    <x v="2"/>
    <x v="0"/>
    <n v="5"/>
    <x v="0"/>
    <x v="34"/>
    <x v="3"/>
    <x v="10"/>
    <x v="2"/>
  </r>
  <r>
    <x v="1933"/>
    <x v="14"/>
    <x v="0"/>
    <n v="18.7"/>
    <n v="18.7"/>
    <d v="2025-03-12T00:00:00"/>
    <d v="2025-03-13T00:00:00"/>
    <x v="1"/>
    <x v="0"/>
    <n v="4"/>
    <x v="0"/>
    <x v="3"/>
    <x v="3"/>
    <x v="10"/>
    <x v="1"/>
  </r>
  <r>
    <x v="1934"/>
    <x v="17"/>
    <x v="0"/>
    <n v="30.1"/>
    <n v="30.1"/>
    <d v="2025-03-12T00:00:00"/>
    <d v="2025-03-15T00:00:00"/>
    <x v="2"/>
    <x v="3"/>
    <n v="3"/>
    <x v="0"/>
    <x v="3"/>
    <x v="2"/>
    <x v="10"/>
    <x v="2"/>
  </r>
  <r>
    <x v="1935"/>
    <x v="8"/>
    <x v="0"/>
    <n v="16.3"/>
    <n v="16.3"/>
    <d v="2025-03-12T00:00:00"/>
    <d v="2025-03-13T00:00:00"/>
    <x v="1"/>
    <x v="3"/>
    <n v="4"/>
    <x v="0"/>
    <x v="3"/>
    <x v="3"/>
    <x v="10"/>
    <x v="1"/>
  </r>
  <r>
    <x v="1936"/>
    <x v="1"/>
    <x v="2"/>
    <n v="63.8"/>
    <n v="191.39999999999998"/>
    <d v="2025-03-12T00:00:00"/>
    <d v="2025-03-17T00:00:00"/>
    <x v="2"/>
    <x v="2"/>
    <n v="3"/>
    <x v="0"/>
    <x v="3"/>
    <x v="0"/>
    <x v="10"/>
    <x v="2"/>
  </r>
  <r>
    <x v="1937"/>
    <x v="1"/>
    <x v="3"/>
    <n v="73.900000000000006"/>
    <n v="517.30000000000007"/>
    <d v="2025-03-12T00:00:00"/>
    <d v="2025-03-12T00:00:00"/>
    <x v="2"/>
    <x v="0"/>
    <n v="3"/>
    <x v="0"/>
    <x v="3"/>
    <x v="7"/>
    <x v="10"/>
    <x v="2"/>
  </r>
  <r>
    <x v="1938"/>
    <x v="0"/>
    <x v="1"/>
    <n v="20.2"/>
    <n v="40.4"/>
    <d v="2025-03-12T00:00:00"/>
    <d v="2025-03-13T00:00:00"/>
    <x v="1"/>
    <x v="0"/>
    <n v="3"/>
    <x v="0"/>
    <x v="3"/>
    <x v="3"/>
    <x v="10"/>
    <x v="1"/>
  </r>
  <r>
    <x v="1939"/>
    <x v="11"/>
    <x v="5"/>
    <n v="29.5"/>
    <n v="324.5"/>
    <d v="2025-03-12T00:00:00"/>
    <d v="2025-03-13T00:00:00"/>
    <x v="1"/>
    <x v="0"/>
    <n v="4"/>
    <x v="0"/>
    <x v="3"/>
    <x v="3"/>
    <x v="10"/>
    <x v="1"/>
  </r>
  <r>
    <x v="1940"/>
    <x v="15"/>
    <x v="3"/>
    <n v="37.9"/>
    <n v="265.3"/>
    <d v="2025-03-12T00:00:00"/>
    <d v="2025-03-13T00:00:00"/>
    <x v="1"/>
    <x v="1"/>
    <n v="4"/>
    <x v="0"/>
    <x v="3"/>
    <x v="3"/>
    <x v="10"/>
    <x v="1"/>
  </r>
  <r>
    <x v="1941"/>
    <x v="2"/>
    <x v="0"/>
    <n v="56.5"/>
    <n v="56.5"/>
    <d v="2025-03-12T00:00:00"/>
    <d v="2025-03-13T00:00:00"/>
    <x v="2"/>
    <x v="2"/>
    <n v="3"/>
    <x v="0"/>
    <x v="3"/>
    <x v="3"/>
    <x v="10"/>
    <x v="2"/>
  </r>
  <r>
    <x v="1942"/>
    <x v="2"/>
    <x v="1"/>
    <n v="66.900000000000006"/>
    <n v="133.80000000000001"/>
    <d v="2025-03-12T00:00:00"/>
    <d v="2025-03-18T00:00:00"/>
    <x v="1"/>
    <x v="1"/>
    <n v="2"/>
    <x v="0"/>
    <x v="25"/>
    <x v="4"/>
    <x v="10"/>
    <x v="1"/>
  </r>
  <r>
    <x v="1943"/>
    <x v="2"/>
    <x v="9"/>
    <n v="51.9"/>
    <n v="259.5"/>
    <d v="2025-03-12T00:00:00"/>
    <d v="2025-03-15T00:00:00"/>
    <x v="1"/>
    <x v="1"/>
    <n v="4"/>
    <x v="0"/>
    <x v="7"/>
    <x v="2"/>
    <x v="10"/>
    <x v="1"/>
  </r>
  <r>
    <x v="1944"/>
    <x v="2"/>
    <x v="1"/>
    <n v="75.599999999999994"/>
    <n v="151.19999999999999"/>
    <d v="2025-03-12T00:00:00"/>
    <d v="2025-03-15T00:00:00"/>
    <x v="1"/>
    <x v="1"/>
    <n v="4"/>
    <x v="0"/>
    <x v="8"/>
    <x v="2"/>
    <x v="10"/>
    <x v="1"/>
  </r>
  <r>
    <x v="1945"/>
    <x v="12"/>
    <x v="13"/>
    <n v="47.3"/>
    <n v="283.79999999999995"/>
    <d v="2025-03-12T00:00:00"/>
    <d v="2025-03-23T00:00:00"/>
    <x v="1"/>
    <x v="0"/>
    <n v="4"/>
    <x v="0"/>
    <x v="8"/>
    <x v="11"/>
    <x v="10"/>
    <x v="1"/>
  </r>
  <r>
    <x v="1946"/>
    <x v="4"/>
    <x v="0"/>
    <n v="20.6"/>
    <n v="20.6"/>
    <d v="2025-03-12T00:00:00"/>
    <d v="2025-03-13T00:00:00"/>
    <x v="0"/>
    <x v="0"/>
    <n v="3"/>
    <x v="0"/>
    <x v="8"/>
    <x v="3"/>
    <x v="10"/>
    <x v="0"/>
  </r>
  <r>
    <x v="1947"/>
    <x v="6"/>
    <x v="2"/>
    <n v="49.7"/>
    <n v="149.10000000000002"/>
    <d v="2025-03-12T00:00:00"/>
    <d v="2025-03-14T00:00:00"/>
    <x v="1"/>
    <x v="0"/>
    <n v="3"/>
    <x v="0"/>
    <x v="8"/>
    <x v="1"/>
    <x v="10"/>
    <x v="1"/>
  </r>
  <r>
    <x v="1948"/>
    <x v="3"/>
    <x v="0"/>
    <n v="37.9"/>
    <n v="37.9"/>
    <d v="2025-03-12T00:00:00"/>
    <d v="2025-03-14T00:00:00"/>
    <x v="2"/>
    <x v="0"/>
    <n v="4"/>
    <x v="0"/>
    <x v="8"/>
    <x v="1"/>
    <x v="10"/>
    <x v="2"/>
  </r>
  <r>
    <x v="1949"/>
    <x v="13"/>
    <x v="20"/>
    <n v="32"/>
    <n v="480"/>
    <d v="2025-03-12T00:00:00"/>
    <d v="2025-03-14T00:00:00"/>
    <x v="2"/>
    <x v="4"/>
    <n v="4"/>
    <x v="0"/>
    <x v="11"/>
    <x v="1"/>
    <x v="10"/>
    <x v="2"/>
  </r>
  <r>
    <x v="1950"/>
    <x v="10"/>
    <x v="16"/>
    <n v="38.5"/>
    <n v="693"/>
    <d v="2025-03-13T00:00:00"/>
    <d v="2025-03-14T00:00:00"/>
    <x v="1"/>
    <x v="0"/>
    <n v="5"/>
    <x v="0"/>
    <x v="11"/>
    <x v="3"/>
    <x v="10"/>
    <x v="1"/>
  </r>
  <r>
    <x v="1951"/>
    <x v="0"/>
    <x v="12"/>
    <n v="11.7"/>
    <n v="46.8"/>
    <d v="2025-03-13T00:00:00"/>
    <d v="2025-03-15T00:00:00"/>
    <x v="2"/>
    <x v="1"/>
    <n v="4"/>
    <x v="0"/>
    <x v="20"/>
    <x v="1"/>
    <x v="10"/>
    <x v="2"/>
  </r>
  <r>
    <x v="1952"/>
    <x v="3"/>
    <x v="13"/>
    <n v="83.8"/>
    <n v="502.79999999999995"/>
    <d v="2025-03-13T00:00:00"/>
    <d v="2025-03-14T00:00:00"/>
    <x v="1"/>
    <x v="0"/>
    <n v="4"/>
    <x v="0"/>
    <x v="21"/>
    <x v="3"/>
    <x v="10"/>
    <x v="1"/>
  </r>
  <r>
    <x v="1953"/>
    <x v="0"/>
    <x v="3"/>
    <n v="14"/>
    <n v="98"/>
    <d v="2025-03-13T00:00:00"/>
    <d v="2025-03-16T00:00:00"/>
    <x v="1"/>
    <x v="0"/>
    <n v="3"/>
    <x v="0"/>
    <x v="22"/>
    <x v="2"/>
    <x v="10"/>
    <x v="1"/>
  </r>
  <r>
    <x v="1954"/>
    <x v="16"/>
    <x v="12"/>
    <n v="77.3"/>
    <n v="309.2"/>
    <d v="2025-03-13T00:00:00"/>
    <d v="2025-03-15T00:00:00"/>
    <x v="2"/>
    <x v="4"/>
    <n v="5"/>
    <x v="0"/>
    <x v="3"/>
    <x v="1"/>
    <x v="10"/>
    <x v="2"/>
  </r>
  <r>
    <x v="1955"/>
    <x v="2"/>
    <x v="1"/>
    <n v="76.900000000000006"/>
    <n v="153.80000000000001"/>
    <d v="2025-03-13T00:00:00"/>
    <d v="2025-03-17T00:00:00"/>
    <x v="2"/>
    <x v="0"/>
    <n v="3"/>
    <x v="0"/>
    <x v="3"/>
    <x v="5"/>
    <x v="10"/>
    <x v="2"/>
  </r>
  <r>
    <x v="1956"/>
    <x v="1"/>
    <x v="0"/>
    <n v="48"/>
    <n v="48"/>
    <d v="2025-03-13T00:00:00"/>
    <d v="2025-03-15T00:00:00"/>
    <x v="2"/>
    <x v="1"/>
    <n v="5"/>
    <x v="0"/>
    <x v="3"/>
    <x v="1"/>
    <x v="10"/>
    <x v="2"/>
  </r>
  <r>
    <x v="1957"/>
    <x v="2"/>
    <x v="0"/>
    <n v="94.5"/>
    <n v="94.5"/>
    <d v="2025-03-13T00:00:00"/>
    <d v="2025-03-16T00:00:00"/>
    <x v="1"/>
    <x v="1"/>
    <n v="3"/>
    <x v="0"/>
    <x v="3"/>
    <x v="2"/>
    <x v="10"/>
    <x v="1"/>
  </r>
  <r>
    <x v="1958"/>
    <x v="10"/>
    <x v="2"/>
    <n v="58.4"/>
    <n v="175.2"/>
    <d v="2025-03-13T00:00:00"/>
    <d v="2025-03-15T00:00:00"/>
    <x v="2"/>
    <x v="1"/>
    <n v="5"/>
    <x v="0"/>
    <x v="3"/>
    <x v="1"/>
    <x v="10"/>
    <x v="2"/>
  </r>
  <r>
    <x v="1959"/>
    <x v="7"/>
    <x v="15"/>
    <n v="42.2"/>
    <n v="548.6"/>
    <d v="2025-03-13T00:00:00"/>
    <d v="2025-03-13T00:00:00"/>
    <x v="1"/>
    <x v="0"/>
    <n v="4"/>
    <x v="0"/>
    <x v="25"/>
    <x v="7"/>
    <x v="10"/>
    <x v="1"/>
  </r>
  <r>
    <x v="1960"/>
    <x v="6"/>
    <x v="1"/>
    <n v="152.19999999999999"/>
    <n v="304.39999999999998"/>
    <d v="2025-03-13T00:00:00"/>
    <d v="2025-03-14T00:00:00"/>
    <x v="1"/>
    <x v="4"/>
    <n v="3"/>
    <x v="0"/>
    <x v="25"/>
    <x v="3"/>
    <x v="10"/>
    <x v="1"/>
  </r>
  <r>
    <x v="1961"/>
    <x v="6"/>
    <x v="25"/>
    <n v="72"/>
    <n v="1728"/>
    <d v="2025-03-13T00:00:00"/>
    <d v="2025-03-14T00:00:00"/>
    <x v="1"/>
    <x v="0"/>
    <n v="3"/>
    <x v="0"/>
    <x v="6"/>
    <x v="3"/>
    <x v="10"/>
    <x v="1"/>
  </r>
  <r>
    <x v="1962"/>
    <x v="1"/>
    <x v="44"/>
    <n v="70.900000000000006"/>
    <n v="1630.7"/>
    <d v="2025-03-13T00:00:00"/>
    <d v="2025-03-14T00:00:00"/>
    <x v="2"/>
    <x v="2"/>
    <n v="4"/>
    <x v="0"/>
    <x v="8"/>
    <x v="3"/>
    <x v="10"/>
    <x v="2"/>
  </r>
  <r>
    <x v="1963"/>
    <x v="2"/>
    <x v="1"/>
    <n v="53.7"/>
    <n v="107.4"/>
    <d v="2025-03-13T00:00:00"/>
    <d v="2025-03-14T00:00:00"/>
    <x v="1"/>
    <x v="2"/>
    <n v="5"/>
    <x v="0"/>
    <x v="8"/>
    <x v="3"/>
    <x v="10"/>
    <x v="1"/>
  </r>
  <r>
    <x v="1964"/>
    <x v="9"/>
    <x v="12"/>
    <n v="42.9"/>
    <n v="171.6"/>
    <d v="2025-03-13T00:00:00"/>
    <d v="2025-03-14T00:00:00"/>
    <x v="2"/>
    <x v="2"/>
    <n v="2"/>
    <x v="0"/>
    <x v="9"/>
    <x v="3"/>
    <x v="10"/>
    <x v="2"/>
  </r>
  <r>
    <x v="1965"/>
    <x v="2"/>
    <x v="3"/>
    <n v="107.5"/>
    <n v="752.5"/>
    <d v="2025-03-13T00:00:00"/>
    <d v="2025-03-14T00:00:00"/>
    <x v="1"/>
    <x v="1"/>
    <n v="4"/>
    <x v="0"/>
    <x v="11"/>
    <x v="3"/>
    <x v="10"/>
    <x v="1"/>
  </r>
  <r>
    <x v="1966"/>
    <x v="17"/>
    <x v="27"/>
    <n v="21.5"/>
    <n v="344"/>
    <d v="2025-03-13T00:00:00"/>
    <d v="2025-03-14T00:00:00"/>
    <x v="1"/>
    <x v="1"/>
    <n v="3"/>
    <x v="0"/>
    <x v="32"/>
    <x v="3"/>
    <x v="10"/>
    <x v="1"/>
  </r>
  <r>
    <x v="1967"/>
    <x v="3"/>
    <x v="9"/>
    <n v="85.3"/>
    <n v="426.5"/>
    <d v="2025-03-13T00:00:00"/>
    <d v="2025-03-15T00:00:00"/>
    <x v="2"/>
    <x v="3"/>
    <n v="4"/>
    <x v="0"/>
    <x v="18"/>
    <x v="1"/>
    <x v="10"/>
    <x v="2"/>
  </r>
  <r>
    <x v="1968"/>
    <x v="7"/>
    <x v="9"/>
    <n v="80.8"/>
    <n v="404"/>
    <d v="2025-03-13T00:00:00"/>
    <d v="2025-03-21T00:00:00"/>
    <x v="3"/>
    <x v="1"/>
    <n v="3"/>
    <x v="0"/>
    <x v="19"/>
    <x v="9"/>
    <x v="10"/>
    <x v="3"/>
  </r>
  <r>
    <x v="1969"/>
    <x v="2"/>
    <x v="2"/>
    <n v="123.1"/>
    <n v="369.29999999999995"/>
    <d v="2025-03-13T00:00:00"/>
    <d v="2025-03-15T00:00:00"/>
    <x v="0"/>
    <x v="2"/>
    <n v="4"/>
    <x v="0"/>
    <x v="21"/>
    <x v="1"/>
    <x v="10"/>
    <x v="0"/>
  </r>
  <r>
    <x v="1970"/>
    <x v="8"/>
    <x v="1"/>
    <n v="36.9"/>
    <n v="73.8"/>
    <d v="2025-03-13T00:00:00"/>
    <d v="2025-03-15T00:00:00"/>
    <x v="2"/>
    <x v="2"/>
    <n v="2"/>
    <x v="0"/>
    <x v="51"/>
    <x v="1"/>
    <x v="10"/>
    <x v="2"/>
  </r>
  <r>
    <x v="1971"/>
    <x v="11"/>
    <x v="9"/>
    <n v="40"/>
    <n v="200"/>
    <d v="2025-03-13T00:00:00"/>
    <d v="2025-03-14T00:00:00"/>
    <x v="1"/>
    <x v="0"/>
    <n v="4"/>
    <x v="0"/>
    <x v="1"/>
    <x v="3"/>
    <x v="10"/>
    <x v="1"/>
  </r>
  <r>
    <x v="1972"/>
    <x v="6"/>
    <x v="2"/>
    <n v="55.5"/>
    <n v="166.5"/>
    <d v="2025-03-13T00:00:00"/>
    <d v="2025-03-14T00:00:00"/>
    <x v="1"/>
    <x v="4"/>
    <n v="5"/>
    <x v="0"/>
    <x v="1"/>
    <x v="3"/>
    <x v="10"/>
    <x v="1"/>
  </r>
  <r>
    <x v="1973"/>
    <x v="0"/>
    <x v="12"/>
    <n v="20.5"/>
    <n v="82"/>
    <d v="2025-03-13T00:00:00"/>
    <d v="2025-03-17T00:00:00"/>
    <x v="2"/>
    <x v="4"/>
    <n v="4"/>
    <x v="0"/>
    <x v="1"/>
    <x v="5"/>
    <x v="10"/>
    <x v="2"/>
  </r>
  <r>
    <x v="1974"/>
    <x v="18"/>
    <x v="12"/>
    <n v="50.1"/>
    <n v="200.4"/>
    <d v="2025-03-13T00:00:00"/>
    <d v="2025-03-14T00:00:00"/>
    <x v="2"/>
    <x v="4"/>
    <n v="4"/>
    <x v="0"/>
    <x v="1"/>
    <x v="3"/>
    <x v="10"/>
    <x v="2"/>
  </r>
  <r>
    <x v="1975"/>
    <x v="9"/>
    <x v="0"/>
    <n v="35.9"/>
    <n v="35.9"/>
    <d v="2025-03-13T00:00:00"/>
    <d v="2025-03-15T00:00:00"/>
    <x v="1"/>
    <x v="1"/>
    <n v="5"/>
    <x v="0"/>
    <x v="1"/>
    <x v="1"/>
    <x v="10"/>
    <x v="1"/>
  </r>
  <r>
    <x v="1976"/>
    <x v="13"/>
    <x v="12"/>
    <n v="29.4"/>
    <n v="117.6"/>
    <d v="2025-03-14T00:00:00"/>
    <d v="2025-03-15T00:00:00"/>
    <x v="1"/>
    <x v="2"/>
    <n v="5"/>
    <x v="0"/>
    <x v="33"/>
    <x v="3"/>
    <x v="10"/>
    <x v="1"/>
  </r>
  <r>
    <x v="1977"/>
    <x v="8"/>
    <x v="9"/>
    <n v="29.1"/>
    <n v="145.5"/>
    <d v="2025-03-14T00:00:00"/>
    <d v="2025-03-22T00:00:00"/>
    <x v="3"/>
    <x v="2"/>
    <n v="3"/>
    <x v="0"/>
    <x v="33"/>
    <x v="9"/>
    <x v="10"/>
    <x v="3"/>
  </r>
  <r>
    <x v="1978"/>
    <x v="8"/>
    <x v="2"/>
    <n v="33.5"/>
    <n v="100.5"/>
    <d v="2025-03-14T00:00:00"/>
    <d v="2025-03-26T00:00:00"/>
    <x v="1"/>
    <x v="0"/>
    <n v="5"/>
    <x v="0"/>
    <x v="22"/>
    <x v="13"/>
    <x v="10"/>
    <x v="1"/>
  </r>
  <r>
    <x v="1979"/>
    <x v="4"/>
    <x v="7"/>
    <n v="36"/>
    <n v="360"/>
    <d v="2025-03-14T00:00:00"/>
    <d v="2025-03-14T00:00:00"/>
    <x v="1"/>
    <x v="3"/>
    <n v="5"/>
    <x v="0"/>
    <x v="3"/>
    <x v="7"/>
    <x v="10"/>
    <x v="1"/>
  </r>
  <r>
    <x v="1980"/>
    <x v="16"/>
    <x v="2"/>
    <n v="57.3"/>
    <n v="171.89999999999998"/>
    <d v="2025-03-14T00:00:00"/>
    <d v="2025-03-18T00:00:00"/>
    <x v="2"/>
    <x v="0"/>
    <n v="5"/>
    <x v="0"/>
    <x v="3"/>
    <x v="5"/>
    <x v="10"/>
    <x v="2"/>
  </r>
  <r>
    <x v="1981"/>
    <x v="1"/>
    <x v="0"/>
    <n v="81.400000000000006"/>
    <n v="81.400000000000006"/>
    <d v="2025-03-14T00:00:00"/>
    <d v="2025-03-15T00:00:00"/>
    <x v="2"/>
    <x v="2"/>
    <n v="5"/>
    <x v="0"/>
    <x v="3"/>
    <x v="3"/>
    <x v="10"/>
    <x v="2"/>
  </r>
  <r>
    <x v="1982"/>
    <x v="10"/>
    <x v="1"/>
    <n v="35.299999999999997"/>
    <n v="70.599999999999994"/>
    <d v="2025-03-14T00:00:00"/>
    <d v="2025-03-18T00:00:00"/>
    <x v="1"/>
    <x v="0"/>
    <n v="5"/>
    <x v="0"/>
    <x v="3"/>
    <x v="5"/>
    <x v="10"/>
    <x v="1"/>
  </r>
  <r>
    <x v="1983"/>
    <x v="3"/>
    <x v="0"/>
    <n v="36.1"/>
    <n v="36.1"/>
    <d v="2025-03-14T00:00:00"/>
    <d v="2025-03-15T00:00:00"/>
    <x v="2"/>
    <x v="4"/>
    <n v="4"/>
    <x v="0"/>
    <x v="3"/>
    <x v="3"/>
    <x v="10"/>
    <x v="2"/>
  </r>
  <r>
    <x v="1984"/>
    <x v="1"/>
    <x v="1"/>
    <n v="36.700000000000003"/>
    <n v="73.400000000000006"/>
    <d v="2025-03-14T00:00:00"/>
    <d v="2025-03-16T00:00:00"/>
    <x v="2"/>
    <x v="0"/>
    <n v="5"/>
    <x v="0"/>
    <x v="3"/>
    <x v="1"/>
    <x v="10"/>
    <x v="2"/>
  </r>
  <r>
    <x v="1985"/>
    <x v="10"/>
    <x v="0"/>
    <n v="20.9"/>
    <n v="20.9"/>
    <d v="2025-03-14T00:00:00"/>
    <d v="2025-03-16T00:00:00"/>
    <x v="2"/>
    <x v="0"/>
    <n v="2"/>
    <x v="0"/>
    <x v="3"/>
    <x v="1"/>
    <x v="10"/>
    <x v="2"/>
  </r>
  <r>
    <x v="1986"/>
    <x v="12"/>
    <x v="2"/>
    <n v="58.8"/>
    <n v="176.39999999999998"/>
    <d v="2025-03-14T00:00:00"/>
    <d v="2025-03-18T00:00:00"/>
    <x v="1"/>
    <x v="0"/>
    <n v="5"/>
    <x v="0"/>
    <x v="25"/>
    <x v="5"/>
    <x v="10"/>
    <x v="1"/>
  </r>
  <r>
    <x v="1987"/>
    <x v="2"/>
    <x v="2"/>
    <n v="97.6"/>
    <n v="292.79999999999995"/>
    <d v="2025-03-15T00:00:00"/>
    <d v="2025-03-17T00:00:00"/>
    <x v="0"/>
    <x v="0"/>
    <n v="4"/>
    <x v="0"/>
    <x v="6"/>
    <x v="1"/>
    <x v="10"/>
    <x v="0"/>
  </r>
  <r>
    <x v="1988"/>
    <x v="1"/>
    <x v="1"/>
    <n v="58.7"/>
    <n v="117.4"/>
    <d v="2025-03-15T00:00:00"/>
    <d v="2025-03-18T00:00:00"/>
    <x v="2"/>
    <x v="0"/>
    <n v="3"/>
    <x v="0"/>
    <x v="6"/>
    <x v="2"/>
    <x v="10"/>
    <x v="2"/>
  </r>
  <r>
    <x v="1989"/>
    <x v="6"/>
    <x v="9"/>
    <n v="71.900000000000006"/>
    <n v="359.5"/>
    <d v="2025-03-15T00:00:00"/>
    <d v="2025-03-16T00:00:00"/>
    <x v="0"/>
    <x v="0"/>
    <n v="3"/>
    <x v="0"/>
    <x v="6"/>
    <x v="3"/>
    <x v="10"/>
    <x v="0"/>
  </r>
  <r>
    <x v="1990"/>
    <x v="1"/>
    <x v="1"/>
    <n v="62.4"/>
    <n v="124.8"/>
    <d v="2025-03-15T00:00:00"/>
    <d v="2025-03-17T00:00:00"/>
    <x v="0"/>
    <x v="0"/>
    <n v="3"/>
    <x v="0"/>
    <x v="8"/>
    <x v="1"/>
    <x v="10"/>
    <x v="0"/>
  </r>
  <r>
    <x v="1991"/>
    <x v="6"/>
    <x v="27"/>
    <n v="53.8"/>
    <n v="860.8"/>
    <d v="2025-03-15T00:00:00"/>
    <d v="2025-03-16T00:00:00"/>
    <x v="2"/>
    <x v="1"/>
    <n v="4"/>
    <x v="0"/>
    <x v="8"/>
    <x v="3"/>
    <x v="10"/>
    <x v="2"/>
  </r>
  <r>
    <x v="1992"/>
    <x v="9"/>
    <x v="0"/>
    <n v="43.8"/>
    <n v="43.8"/>
    <d v="2025-03-15T00:00:00"/>
    <d v="2025-03-22T00:00:00"/>
    <x v="2"/>
    <x v="0"/>
    <n v="5"/>
    <x v="0"/>
    <x v="8"/>
    <x v="6"/>
    <x v="10"/>
    <x v="2"/>
  </r>
  <r>
    <x v="1993"/>
    <x v="5"/>
    <x v="2"/>
    <n v="53.6"/>
    <n v="160.80000000000001"/>
    <d v="2025-03-15T00:00:00"/>
    <d v="2025-03-16T00:00:00"/>
    <x v="1"/>
    <x v="3"/>
    <n v="4"/>
    <x v="0"/>
    <x v="8"/>
    <x v="3"/>
    <x v="10"/>
    <x v="1"/>
  </r>
  <r>
    <x v="1994"/>
    <x v="12"/>
    <x v="1"/>
    <n v="84.3"/>
    <n v="168.6"/>
    <d v="2025-03-15T00:00:00"/>
    <d v="2025-03-18T00:00:00"/>
    <x v="1"/>
    <x v="4"/>
    <n v="3"/>
    <x v="0"/>
    <x v="8"/>
    <x v="2"/>
    <x v="10"/>
    <x v="1"/>
  </r>
  <r>
    <x v="1995"/>
    <x v="6"/>
    <x v="11"/>
    <n v="117.9"/>
    <n v="1061.1000000000001"/>
    <d v="2025-03-15T00:00:00"/>
    <d v="2025-03-16T00:00:00"/>
    <x v="2"/>
    <x v="1"/>
    <n v="5"/>
    <x v="0"/>
    <x v="8"/>
    <x v="3"/>
    <x v="10"/>
    <x v="2"/>
  </r>
  <r>
    <x v="1996"/>
    <x v="4"/>
    <x v="8"/>
    <n v="30"/>
    <n v="240"/>
    <d v="2025-03-15T00:00:00"/>
    <d v="2025-03-16T00:00:00"/>
    <x v="2"/>
    <x v="1"/>
    <n v="4"/>
    <x v="0"/>
    <x v="26"/>
    <x v="3"/>
    <x v="10"/>
    <x v="2"/>
  </r>
  <r>
    <x v="1997"/>
    <x v="14"/>
    <x v="2"/>
    <n v="37.299999999999997"/>
    <n v="111.89999999999999"/>
    <d v="2025-03-15T00:00:00"/>
    <d v="2025-03-16T00:00:00"/>
    <x v="1"/>
    <x v="2"/>
    <n v="4"/>
    <x v="0"/>
    <x v="9"/>
    <x v="3"/>
    <x v="10"/>
    <x v="1"/>
  </r>
  <r>
    <x v="1998"/>
    <x v="4"/>
    <x v="11"/>
    <n v="25.1"/>
    <n v="225.9"/>
    <d v="2025-03-15T00:00:00"/>
    <d v="2025-03-17T00:00:00"/>
    <x v="1"/>
    <x v="1"/>
    <n v="5"/>
    <x v="0"/>
    <x v="11"/>
    <x v="1"/>
    <x v="10"/>
    <x v="1"/>
  </r>
  <r>
    <x v="1999"/>
    <x v="8"/>
    <x v="5"/>
    <n v="36"/>
    <n v="396"/>
    <d v="2025-03-15T00:00:00"/>
    <d v="2025-03-25T00:00:00"/>
    <x v="1"/>
    <x v="1"/>
    <n v="4"/>
    <x v="0"/>
    <x v="18"/>
    <x v="14"/>
    <x v="10"/>
    <x v="1"/>
  </r>
  <r>
    <x v="2000"/>
    <x v="16"/>
    <x v="2"/>
    <n v="48.5"/>
    <n v="145.5"/>
    <d v="2025-03-15T00:00:00"/>
    <d v="2025-03-19T00:00:00"/>
    <x v="2"/>
    <x v="1"/>
    <n v="4"/>
    <x v="0"/>
    <x v="19"/>
    <x v="5"/>
    <x v="10"/>
    <x v="2"/>
  </r>
  <r>
    <x v="2001"/>
    <x v="17"/>
    <x v="13"/>
    <n v="21.1"/>
    <n v="126.60000000000001"/>
    <d v="2025-03-15T00:00:00"/>
    <d v="2025-03-16T00:00:00"/>
    <x v="1"/>
    <x v="1"/>
    <n v="5"/>
    <x v="0"/>
    <x v="21"/>
    <x v="3"/>
    <x v="10"/>
    <x v="1"/>
  </r>
  <r>
    <x v="2002"/>
    <x v="15"/>
    <x v="21"/>
    <n v="43.2"/>
    <n v="604.80000000000007"/>
    <d v="2025-03-15T00:00:00"/>
    <d v="2025-03-16T00:00:00"/>
    <x v="3"/>
    <x v="0"/>
    <n v="3"/>
    <x v="0"/>
    <x v="21"/>
    <x v="3"/>
    <x v="10"/>
    <x v="3"/>
  </r>
  <r>
    <x v="2003"/>
    <x v="9"/>
    <x v="1"/>
    <n v="21.1"/>
    <n v="42.2"/>
    <d v="2025-03-15T00:00:00"/>
    <d v="2025-03-16T00:00:00"/>
    <x v="0"/>
    <x v="3"/>
    <n v="3"/>
    <x v="0"/>
    <x v="21"/>
    <x v="3"/>
    <x v="10"/>
    <x v="0"/>
  </r>
  <r>
    <x v="2004"/>
    <x v="6"/>
    <x v="12"/>
    <n v="41.3"/>
    <n v="165.2"/>
    <d v="2025-03-15T00:00:00"/>
    <d v="2025-03-17T00:00:00"/>
    <x v="2"/>
    <x v="3"/>
    <n v="5"/>
    <x v="0"/>
    <x v="1"/>
    <x v="1"/>
    <x v="10"/>
    <x v="2"/>
  </r>
  <r>
    <x v="2005"/>
    <x v="8"/>
    <x v="1"/>
    <n v="15.3"/>
    <n v="30.6"/>
    <d v="2025-03-15T00:00:00"/>
    <d v="2025-03-18T00:00:00"/>
    <x v="0"/>
    <x v="2"/>
    <n v="5"/>
    <x v="0"/>
    <x v="1"/>
    <x v="2"/>
    <x v="10"/>
    <x v="0"/>
  </r>
  <r>
    <x v="2006"/>
    <x v="1"/>
    <x v="0"/>
    <n v="54.6"/>
    <n v="54.6"/>
    <d v="2025-03-15T00:00:00"/>
    <d v="2025-03-17T00:00:00"/>
    <x v="1"/>
    <x v="1"/>
    <n v="3"/>
    <x v="0"/>
    <x v="2"/>
    <x v="1"/>
    <x v="10"/>
    <x v="1"/>
  </r>
  <r>
    <x v="2007"/>
    <x v="8"/>
    <x v="0"/>
    <n v="15.9"/>
    <n v="15.9"/>
    <d v="2025-03-15T00:00:00"/>
    <d v="2025-03-16T00:00:00"/>
    <x v="1"/>
    <x v="0"/>
    <n v="3"/>
    <x v="0"/>
    <x v="22"/>
    <x v="3"/>
    <x v="10"/>
    <x v="1"/>
  </r>
  <r>
    <x v="2008"/>
    <x v="9"/>
    <x v="0"/>
    <n v="50.2"/>
    <n v="50.2"/>
    <d v="2025-03-15T00:00:00"/>
    <d v="2025-03-17T00:00:00"/>
    <x v="2"/>
    <x v="3"/>
    <n v="5"/>
    <x v="0"/>
    <x v="34"/>
    <x v="1"/>
    <x v="10"/>
    <x v="2"/>
  </r>
  <r>
    <x v="2009"/>
    <x v="11"/>
    <x v="12"/>
    <n v="85.1"/>
    <n v="340.4"/>
    <d v="2025-03-15T00:00:00"/>
    <d v="2025-03-16T00:00:00"/>
    <x v="2"/>
    <x v="3"/>
    <n v="2"/>
    <x v="0"/>
    <x v="34"/>
    <x v="3"/>
    <x v="10"/>
    <x v="2"/>
  </r>
  <r>
    <x v="2010"/>
    <x v="11"/>
    <x v="1"/>
    <n v="41.4"/>
    <n v="82.8"/>
    <d v="2025-03-15T00:00:00"/>
    <d v="2025-03-16T00:00:00"/>
    <x v="2"/>
    <x v="0"/>
    <n v="5"/>
    <x v="0"/>
    <x v="3"/>
    <x v="3"/>
    <x v="10"/>
    <x v="2"/>
  </r>
  <r>
    <x v="2011"/>
    <x v="4"/>
    <x v="3"/>
    <n v="32.700000000000003"/>
    <n v="228.90000000000003"/>
    <d v="2025-03-15T00:00:00"/>
    <d v="2025-03-16T00:00:00"/>
    <x v="2"/>
    <x v="2"/>
    <n v="3"/>
    <x v="0"/>
    <x v="3"/>
    <x v="3"/>
    <x v="10"/>
    <x v="2"/>
  </r>
  <r>
    <x v="2012"/>
    <x v="4"/>
    <x v="1"/>
    <n v="41.6"/>
    <n v="83.2"/>
    <d v="2025-03-15T00:00:00"/>
    <d v="2025-03-17T00:00:00"/>
    <x v="1"/>
    <x v="4"/>
    <n v="3"/>
    <x v="0"/>
    <x v="3"/>
    <x v="1"/>
    <x v="10"/>
    <x v="1"/>
  </r>
  <r>
    <x v="2013"/>
    <x v="5"/>
    <x v="12"/>
    <n v="64.8"/>
    <n v="259.2"/>
    <d v="2025-03-15T00:00:00"/>
    <d v="2025-03-16T00:00:00"/>
    <x v="0"/>
    <x v="2"/>
    <n v="4"/>
    <x v="0"/>
    <x v="3"/>
    <x v="3"/>
    <x v="10"/>
    <x v="0"/>
  </r>
  <r>
    <x v="2014"/>
    <x v="15"/>
    <x v="1"/>
    <n v="33.6"/>
    <n v="67.2"/>
    <d v="2025-03-15T00:00:00"/>
    <d v="2025-03-16T00:00:00"/>
    <x v="1"/>
    <x v="0"/>
    <n v="5"/>
    <x v="0"/>
    <x v="3"/>
    <x v="3"/>
    <x v="10"/>
    <x v="1"/>
  </r>
  <r>
    <x v="2015"/>
    <x v="6"/>
    <x v="2"/>
    <n v="100.7"/>
    <n v="302.10000000000002"/>
    <d v="2025-03-15T00:00:00"/>
    <d v="2025-03-16T00:00:00"/>
    <x v="0"/>
    <x v="1"/>
    <n v="4"/>
    <x v="0"/>
    <x v="3"/>
    <x v="3"/>
    <x v="10"/>
    <x v="0"/>
  </r>
  <r>
    <x v="2016"/>
    <x v="4"/>
    <x v="1"/>
    <n v="49.3"/>
    <n v="98.6"/>
    <d v="2025-03-16T00:00:00"/>
    <d v="2025-03-18T00:00:00"/>
    <x v="2"/>
    <x v="4"/>
    <n v="5"/>
    <x v="0"/>
    <x v="3"/>
    <x v="1"/>
    <x v="11"/>
    <x v="2"/>
  </r>
  <r>
    <x v="2017"/>
    <x v="2"/>
    <x v="13"/>
    <n v="97"/>
    <n v="582"/>
    <d v="2025-03-16T00:00:00"/>
    <d v="2025-03-19T00:00:00"/>
    <x v="1"/>
    <x v="2"/>
    <n v="5"/>
    <x v="0"/>
    <x v="3"/>
    <x v="2"/>
    <x v="11"/>
    <x v="1"/>
  </r>
  <r>
    <x v="2018"/>
    <x v="0"/>
    <x v="13"/>
    <n v="25.2"/>
    <n v="151.19999999999999"/>
    <d v="2025-03-16T00:00:00"/>
    <d v="2025-03-19T00:00:00"/>
    <x v="2"/>
    <x v="4"/>
    <n v="5"/>
    <x v="0"/>
    <x v="3"/>
    <x v="2"/>
    <x v="11"/>
    <x v="2"/>
  </r>
  <r>
    <x v="2019"/>
    <x v="0"/>
    <x v="5"/>
    <n v="12.2"/>
    <n v="134.19999999999999"/>
    <d v="2025-03-16T00:00:00"/>
    <d v="2025-03-17T00:00:00"/>
    <x v="0"/>
    <x v="0"/>
    <n v="3"/>
    <x v="0"/>
    <x v="3"/>
    <x v="3"/>
    <x v="11"/>
    <x v="0"/>
  </r>
  <r>
    <x v="2020"/>
    <x v="8"/>
    <x v="3"/>
    <n v="38.799999999999997"/>
    <n v="271.59999999999997"/>
    <d v="2025-03-16T00:00:00"/>
    <d v="2025-03-18T00:00:00"/>
    <x v="2"/>
    <x v="1"/>
    <n v="3"/>
    <x v="0"/>
    <x v="23"/>
    <x v="1"/>
    <x v="11"/>
    <x v="2"/>
  </r>
  <r>
    <x v="2021"/>
    <x v="2"/>
    <x v="12"/>
    <n v="53.2"/>
    <n v="212.8"/>
    <d v="2025-03-16T00:00:00"/>
    <d v="2025-03-17T00:00:00"/>
    <x v="1"/>
    <x v="0"/>
    <n v="5"/>
    <x v="0"/>
    <x v="8"/>
    <x v="3"/>
    <x v="11"/>
    <x v="1"/>
  </r>
  <r>
    <x v="2022"/>
    <x v="6"/>
    <x v="3"/>
    <n v="151"/>
    <n v="1057"/>
    <d v="2025-03-16T00:00:00"/>
    <d v="2025-03-17T00:00:00"/>
    <x v="3"/>
    <x v="1"/>
    <n v="3"/>
    <x v="0"/>
    <x v="8"/>
    <x v="3"/>
    <x v="11"/>
    <x v="3"/>
  </r>
  <r>
    <x v="2023"/>
    <x v="1"/>
    <x v="1"/>
    <n v="37.1"/>
    <n v="74.2"/>
    <d v="2025-03-16T00:00:00"/>
    <d v="2025-03-17T00:00:00"/>
    <x v="2"/>
    <x v="4"/>
    <n v="4"/>
    <x v="0"/>
    <x v="8"/>
    <x v="3"/>
    <x v="11"/>
    <x v="2"/>
  </r>
  <r>
    <x v="2024"/>
    <x v="5"/>
    <x v="1"/>
    <n v="38.9"/>
    <n v="77.8"/>
    <d v="2025-03-16T00:00:00"/>
    <d v="2025-03-17T00:00:00"/>
    <x v="1"/>
    <x v="4"/>
    <n v="4"/>
    <x v="0"/>
    <x v="8"/>
    <x v="3"/>
    <x v="11"/>
    <x v="1"/>
  </r>
  <r>
    <x v="2025"/>
    <x v="10"/>
    <x v="1"/>
    <n v="35.200000000000003"/>
    <n v="70.400000000000006"/>
    <d v="2025-03-16T00:00:00"/>
    <d v="2025-03-17T00:00:00"/>
    <x v="1"/>
    <x v="0"/>
    <n v="5"/>
    <x v="0"/>
    <x v="17"/>
    <x v="3"/>
    <x v="11"/>
    <x v="1"/>
  </r>
  <r>
    <x v="2026"/>
    <x v="0"/>
    <x v="1"/>
    <n v="22.3"/>
    <n v="44.6"/>
    <d v="2025-03-16T00:00:00"/>
    <d v="2025-03-18T00:00:00"/>
    <x v="2"/>
    <x v="1"/>
    <n v="4"/>
    <x v="0"/>
    <x v="9"/>
    <x v="1"/>
    <x v="11"/>
    <x v="2"/>
  </r>
  <r>
    <x v="2027"/>
    <x v="9"/>
    <x v="0"/>
    <n v="43.3"/>
    <n v="43.3"/>
    <d v="2025-03-16T00:00:00"/>
    <d v="2025-03-19T00:00:00"/>
    <x v="2"/>
    <x v="0"/>
    <n v="5"/>
    <x v="0"/>
    <x v="11"/>
    <x v="2"/>
    <x v="11"/>
    <x v="2"/>
  </r>
  <r>
    <x v="2028"/>
    <x v="6"/>
    <x v="13"/>
    <n v="75.900000000000006"/>
    <n v="455.40000000000003"/>
    <d v="2025-03-16T00:00:00"/>
    <d v="2025-03-22T00:00:00"/>
    <x v="1"/>
    <x v="0"/>
    <n v="4"/>
    <x v="0"/>
    <x v="11"/>
    <x v="4"/>
    <x v="11"/>
    <x v="1"/>
  </r>
  <r>
    <x v="2029"/>
    <x v="6"/>
    <x v="2"/>
    <n v="78.7"/>
    <n v="236.10000000000002"/>
    <d v="2025-03-16T00:00:00"/>
    <d v="2025-03-20T00:00:00"/>
    <x v="2"/>
    <x v="2"/>
    <n v="3"/>
    <x v="0"/>
    <x v="11"/>
    <x v="5"/>
    <x v="11"/>
    <x v="2"/>
  </r>
  <r>
    <x v="2030"/>
    <x v="1"/>
    <x v="0"/>
    <n v="66.3"/>
    <n v="66.3"/>
    <d v="2025-03-16T00:00:00"/>
    <d v="2025-03-20T00:00:00"/>
    <x v="2"/>
    <x v="0"/>
    <n v="5"/>
    <x v="0"/>
    <x v="19"/>
    <x v="5"/>
    <x v="11"/>
    <x v="2"/>
  </r>
  <r>
    <x v="2031"/>
    <x v="8"/>
    <x v="1"/>
    <n v="33.6"/>
    <n v="67.2"/>
    <d v="2025-03-16T00:00:00"/>
    <d v="2025-03-16T00:00:00"/>
    <x v="1"/>
    <x v="0"/>
    <n v="3"/>
    <x v="0"/>
    <x v="19"/>
    <x v="7"/>
    <x v="11"/>
    <x v="1"/>
  </r>
  <r>
    <x v="2032"/>
    <x v="2"/>
    <x v="3"/>
    <n v="61.4"/>
    <n v="429.8"/>
    <d v="2025-03-16T00:00:00"/>
    <d v="2025-03-17T00:00:00"/>
    <x v="1"/>
    <x v="4"/>
    <n v="4"/>
    <x v="0"/>
    <x v="19"/>
    <x v="3"/>
    <x v="11"/>
    <x v="1"/>
  </r>
  <r>
    <x v="2033"/>
    <x v="8"/>
    <x v="1"/>
    <n v="17.5"/>
    <n v="35"/>
    <d v="2025-03-16T00:00:00"/>
    <d v="2025-03-19T00:00:00"/>
    <x v="2"/>
    <x v="0"/>
    <n v="4"/>
    <x v="0"/>
    <x v="21"/>
    <x v="2"/>
    <x v="11"/>
    <x v="2"/>
  </r>
  <r>
    <x v="2034"/>
    <x v="8"/>
    <x v="1"/>
    <n v="32.5"/>
    <n v="65"/>
    <d v="2025-03-16T00:00:00"/>
    <d v="2025-03-19T00:00:00"/>
    <x v="2"/>
    <x v="1"/>
    <n v="4"/>
    <x v="0"/>
    <x v="21"/>
    <x v="2"/>
    <x v="11"/>
    <x v="2"/>
  </r>
  <r>
    <x v="2035"/>
    <x v="4"/>
    <x v="0"/>
    <n v="34.6"/>
    <n v="34.6"/>
    <d v="2025-03-16T00:00:00"/>
    <d v="2025-03-17T00:00:00"/>
    <x v="2"/>
    <x v="4"/>
    <n v="4"/>
    <x v="0"/>
    <x v="21"/>
    <x v="3"/>
    <x v="11"/>
    <x v="2"/>
  </r>
  <r>
    <x v="2036"/>
    <x v="2"/>
    <x v="0"/>
    <n v="75.900000000000006"/>
    <n v="75.900000000000006"/>
    <d v="2025-03-16T00:00:00"/>
    <d v="2025-03-16T00:00:00"/>
    <x v="1"/>
    <x v="1"/>
    <n v="5"/>
    <x v="0"/>
    <x v="21"/>
    <x v="7"/>
    <x v="11"/>
    <x v="1"/>
  </r>
  <r>
    <x v="2037"/>
    <x v="1"/>
    <x v="2"/>
    <n v="42.1"/>
    <n v="126.30000000000001"/>
    <d v="2025-03-16T00:00:00"/>
    <d v="2025-03-19T00:00:00"/>
    <x v="1"/>
    <x v="1"/>
    <n v="3"/>
    <x v="0"/>
    <x v="21"/>
    <x v="2"/>
    <x v="11"/>
    <x v="1"/>
  </r>
  <r>
    <x v="2038"/>
    <x v="7"/>
    <x v="2"/>
    <n v="65.3"/>
    <n v="195.89999999999998"/>
    <d v="2025-03-16T00:00:00"/>
    <d v="2025-03-23T00:00:00"/>
    <x v="1"/>
    <x v="0"/>
    <n v="4"/>
    <x v="0"/>
    <x v="1"/>
    <x v="6"/>
    <x v="11"/>
    <x v="1"/>
  </r>
  <r>
    <x v="2039"/>
    <x v="15"/>
    <x v="0"/>
    <n v="20.6"/>
    <n v="20.6"/>
    <d v="2025-03-16T00:00:00"/>
    <d v="2025-03-19T00:00:00"/>
    <x v="1"/>
    <x v="3"/>
    <n v="4"/>
    <x v="0"/>
    <x v="42"/>
    <x v="2"/>
    <x v="11"/>
    <x v="1"/>
  </r>
  <r>
    <x v="2040"/>
    <x v="8"/>
    <x v="3"/>
    <n v="16.5"/>
    <n v="115.5"/>
    <d v="2025-03-16T00:00:00"/>
    <d v="2025-03-17T00:00:00"/>
    <x v="1"/>
    <x v="1"/>
    <n v="3"/>
    <x v="0"/>
    <x v="2"/>
    <x v="3"/>
    <x v="11"/>
    <x v="1"/>
  </r>
  <r>
    <x v="2041"/>
    <x v="16"/>
    <x v="7"/>
    <n v="36.200000000000003"/>
    <n v="362"/>
    <d v="2025-03-16T00:00:00"/>
    <d v="2025-03-18T00:00:00"/>
    <x v="1"/>
    <x v="0"/>
    <n v="5"/>
    <x v="0"/>
    <x v="2"/>
    <x v="1"/>
    <x v="11"/>
    <x v="1"/>
  </r>
  <r>
    <x v="2042"/>
    <x v="6"/>
    <x v="0"/>
    <n v="53.2"/>
    <n v="53.2"/>
    <d v="2025-03-16T00:00:00"/>
    <d v="2025-03-17T00:00:00"/>
    <x v="2"/>
    <x v="0"/>
    <n v="3"/>
    <x v="0"/>
    <x v="22"/>
    <x v="3"/>
    <x v="11"/>
    <x v="2"/>
  </r>
  <r>
    <x v="2043"/>
    <x v="2"/>
    <x v="21"/>
    <n v="176"/>
    <n v="2464"/>
    <d v="2025-03-16T00:00:00"/>
    <d v="2025-03-17T00:00:00"/>
    <x v="2"/>
    <x v="0"/>
    <n v="3"/>
    <x v="0"/>
    <x v="3"/>
    <x v="3"/>
    <x v="11"/>
    <x v="2"/>
  </r>
  <r>
    <x v="2044"/>
    <x v="1"/>
    <x v="0"/>
    <n v="52.4"/>
    <n v="52.4"/>
    <d v="2025-03-16T00:00:00"/>
    <d v="2025-03-17T00:00:00"/>
    <x v="1"/>
    <x v="1"/>
    <n v="4"/>
    <x v="0"/>
    <x v="3"/>
    <x v="3"/>
    <x v="11"/>
    <x v="1"/>
  </r>
  <r>
    <x v="2045"/>
    <x v="10"/>
    <x v="2"/>
    <n v="48.2"/>
    <n v="144.60000000000002"/>
    <d v="2025-03-16T00:00:00"/>
    <d v="2025-03-17T00:00:00"/>
    <x v="2"/>
    <x v="1"/>
    <n v="5"/>
    <x v="0"/>
    <x v="3"/>
    <x v="3"/>
    <x v="11"/>
    <x v="2"/>
  </r>
  <r>
    <x v="2046"/>
    <x v="15"/>
    <x v="0"/>
    <n v="51.6"/>
    <n v="51.6"/>
    <d v="2025-03-16T00:00:00"/>
    <d v="2025-03-20T00:00:00"/>
    <x v="2"/>
    <x v="2"/>
    <n v="3"/>
    <x v="0"/>
    <x v="3"/>
    <x v="5"/>
    <x v="11"/>
    <x v="2"/>
  </r>
  <r>
    <x v="2047"/>
    <x v="0"/>
    <x v="12"/>
    <n v="33.700000000000003"/>
    <n v="134.80000000000001"/>
    <d v="2025-03-17T00:00:00"/>
    <d v="2025-03-18T00:00:00"/>
    <x v="1"/>
    <x v="0"/>
    <n v="4"/>
    <x v="0"/>
    <x v="3"/>
    <x v="3"/>
    <x v="11"/>
    <x v="1"/>
  </r>
  <r>
    <x v="2048"/>
    <x v="4"/>
    <x v="7"/>
    <n v="36.299999999999997"/>
    <n v="363"/>
    <d v="2025-03-17T00:00:00"/>
    <d v="2025-03-19T00:00:00"/>
    <x v="2"/>
    <x v="4"/>
    <n v="3"/>
    <x v="0"/>
    <x v="3"/>
    <x v="1"/>
    <x v="11"/>
    <x v="2"/>
  </r>
  <r>
    <x v="2049"/>
    <x v="8"/>
    <x v="0"/>
    <n v="23.4"/>
    <n v="23.4"/>
    <d v="2025-03-17T00:00:00"/>
    <d v="2025-03-22T00:00:00"/>
    <x v="2"/>
    <x v="1"/>
    <n v="5"/>
    <x v="0"/>
    <x v="3"/>
    <x v="0"/>
    <x v="11"/>
    <x v="2"/>
  </r>
  <r>
    <x v="2050"/>
    <x v="15"/>
    <x v="8"/>
    <n v="56.6"/>
    <n v="452.8"/>
    <d v="2025-03-17T00:00:00"/>
    <d v="2025-03-19T00:00:00"/>
    <x v="2"/>
    <x v="1"/>
    <n v="4"/>
    <x v="0"/>
    <x v="3"/>
    <x v="1"/>
    <x v="11"/>
    <x v="2"/>
  </r>
  <r>
    <x v="2051"/>
    <x v="15"/>
    <x v="1"/>
    <n v="26.8"/>
    <n v="53.6"/>
    <d v="2025-03-17T00:00:00"/>
    <d v="2025-03-18T00:00:00"/>
    <x v="1"/>
    <x v="0"/>
    <n v="4"/>
    <x v="0"/>
    <x v="4"/>
    <x v="3"/>
    <x v="11"/>
    <x v="1"/>
  </r>
  <r>
    <x v="2052"/>
    <x v="0"/>
    <x v="2"/>
    <n v="11.3"/>
    <n v="33.900000000000006"/>
    <d v="2025-03-17T00:00:00"/>
    <d v="2025-03-19T00:00:00"/>
    <x v="1"/>
    <x v="2"/>
    <n v="4"/>
    <x v="0"/>
    <x v="25"/>
    <x v="1"/>
    <x v="11"/>
    <x v="1"/>
  </r>
  <r>
    <x v="2053"/>
    <x v="6"/>
    <x v="2"/>
    <n v="60.1"/>
    <n v="180.3"/>
    <d v="2025-03-17T00:00:00"/>
    <d v="2025-03-20T00:00:00"/>
    <x v="2"/>
    <x v="0"/>
    <n v="4"/>
    <x v="0"/>
    <x v="7"/>
    <x v="2"/>
    <x v="11"/>
    <x v="2"/>
  </r>
  <r>
    <x v="2054"/>
    <x v="0"/>
    <x v="5"/>
    <n v="27.7"/>
    <n v="304.7"/>
    <d v="2025-03-17T00:00:00"/>
    <d v="2025-03-22T00:00:00"/>
    <x v="2"/>
    <x v="0"/>
    <n v="4"/>
    <x v="0"/>
    <x v="8"/>
    <x v="0"/>
    <x v="11"/>
    <x v="2"/>
  </r>
  <r>
    <x v="2055"/>
    <x v="15"/>
    <x v="0"/>
    <n v="71.400000000000006"/>
    <n v="71.400000000000006"/>
    <d v="2025-03-17T00:00:00"/>
    <d v="2025-03-20T00:00:00"/>
    <x v="1"/>
    <x v="0"/>
    <n v="5"/>
    <x v="0"/>
    <x v="8"/>
    <x v="2"/>
    <x v="11"/>
    <x v="1"/>
  </r>
  <r>
    <x v="2056"/>
    <x v="2"/>
    <x v="1"/>
    <n v="66.7"/>
    <n v="133.4"/>
    <d v="2025-03-17T00:00:00"/>
    <d v="2025-03-18T00:00:00"/>
    <x v="2"/>
    <x v="0"/>
    <n v="5"/>
    <x v="0"/>
    <x v="8"/>
    <x v="3"/>
    <x v="11"/>
    <x v="2"/>
  </r>
  <r>
    <x v="2057"/>
    <x v="13"/>
    <x v="9"/>
    <n v="39.1"/>
    <n v="195.5"/>
    <d v="2025-03-17T00:00:00"/>
    <d v="2025-03-18T00:00:00"/>
    <x v="2"/>
    <x v="0"/>
    <n v="4"/>
    <x v="0"/>
    <x v="8"/>
    <x v="3"/>
    <x v="11"/>
    <x v="2"/>
  </r>
  <r>
    <x v="2058"/>
    <x v="8"/>
    <x v="12"/>
    <n v="24.9"/>
    <n v="99.6"/>
    <d v="2025-03-17T00:00:00"/>
    <d v="2025-03-22T00:00:00"/>
    <x v="1"/>
    <x v="1"/>
    <n v="5"/>
    <x v="0"/>
    <x v="8"/>
    <x v="0"/>
    <x v="11"/>
    <x v="1"/>
  </r>
  <r>
    <x v="2059"/>
    <x v="5"/>
    <x v="9"/>
    <n v="29.2"/>
    <n v="146"/>
    <d v="2025-03-17T00:00:00"/>
    <d v="2025-03-18T00:00:00"/>
    <x v="1"/>
    <x v="0"/>
    <n v="5"/>
    <x v="0"/>
    <x v="17"/>
    <x v="3"/>
    <x v="11"/>
    <x v="1"/>
  </r>
  <r>
    <x v="2060"/>
    <x v="13"/>
    <x v="21"/>
    <n v="28.3"/>
    <n v="396.2"/>
    <d v="2025-03-17T00:00:00"/>
    <d v="2025-03-19T00:00:00"/>
    <x v="2"/>
    <x v="1"/>
    <n v="4"/>
    <x v="0"/>
    <x v="11"/>
    <x v="1"/>
    <x v="11"/>
    <x v="2"/>
  </r>
  <r>
    <x v="2061"/>
    <x v="9"/>
    <x v="2"/>
    <n v="37.799999999999997"/>
    <n v="113.39999999999999"/>
    <d v="2025-03-17T00:00:00"/>
    <d v="2025-03-18T00:00:00"/>
    <x v="2"/>
    <x v="0"/>
    <n v="3"/>
    <x v="0"/>
    <x v="11"/>
    <x v="3"/>
    <x v="11"/>
    <x v="2"/>
  </r>
  <r>
    <x v="2062"/>
    <x v="14"/>
    <x v="3"/>
    <n v="28.1"/>
    <n v="196.70000000000002"/>
    <d v="2025-03-17T00:00:00"/>
    <d v="2025-03-23T00:00:00"/>
    <x v="2"/>
    <x v="2"/>
    <n v="4"/>
    <x v="0"/>
    <x v="11"/>
    <x v="4"/>
    <x v="11"/>
    <x v="2"/>
  </r>
  <r>
    <x v="2063"/>
    <x v="1"/>
    <x v="2"/>
    <n v="59.7"/>
    <n v="179.10000000000002"/>
    <d v="2025-03-17T00:00:00"/>
    <d v="2025-03-19T00:00:00"/>
    <x v="2"/>
    <x v="2"/>
    <n v="4"/>
    <x v="0"/>
    <x v="11"/>
    <x v="1"/>
    <x v="11"/>
    <x v="2"/>
  </r>
  <r>
    <x v="2064"/>
    <x v="16"/>
    <x v="0"/>
    <n v="71.900000000000006"/>
    <n v="71.900000000000006"/>
    <d v="2025-03-17T00:00:00"/>
    <d v="2025-03-18T00:00:00"/>
    <x v="1"/>
    <x v="1"/>
    <n v="3"/>
    <x v="0"/>
    <x v="11"/>
    <x v="3"/>
    <x v="11"/>
    <x v="1"/>
  </r>
  <r>
    <x v="2065"/>
    <x v="1"/>
    <x v="1"/>
    <n v="56.9"/>
    <n v="113.8"/>
    <d v="2025-03-17T00:00:00"/>
    <d v="2025-03-18T00:00:00"/>
    <x v="1"/>
    <x v="2"/>
    <n v="4"/>
    <x v="0"/>
    <x v="13"/>
    <x v="3"/>
    <x v="11"/>
    <x v="1"/>
  </r>
  <r>
    <x v="2066"/>
    <x v="8"/>
    <x v="1"/>
    <n v="15.8"/>
    <n v="31.6"/>
    <d v="2025-03-17T00:00:00"/>
    <d v="2025-03-20T00:00:00"/>
    <x v="2"/>
    <x v="2"/>
    <n v="3"/>
    <x v="0"/>
    <x v="1"/>
    <x v="2"/>
    <x v="11"/>
    <x v="2"/>
  </r>
  <r>
    <x v="2067"/>
    <x v="11"/>
    <x v="12"/>
    <n v="61.7"/>
    <n v="246.8"/>
    <d v="2025-03-17T00:00:00"/>
    <d v="2025-03-19T00:00:00"/>
    <x v="2"/>
    <x v="2"/>
    <n v="4"/>
    <x v="0"/>
    <x v="22"/>
    <x v="1"/>
    <x v="11"/>
    <x v="2"/>
  </r>
  <r>
    <x v="2068"/>
    <x v="2"/>
    <x v="7"/>
    <n v="105.2"/>
    <n v="1052"/>
    <d v="2025-03-17T00:00:00"/>
    <d v="2025-03-19T00:00:00"/>
    <x v="1"/>
    <x v="1"/>
    <n v="2"/>
    <x v="0"/>
    <x v="3"/>
    <x v="1"/>
    <x v="11"/>
    <x v="1"/>
  </r>
  <r>
    <x v="2069"/>
    <x v="0"/>
    <x v="1"/>
    <n v="17"/>
    <n v="34"/>
    <d v="2025-03-17T00:00:00"/>
    <d v="2025-03-19T00:00:00"/>
    <x v="2"/>
    <x v="2"/>
    <n v="4"/>
    <x v="0"/>
    <x v="3"/>
    <x v="1"/>
    <x v="11"/>
    <x v="2"/>
  </r>
  <r>
    <x v="2070"/>
    <x v="6"/>
    <x v="2"/>
    <n v="84.1"/>
    <n v="252.29999999999998"/>
    <d v="2025-03-17T00:00:00"/>
    <d v="2025-03-18T00:00:00"/>
    <x v="1"/>
    <x v="2"/>
    <n v="4"/>
    <x v="0"/>
    <x v="3"/>
    <x v="3"/>
    <x v="11"/>
    <x v="1"/>
  </r>
  <r>
    <x v="2071"/>
    <x v="3"/>
    <x v="12"/>
    <n v="59.5"/>
    <n v="238"/>
    <d v="2025-03-17T00:00:00"/>
    <d v="2025-03-22T00:00:00"/>
    <x v="1"/>
    <x v="0"/>
    <n v="5"/>
    <x v="0"/>
    <x v="3"/>
    <x v="0"/>
    <x v="11"/>
    <x v="1"/>
  </r>
  <r>
    <x v="2072"/>
    <x v="8"/>
    <x v="1"/>
    <n v="57.5"/>
    <n v="115"/>
    <d v="2025-03-17T00:00:00"/>
    <d v="2025-03-19T00:00:00"/>
    <x v="1"/>
    <x v="1"/>
    <n v="5"/>
    <x v="0"/>
    <x v="3"/>
    <x v="1"/>
    <x v="11"/>
    <x v="1"/>
  </r>
  <r>
    <x v="2073"/>
    <x v="8"/>
    <x v="0"/>
    <n v="34.299999999999997"/>
    <n v="34.299999999999997"/>
    <d v="2025-03-17T00:00:00"/>
    <d v="2025-03-18T00:00:00"/>
    <x v="2"/>
    <x v="4"/>
    <n v="5"/>
    <x v="0"/>
    <x v="3"/>
    <x v="3"/>
    <x v="11"/>
    <x v="2"/>
  </r>
  <r>
    <x v="2074"/>
    <x v="5"/>
    <x v="1"/>
    <n v="27.8"/>
    <n v="55.6"/>
    <d v="2025-03-18T00:00:00"/>
    <d v="2025-03-20T00:00:00"/>
    <x v="2"/>
    <x v="0"/>
    <n v="4"/>
    <x v="0"/>
    <x v="3"/>
    <x v="1"/>
    <x v="11"/>
    <x v="2"/>
  </r>
  <r>
    <x v="2075"/>
    <x v="12"/>
    <x v="1"/>
    <n v="85"/>
    <n v="170"/>
    <d v="2025-03-18T00:00:00"/>
    <d v="2025-03-18T00:00:00"/>
    <x v="1"/>
    <x v="2"/>
    <n v="5"/>
    <x v="0"/>
    <x v="3"/>
    <x v="7"/>
    <x v="11"/>
    <x v="1"/>
  </r>
  <r>
    <x v="2076"/>
    <x v="6"/>
    <x v="1"/>
    <n v="95"/>
    <n v="190"/>
    <d v="2025-03-18T00:00:00"/>
    <d v="2025-03-20T00:00:00"/>
    <x v="2"/>
    <x v="0"/>
    <n v="4"/>
    <x v="0"/>
    <x v="3"/>
    <x v="1"/>
    <x v="11"/>
    <x v="2"/>
  </r>
  <r>
    <x v="2077"/>
    <x v="16"/>
    <x v="1"/>
    <n v="32"/>
    <n v="64"/>
    <d v="2025-03-18T00:00:00"/>
    <d v="2025-03-20T00:00:00"/>
    <x v="1"/>
    <x v="0"/>
    <n v="3"/>
    <x v="0"/>
    <x v="3"/>
    <x v="1"/>
    <x v="11"/>
    <x v="1"/>
  </r>
  <r>
    <x v="2078"/>
    <x v="2"/>
    <x v="1"/>
    <n v="65.2"/>
    <n v="130.4"/>
    <d v="2025-03-18T00:00:00"/>
    <d v="2025-03-19T00:00:00"/>
    <x v="2"/>
    <x v="1"/>
    <n v="4"/>
    <x v="0"/>
    <x v="3"/>
    <x v="3"/>
    <x v="11"/>
    <x v="2"/>
  </r>
  <r>
    <x v="2079"/>
    <x v="17"/>
    <x v="12"/>
    <n v="22"/>
    <n v="88"/>
    <d v="2025-03-18T00:00:00"/>
    <d v="2025-03-19T00:00:00"/>
    <x v="1"/>
    <x v="1"/>
    <n v="5"/>
    <x v="0"/>
    <x v="3"/>
    <x v="3"/>
    <x v="11"/>
    <x v="1"/>
  </r>
  <r>
    <x v="2080"/>
    <x v="15"/>
    <x v="2"/>
    <n v="69.400000000000006"/>
    <n v="208.20000000000002"/>
    <d v="2025-03-18T00:00:00"/>
    <d v="2025-03-21T00:00:00"/>
    <x v="1"/>
    <x v="1"/>
    <n v="5"/>
    <x v="0"/>
    <x v="3"/>
    <x v="2"/>
    <x v="11"/>
    <x v="1"/>
  </r>
  <r>
    <x v="2081"/>
    <x v="10"/>
    <x v="13"/>
    <n v="31.5"/>
    <n v="189"/>
    <d v="2025-03-18T00:00:00"/>
    <d v="2025-03-20T00:00:00"/>
    <x v="2"/>
    <x v="0"/>
    <n v="5"/>
    <x v="0"/>
    <x v="3"/>
    <x v="1"/>
    <x v="11"/>
    <x v="2"/>
  </r>
  <r>
    <x v="2082"/>
    <x v="6"/>
    <x v="0"/>
    <n v="45.8"/>
    <n v="45.8"/>
    <d v="2025-03-18T00:00:00"/>
    <d v="2025-03-22T00:00:00"/>
    <x v="3"/>
    <x v="0"/>
    <n v="4"/>
    <x v="0"/>
    <x v="3"/>
    <x v="5"/>
    <x v="11"/>
    <x v="3"/>
  </r>
  <r>
    <x v="2083"/>
    <x v="19"/>
    <x v="12"/>
    <n v="12.8"/>
    <n v="51.2"/>
    <d v="2025-03-18T00:00:00"/>
    <d v="2025-03-25T00:00:00"/>
    <x v="2"/>
    <x v="1"/>
    <n v="3"/>
    <x v="0"/>
    <x v="5"/>
    <x v="6"/>
    <x v="11"/>
    <x v="2"/>
  </r>
  <r>
    <x v="2084"/>
    <x v="5"/>
    <x v="2"/>
    <n v="115.3"/>
    <n v="345.9"/>
    <d v="2025-03-18T00:00:00"/>
    <d v="2025-03-19T00:00:00"/>
    <x v="2"/>
    <x v="2"/>
    <n v="5"/>
    <x v="0"/>
    <x v="6"/>
    <x v="3"/>
    <x v="11"/>
    <x v="2"/>
  </r>
  <r>
    <x v="2085"/>
    <x v="5"/>
    <x v="1"/>
    <n v="85"/>
    <n v="170"/>
    <d v="2025-03-18T00:00:00"/>
    <d v="2025-03-20T00:00:00"/>
    <x v="2"/>
    <x v="1"/>
    <n v="4"/>
    <x v="0"/>
    <x v="7"/>
    <x v="1"/>
    <x v="11"/>
    <x v="2"/>
  </r>
  <r>
    <x v="2086"/>
    <x v="8"/>
    <x v="2"/>
    <n v="56.6"/>
    <n v="169.8"/>
    <d v="2025-03-18T00:00:00"/>
    <d v="2025-03-19T00:00:00"/>
    <x v="2"/>
    <x v="1"/>
    <n v="5"/>
    <x v="0"/>
    <x v="7"/>
    <x v="3"/>
    <x v="11"/>
    <x v="2"/>
  </r>
  <r>
    <x v="2087"/>
    <x v="15"/>
    <x v="6"/>
    <n v="46.3"/>
    <n v="1250.0999999999999"/>
    <d v="2025-03-18T00:00:00"/>
    <d v="2025-03-21T00:00:00"/>
    <x v="1"/>
    <x v="0"/>
    <n v="4"/>
    <x v="0"/>
    <x v="7"/>
    <x v="2"/>
    <x v="11"/>
    <x v="1"/>
  </r>
  <r>
    <x v="2088"/>
    <x v="14"/>
    <x v="12"/>
    <n v="23"/>
    <n v="92"/>
    <d v="2025-03-18T00:00:00"/>
    <d v="2025-03-22T00:00:00"/>
    <x v="1"/>
    <x v="3"/>
    <n v="5"/>
    <x v="0"/>
    <x v="7"/>
    <x v="5"/>
    <x v="11"/>
    <x v="1"/>
  </r>
  <r>
    <x v="2089"/>
    <x v="8"/>
    <x v="13"/>
    <n v="42.1"/>
    <n v="252.60000000000002"/>
    <d v="2025-03-18T00:00:00"/>
    <d v="2025-03-20T00:00:00"/>
    <x v="1"/>
    <x v="4"/>
    <n v="4"/>
    <x v="0"/>
    <x v="8"/>
    <x v="1"/>
    <x v="11"/>
    <x v="1"/>
  </r>
  <r>
    <x v="2090"/>
    <x v="5"/>
    <x v="3"/>
    <n v="57.4"/>
    <n v="401.8"/>
    <d v="2025-03-18T00:00:00"/>
    <d v="2025-03-22T00:00:00"/>
    <x v="2"/>
    <x v="1"/>
    <n v="2"/>
    <x v="0"/>
    <x v="8"/>
    <x v="5"/>
    <x v="11"/>
    <x v="2"/>
  </r>
  <r>
    <x v="2091"/>
    <x v="0"/>
    <x v="13"/>
    <n v="13.2"/>
    <n v="79.199999999999989"/>
    <d v="2025-03-18T00:00:00"/>
    <d v="2025-03-22T00:00:00"/>
    <x v="1"/>
    <x v="2"/>
    <n v="4"/>
    <x v="0"/>
    <x v="8"/>
    <x v="5"/>
    <x v="11"/>
    <x v="1"/>
  </r>
  <r>
    <x v="2092"/>
    <x v="6"/>
    <x v="2"/>
    <n v="52.3"/>
    <n v="156.89999999999998"/>
    <d v="2025-03-18T00:00:00"/>
    <d v="2025-03-19T00:00:00"/>
    <x v="1"/>
    <x v="1"/>
    <n v="4"/>
    <x v="0"/>
    <x v="8"/>
    <x v="3"/>
    <x v="11"/>
    <x v="1"/>
  </r>
  <r>
    <x v="2093"/>
    <x v="8"/>
    <x v="1"/>
    <n v="15.7"/>
    <n v="31.4"/>
    <d v="2025-03-18T00:00:00"/>
    <d v="2025-03-21T00:00:00"/>
    <x v="1"/>
    <x v="1"/>
    <n v="5"/>
    <x v="0"/>
    <x v="8"/>
    <x v="2"/>
    <x v="11"/>
    <x v="1"/>
  </r>
  <r>
    <x v="2094"/>
    <x v="7"/>
    <x v="2"/>
    <n v="35"/>
    <n v="105"/>
    <d v="2025-03-18T00:00:00"/>
    <d v="2025-03-21T00:00:00"/>
    <x v="2"/>
    <x v="1"/>
    <n v="5"/>
    <x v="0"/>
    <x v="9"/>
    <x v="2"/>
    <x v="11"/>
    <x v="2"/>
  </r>
  <r>
    <x v="2095"/>
    <x v="4"/>
    <x v="2"/>
    <n v="26.6"/>
    <n v="79.800000000000011"/>
    <d v="2025-03-18T00:00:00"/>
    <d v="2025-03-18T00:00:00"/>
    <x v="1"/>
    <x v="1"/>
    <n v="5"/>
    <x v="0"/>
    <x v="11"/>
    <x v="7"/>
    <x v="11"/>
    <x v="1"/>
  </r>
  <r>
    <x v="2096"/>
    <x v="4"/>
    <x v="8"/>
    <n v="47.9"/>
    <n v="383.2"/>
    <d v="2025-03-19T00:00:00"/>
    <d v="2025-03-20T00:00:00"/>
    <x v="2"/>
    <x v="3"/>
    <n v="5"/>
    <x v="0"/>
    <x v="20"/>
    <x v="3"/>
    <x v="11"/>
    <x v="2"/>
  </r>
  <r>
    <x v="2097"/>
    <x v="5"/>
    <x v="0"/>
    <n v="80.099999999999994"/>
    <n v="80.099999999999994"/>
    <d v="2025-03-19T00:00:00"/>
    <d v="2025-03-20T00:00:00"/>
    <x v="1"/>
    <x v="2"/>
    <n v="4"/>
    <x v="0"/>
    <x v="21"/>
    <x v="3"/>
    <x v="11"/>
    <x v="1"/>
  </r>
  <r>
    <x v="2098"/>
    <x v="6"/>
    <x v="9"/>
    <n v="50.4"/>
    <n v="252"/>
    <d v="2025-03-19T00:00:00"/>
    <d v="2025-03-20T00:00:00"/>
    <x v="1"/>
    <x v="1"/>
    <n v="5"/>
    <x v="0"/>
    <x v="21"/>
    <x v="3"/>
    <x v="11"/>
    <x v="1"/>
  </r>
  <r>
    <x v="2099"/>
    <x v="10"/>
    <x v="3"/>
    <n v="43.3"/>
    <n v="303.09999999999997"/>
    <d v="2025-03-19T00:00:00"/>
    <d v="2025-03-20T00:00:00"/>
    <x v="1"/>
    <x v="2"/>
    <n v="4"/>
    <x v="0"/>
    <x v="21"/>
    <x v="3"/>
    <x v="11"/>
    <x v="1"/>
  </r>
  <r>
    <x v="2100"/>
    <x v="10"/>
    <x v="12"/>
    <n v="57.5"/>
    <n v="230"/>
    <d v="2025-03-19T00:00:00"/>
    <d v="2025-03-20T00:00:00"/>
    <x v="2"/>
    <x v="1"/>
    <n v="5"/>
    <x v="0"/>
    <x v="1"/>
    <x v="3"/>
    <x v="11"/>
    <x v="2"/>
  </r>
  <r>
    <x v="2101"/>
    <x v="9"/>
    <x v="15"/>
    <n v="24.8"/>
    <n v="322.40000000000003"/>
    <d v="2025-03-19T00:00:00"/>
    <d v="2025-03-20T00:00:00"/>
    <x v="1"/>
    <x v="0"/>
    <n v="4"/>
    <x v="0"/>
    <x v="57"/>
    <x v="3"/>
    <x v="11"/>
    <x v="1"/>
  </r>
  <r>
    <x v="2102"/>
    <x v="2"/>
    <x v="11"/>
    <n v="85.7"/>
    <n v="771.30000000000007"/>
    <d v="2025-03-19T00:00:00"/>
    <d v="2025-03-20T00:00:00"/>
    <x v="2"/>
    <x v="0"/>
    <n v="4"/>
    <x v="0"/>
    <x v="42"/>
    <x v="3"/>
    <x v="11"/>
    <x v="2"/>
  </r>
  <r>
    <x v="2103"/>
    <x v="7"/>
    <x v="0"/>
    <n v="47.1"/>
    <n v="47.1"/>
    <d v="2025-03-19T00:00:00"/>
    <d v="2025-03-21T00:00:00"/>
    <x v="2"/>
    <x v="0"/>
    <n v="4"/>
    <x v="0"/>
    <x v="2"/>
    <x v="1"/>
    <x v="11"/>
    <x v="2"/>
  </r>
  <r>
    <x v="2104"/>
    <x v="5"/>
    <x v="7"/>
    <n v="83.2"/>
    <n v="832"/>
    <d v="2025-03-19T00:00:00"/>
    <d v="2025-03-23T00:00:00"/>
    <x v="2"/>
    <x v="0"/>
    <n v="4"/>
    <x v="0"/>
    <x v="33"/>
    <x v="5"/>
    <x v="11"/>
    <x v="2"/>
  </r>
  <r>
    <x v="2105"/>
    <x v="2"/>
    <x v="2"/>
    <n v="157"/>
    <n v="471"/>
    <d v="2025-03-19T00:00:00"/>
    <d v="2025-03-21T00:00:00"/>
    <x v="2"/>
    <x v="0"/>
    <n v="5"/>
    <x v="0"/>
    <x v="22"/>
    <x v="1"/>
    <x v="11"/>
    <x v="2"/>
  </r>
  <r>
    <x v="2106"/>
    <x v="16"/>
    <x v="12"/>
    <n v="33.700000000000003"/>
    <n v="134.80000000000001"/>
    <d v="2025-03-19T00:00:00"/>
    <d v="2025-03-20T00:00:00"/>
    <x v="1"/>
    <x v="2"/>
    <n v="5"/>
    <x v="0"/>
    <x v="22"/>
    <x v="3"/>
    <x v="11"/>
    <x v="1"/>
  </r>
  <r>
    <x v="2107"/>
    <x v="2"/>
    <x v="2"/>
    <n v="60.8"/>
    <n v="182.39999999999998"/>
    <d v="2025-03-19T00:00:00"/>
    <d v="2025-03-23T00:00:00"/>
    <x v="2"/>
    <x v="1"/>
    <n v="3"/>
    <x v="0"/>
    <x v="3"/>
    <x v="5"/>
    <x v="11"/>
    <x v="2"/>
  </r>
  <r>
    <x v="2108"/>
    <x v="7"/>
    <x v="0"/>
    <n v="57.6"/>
    <n v="57.6"/>
    <d v="2025-03-19T00:00:00"/>
    <d v="2025-03-20T00:00:00"/>
    <x v="1"/>
    <x v="1"/>
    <n v="2"/>
    <x v="0"/>
    <x v="3"/>
    <x v="3"/>
    <x v="11"/>
    <x v="1"/>
  </r>
  <r>
    <x v="2109"/>
    <x v="10"/>
    <x v="0"/>
    <n v="32"/>
    <n v="32"/>
    <d v="2025-03-19T00:00:00"/>
    <d v="2025-03-21T00:00:00"/>
    <x v="1"/>
    <x v="0"/>
    <n v="4"/>
    <x v="0"/>
    <x v="3"/>
    <x v="1"/>
    <x v="11"/>
    <x v="1"/>
  </r>
  <r>
    <x v="2110"/>
    <x v="10"/>
    <x v="12"/>
    <n v="23.5"/>
    <n v="94"/>
    <d v="2025-03-19T00:00:00"/>
    <d v="2025-03-20T00:00:00"/>
    <x v="2"/>
    <x v="0"/>
    <n v="5"/>
    <x v="0"/>
    <x v="3"/>
    <x v="3"/>
    <x v="11"/>
    <x v="2"/>
  </r>
  <r>
    <x v="2111"/>
    <x v="12"/>
    <x v="2"/>
    <n v="44.8"/>
    <n v="134.39999999999998"/>
    <d v="2025-03-19T00:00:00"/>
    <d v="2025-03-20T00:00:00"/>
    <x v="3"/>
    <x v="4"/>
    <n v="4"/>
    <x v="0"/>
    <x v="3"/>
    <x v="3"/>
    <x v="11"/>
    <x v="3"/>
  </r>
  <r>
    <x v="2112"/>
    <x v="0"/>
    <x v="8"/>
    <n v="11.7"/>
    <n v="93.6"/>
    <d v="2025-03-19T00:00:00"/>
    <d v="2025-03-20T00:00:00"/>
    <x v="1"/>
    <x v="2"/>
    <n v="5"/>
    <x v="0"/>
    <x v="3"/>
    <x v="3"/>
    <x v="11"/>
    <x v="1"/>
  </r>
  <r>
    <x v="2113"/>
    <x v="7"/>
    <x v="1"/>
    <n v="38.799999999999997"/>
    <n v="77.599999999999994"/>
    <d v="2025-03-19T00:00:00"/>
    <d v="2025-03-22T00:00:00"/>
    <x v="2"/>
    <x v="2"/>
    <n v="4"/>
    <x v="0"/>
    <x v="3"/>
    <x v="2"/>
    <x v="11"/>
    <x v="2"/>
  </r>
  <r>
    <x v="2114"/>
    <x v="5"/>
    <x v="21"/>
    <n v="86.9"/>
    <n v="1216.6000000000001"/>
    <d v="2025-03-19T00:00:00"/>
    <d v="2025-03-24T00:00:00"/>
    <x v="2"/>
    <x v="1"/>
    <n v="4"/>
    <x v="0"/>
    <x v="3"/>
    <x v="0"/>
    <x v="11"/>
    <x v="2"/>
  </r>
  <r>
    <x v="2115"/>
    <x v="8"/>
    <x v="0"/>
    <n v="18.3"/>
    <n v="18.3"/>
    <d v="2025-03-19T00:00:00"/>
    <d v="2025-03-20T00:00:00"/>
    <x v="2"/>
    <x v="0"/>
    <n v="4"/>
    <x v="0"/>
    <x v="3"/>
    <x v="3"/>
    <x v="11"/>
    <x v="2"/>
  </r>
  <r>
    <x v="2116"/>
    <x v="5"/>
    <x v="0"/>
    <n v="47.5"/>
    <n v="47.5"/>
    <d v="2025-03-19T00:00:00"/>
    <d v="2025-03-23T00:00:00"/>
    <x v="1"/>
    <x v="4"/>
    <n v="5"/>
    <x v="0"/>
    <x v="3"/>
    <x v="5"/>
    <x v="11"/>
    <x v="1"/>
  </r>
  <r>
    <x v="2117"/>
    <x v="1"/>
    <x v="1"/>
    <n v="78.599999999999994"/>
    <n v="157.19999999999999"/>
    <d v="2025-03-19T00:00:00"/>
    <d v="2025-03-20T00:00:00"/>
    <x v="1"/>
    <x v="2"/>
    <n v="5"/>
    <x v="0"/>
    <x v="3"/>
    <x v="3"/>
    <x v="11"/>
    <x v="1"/>
  </r>
  <r>
    <x v="2118"/>
    <x v="6"/>
    <x v="12"/>
    <n v="87.3"/>
    <n v="349.2"/>
    <d v="2025-03-19T00:00:00"/>
    <d v="2025-03-20T00:00:00"/>
    <x v="1"/>
    <x v="0"/>
    <n v="4"/>
    <x v="0"/>
    <x v="3"/>
    <x v="3"/>
    <x v="11"/>
    <x v="1"/>
  </r>
  <r>
    <x v="2119"/>
    <x v="9"/>
    <x v="1"/>
    <n v="63.2"/>
    <n v="126.4"/>
    <d v="2025-03-19T00:00:00"/>
    <d v="2025-03-19T00:00:00"/>
    <x v="1"/>
    <x v="4"/>
    <n v="3"/>
    <x v="0"/>
    <x v="3"/>
    <x v="7"/>
    <x v="11"/>
    <x v="1"/>
  </r>
  <r>
    <x v="2120"/>
    <x v="5"/>
    <x v="9"/>
    <n v="33.700000000000003"/>
    <n v="168.5"/>
    <d v="2025-03-19T00:00:00"/>
    <d v="2025-03-20T00:00:00"/>
    <x v="2"/>
    <x v="0"/>
    <n v="4"/>
    <x v="0"/>
    <x v="3"/>
    <x v="3"/>
    <x v="11"/>
    <x v="2"/>
  </r>
  <r>
    <x v="2121"/>
    <x v="2"/>
    <x v="2"/>
    <n v="107.4"/>
    <n v="322.20000000000005"/>
    <d v="2025-03-19T00:00:00"/>
    <d v="2025-04-01T00:00:00"/>
    <x v="2"/>
    <x v="1"/>
    <n v="5"/>
    <x v="0"/>
    <x v="3"/>
    <x v="10"/>
    <x v="11"/>
    <x v="2"/>
  </r>
  <r>
    <x v="2122"/>
    <x v="4"/>
    <x v="12"/>
    <n v="22.2"/>
    <n v="88.8"/>
    <d v="2025-03-19T00:00:00"/>
    <d v="2025-03-20T00:00:00"/>
    <x v="0"/>
    <x v="1"/>
    <n v="5"/>
    <x v="0"/>
    <x v="24"/>
    <x v="3"/>
    <x v="11"/>
    <x v="0"/>
  </r>
  <r>
    <x v="2123"/>
    <x v="18"/>
    <x v="2"/>
    <n v="52.8"/>
    <n v="158.39999999999998"/>
    <d v="2025-03-19T00:00:00"/>
    <d v="2025-03-20T00:00:00"/>
    <x v="1"/>
    <x v="3"/>
    <n v="5"/>
    <x v="0"/>
    <x v="24"/>
    <x v="3"/>
    <x v="11"/>
    <x v="1"/>
  </r>
  <r>
    <x v="2124"/>
    <x v="8"/>
    <x v="2"/>
    <n v="41.5"/>
    <n v="124.5"/>
    <d v="2025-03-19T00:00:00"/>
    <d v="2025-03-22T00:00:00"/>
    <x v="2"/>
    <x v="0"/>
    <n v="4"/>
    <x v="0"/>
    <x v="25"/>
    <x v="2"/>
    <x v="11"/>
    <x v="2"/>
  </r>
  <r>
    <x v="2125"/>
    <x v="12"/>
    <x v="8"/>
    <n v="103.5"/>
    <n v="828"/>
    <d v="2025-03-19T00:00:00"/>
    <d v="2025-03-22T00:00:00"/>
    <x v="2"/>
    <x v="0"/>
    <n v="5"/>
    <x v="0"/>
    <x v="23"/>
    <x v="2"/>
    <x v="11"/>
    <x v="2"/>
  </r>
  <r>
    <x v="2126"/>
    <x v="4"/>
    <x v="21"/>
    <n v="37.5"/>
    <n v="525"/>
    <d v="2025-03-19T00:00:00"/>
    <d v="2025-03-19T00:00:00"/>
    <x v="2"/>
    <x v="1"/>
    <n v="5"/>
    <x v="0"/>
    <x v="6"/>
    <x v="7"/>
    <x v="11"/>
    <x v="2"/>
  </r>
  <r>
    <x v="2127"/>
    <x v="15"/>
    <x v="8"/>
    <n v="44.4"/>
    <n v="355.2"/>
    <d v="2025-03-19T00:00:00"/>
    <d v="2025-03-25T00:00:00"/>
    <x v="2"/>
    <x v="3"/>
    <n v="5"/>
    <x v="0"/>
    <x v="7"/>
    <x v="4"/>
    <x v="11"/>
    <x v="2"/>
  </r>
  <r>
    <x v="2128"/>
    <x v="8"/>
    <x v="2"/>
    <n v="26.2"/>
    <n v="78.599999999999994"/>
    <d v="2025-03-19T00:00:00"/>
    <d v="2025-03-20T00:00:00"/>
    <x v="1"/>
    <x v="0"/>
    <n v="4"/>
    <x v="0"/>
    <x v="8"/>
    <x v="3"/>
    <x v="11"/>
    <x v="1"/>
  </r>
  <r>
    <x v="2129"/>
    <x v="1"/>
    <x v="3"/>
    <n v="32.200000000000003"/>
    <n v="225.40000000000003"/>
    <d v="2025-03-19T00:00:00"/>
    <d v="2025-03-20T00:00:00"/>
    <x v="2"/>
    <x v="1"/>
    <n v="5"/>
    <x v="0"/>
    <x v="8"/>
    <x v="3"/>
    <x v="11"/>
    <x v="2"/>
  </r>
  <r>
    <x v="2130"/>
    <x v="8"/>
    <x v="0"/>
    <n v="17.399999999999999"/>
    <n v="17.399999999999999"/>
    <d v="2025-03-19T00:00:00"/>
    <d v="2025-03-23T00:00:00"/>
    <x v="0"/>
    <x v="2"/>
    <n v="3"/>
    <x v="0"/>
    <x v="8"/>
    <x v="5"/>
    <x v="11"/>
    <x v="0"/>
  </r>
  <r>
    <x v="2131"/>
    <x v="8"/>
    <x v="13"/>
    <n v="72.3"/>
    <n v="433.79999999999995"/>
    <d v="2025-03-19T00:00:00"/>
    <d v="2025-03-22T00:00:00"/>
    <x v="2"/>
    <x v="0"/>
    <n v="4"/>
    <x v="0"/>
    <x v="8"/>
    <x v="2"/>
    <x v="11"/>
    <x v="2"/>
  </r>
  <r>
    <x v="2132"/>
    <x v="8"/>
    <x v="5"/>
    <n v="24.3"/>
    <n v="267.3"/>
    <d v="2025-03-19T00:00:00"/>
    <d v="2025-03-20T00:00:00"/>
    <x v="1"/>
    <x v="0"/>
    <n v="4"/>
    <x v="0"/>
    <x v="8"/>
    <x v="3"/>
    <x v="11"/>
    <x v="1"/>
  </r>
  <r>
    <x v="2133"/>
    <x v="13"/>
    <x v="2"/>
    <n v="49.1"/>
    <n v="147.30000000000001"/>
    <d v="2025-03-19T00:00:00"/>
    <d v="2025-03-25T00:00:00"/>
    <x v="1"/>
    <x v="2"/>
    <n v="2"/>
    <x v="0"/>
    <x v="8"/>
    <x v="4"/>
    <x v="11"/>
    <x v="1"/>
  </r>
  <r>
    <x v="2134"/>
    <x v="2"/>
    <x v="7"/>
    <n v="234.7"/>
    <n v="2347"/>
    <d v="2025-03-19T00:00:00"/>
    <d v="2025-03-20T00:00:00"/>
    <x v="1"/>
    <x v="3"/>
    <n v="3"/>
    <x v="0"/>
    <x v="8"/>
    <x v="3"/>
    <x v="11"/>
    <x v="1"/>
  </r>
  <r>
    <x v="2135"/>
    <x v="3"/>
    <x v="9"/>
    <n v="76.099999999999994"/>
    <n v="380.5"/>
    <d v="2025-03-19T00:00:00"/>
    <d v="2025-03-21T00:00:00"/>
    <x v="1"/>
    <x v="1"/>
    <n v="3"/>
    <x v="0"/>
    <x v="17"/>
    <x v="1"/>
    <x v="11"/>
    <x v="1"/>
  </r>
  <r>
    <x v="2136"/>
    <x v="1"/>
    <x v="2"/>
    <n v="93.9"/>
    <n v="281.70000000000005"/>
    <d v="2025-03-19T00:00:00"/>
    <d v="2025-03-20T00:00:00"/>
    <x v="1"/>
    <x v="1"/>
    <n v="2"/>
    <x v="0"/>
    <x v="11"/>
    <x v="3"/>
    <x v="11"/>
    <x v="1"/>
  </r>
  <r>
    <x v="2137"/>
    <x v="2"/>
    <x v="12"/>
    <n v="187"/>
    <n v="748"/>
    <d v="2025-03-20T00:00:00"/>
    <d v="2025-03-23T00:00:00"/>
    <x v="1"/>
    <x v="0"/>
    <n v="4"/>
    <x v="0"/>
    <x v="11"/>
    <x v="2"/>
    <x v="11"/>
    <x v="1"/>
  </r>
  <r>
    <x v="2138"/>
    <x v="8"/>
    <x v="1"/>
    <n v="18"/>
    <n v="36"/>
    <d v="2025-03-20T00:00:00"/>
    <d v="2025-03-21T00:00:00"/>
    <x v="2"/>
    <x v="1"/>
    <n v="5"/>
    <x v="0"/>
    <x v="53"/>
    <x v="3"/>
    <x v="11"/>
    <x v="2"/>
  </r>
  <r>
    <x v="2139"/>
    <x v="4"/>
    <x v="0"/>
    <n v="24.4"/>
    <n v="24.4"/>
    <d v="2025-03-20T00:00:00"/>
    <d v="2025-03-21T00:00:00"/>
    <x v="2"/>
    <x v="4"/>
    <n v="5"/>
    <x v="0"/>
    <x v="21"/>
    <x v="3"/>
    <x v="11"/>
    <x v="2"/>
  </r>
  <r>
    <x v="2140"/>
    <x v="10"/>
    <x v="1"/>
    <n v="38.799999999999997"/>
    <n v="77.599999999999994"/>
    <d v="2025-03-20T00:00:00"/>
    <d v="2025-03-21T00:00:00"/>
    <x v="1"/>
    <x v="4"/>
    <n v="3"/>
    <x v="0"/>
    <x v="3"/>
    <x v="3"/>
    <x v="11"/>
    <x v="1"/>
  </r>
  <r>
    <x v="2141"/>
    <x v="3"/>
    <x v="0"/>
    <n v="59.7"/>
    <n v="59.7"/>
    <d v="2025-03-20T00:00:00"/>
    <d v="2025-03-23T00:00:00"/>
    <x v="1"/>
    <x v="3"/>
    <n v="4"/>
    <x v="0"/>
    <x v="3"/>
    <x v="2"/>
    <x v="11"/>
    <x v="1"/>
  </r>
  <r>
    <x v="2142"/>
    <x v="7"/>
    <x v="0"/>
    <n v="31.2"/>
    <n v="31.2"/>
    <d v="2025-03-20T00:00:00"/>
    <d v="2025-03-21T00:00:00"/>
    <x v="1"/>
    <x v="1"/>
    <n v="5"/>
    <x v="0"/>
    <x v="3"/>
    <x v="3"/>
    <x v="11"/>
    <x v="1"/>
  </r>
  <r>
    <x v="2143"/>
    <x v="0"/>
    <x v="0"/>
    <n v="16.8"/>
    <n v="16.8"/>
    <d v="2025-03-20T00:00:00"/>
    <d v="2025-03-21T00:00:00"/>
    <x v="2"/>
    <x v="2"/>
    <n v="3"/>
    <x v="0"/>
    <x v="3"/>
    <x v="3"/>
    <x v="11"/>
    <x v="2"/>
  </r>
  <r>
    <x v="2144"/>
    <x v="8"/>
    <x v="0"/>
    <n v="46"/>
    <n v="46"/>
    <d v="2025-03-20T00:00:00"/>
    <d v="2025-03-21T00:00:00"/>
    <x v="1"/>
    <x v="0"/>
    <n v="4"/>
    <x v="0"/>
    <x v="3"/>
    <x v="3"/>
    <x v="11"/>
    <x v="1"/>
  </r>
  <r>
    <x v="2145"/>
    <x v="9"/>
    <x v="8"/>
    <n v="42.2"/>
    <n v="337.6"/>
    <d v="2025-03-20T00:00:00"/>
    <d v="2025-03-23T00:00:00"/>
    <x v="2"/>
    <x v="3"/>
    <n v="5"/>
    <x v="0"/>
    <x v="3"/>
    <x v="2"/>
    <x v="11"/>
    <x v="2"/>
  </r>
  <r>
    <x v="2146"/>
    <x v="1"/>
    <x v="2"/>
    <n v="71.5"/>
    <n v="214.5"/>
    <d v="2025-03-20T00:00:00"/>
    <d v="2025-04-03T00:00:00"/>
    <x v="2"/>
    <x v="0"/>
    <n v="4"/>
    <x v="0"/>
    <x v="3"/>
    <x v="12"/>
    <x v="11"/>
    <x v="2"/>
  </r>
  <r>
    <x v="2147"/>
    <x v="1"/>
    <x v="1"/>
    <n v="76.599999999999994"/>
    <n v="153.19999999999999"/>
    <d v="2025-03-20T00:00:00"/>
    <d v="2025-03-20T00:00:00"/>
    <x v="1"/>
    <x v="0"/>
    <n v="5"/>
    <x v="0"/>
    <x v="3"/>
    <x v="7"/>
    <x v="11"/>
    <x v="1"/>
  </r>
  <r>
    <x v="2148"/>
    <x v="12"/>
    <x v="1"/>
    <n v="87.3"/>
    <n v="174.6"/>
    <d v="2025-03-20T00:00:00"/>
    <d v="2025-03-28T00:00:00"/>
    <x v="2"/>
    <x v="3"/>
    <n v="5"/>
    <x v="0"/>
    <x v="3"/>
    <x v="9"/>
    <x v="11"/>
    <x v="2"/>
  </r>
  <r>
    <x v="2149"/>
    <x v="1"/>
    <x v="0"/>
    <n v="63"/>
    <n v="63"/>
    <d v="2025-03-20T00:00:00"/>
    <d v="2025-03-23T00:00:00"/>
    <x v="1"/>
    <x v="3"/>
    <n v="4"/>
    <x v="0"/>
    <x v="3"/>
    <x v="2"/>
    <x v="11"/>
    <x v="1"/>
  </r>
  <r>
    <x v="2150"/>
    <x v="8"/>
    <x v="1"/>
    <n v="41.7"/>
    <n v="83.4"/>
    <d v="2025-03-20T00:00:00"/>
    <d v="2025-03-21T00:00:00"/>
    <x v="2"/>
    <x v="4"/>
    <n v="3"/>
    <x v="0"/>
    <x v="43"/>
    <x v="3"/>
    <x v="11"/>
    <x v="2"/>
  </r>
  <r>
    <x v="2151"/>
    <x v="6"/>
    <x v="1"/>
    <n v="76.099999999999994"/>
    <n v="152.19999999999999"/>
    <d v="2025-03-20T00:00:00"/>
    <d v="2025-03-20T00:00:00"/>
    <x v="2"/>
    <x v="4"/>
    <n v="5"/>
    <x v="0"/>
    <x v="16"/>
    <x v="7"/>
    <x v="11"/>
    <x v="2"/>
  </r>
  <r>
    <x v="2152"/>
    <x v="13"/>
    <x v="1"/>
    <n v="28.5"/>
    <n v="57"/>
    <d v="2025-03-20T00:00:00"/>
    <d v="2025-03-21T00:00:00"/>
    <x v="2"/>
    <x v="0"/>
    <n v="5"/>
    <x v="0"/>
    <x v="4"/>
    <x v="3"/>
    <x v="11"/>
    <x v="2"/>
  </r>
  <r>
    <x v="2153"/>
    <x v="0"/>
    <x v="12"/>
    <n v="32.1"/>
    <n v="128.4"/>
    <d v="2025-03-20T00:00:00"/>
    <d v="2025-03-21T00:00:00"/>
    <x v="2"/>
    <x v="1"/>
    <n v="5"/>
    <x v="0"/>
    <x v="25"/>
    <x v="3"/>
    <x v="11"/>
    <x v="2"/>
  </r>
  <r>
    <x v="2154"/>
    <x v="4"/>
    <x v="2"/>
    <n v="39"/>
    <n v="117"/>
    <d v="2025-03-20T00:00:00"/>
    <d v="2025-03-23T00:00:00"/>
    <x v="1"/>
    <x v="1"/>
    <n v="5"/>
    <x v="0"/>
    <x v="25"/>
    <x v="2"/>
    <x v="11"/>
    <x v="1"/>
  </r>
  <r>
    <x v="2155"/>
    <x v="6"/>
    <x v="0"/>
    <n v="78.5"/>
    <n v="78.5"/>
    <d v="2025-03-20T00:00:00"/>
    <d v="2025-03-21T00:00:00"/>
    <x v="1"/>
    <x v="1"/>
    <n v="4"/>
    <x v="0"/>
    <x v="6"/>
    <x v="3"/>
    <x v="11"/>
    <x v="1"/>
  </r>
  <r>
    <x v="2156"/>
    <x v="4"/>
    <x v="9"/>
    <n v="49.7"/>
    <n v="248.5"/>
    <d v="2025-03-20T00:00:00"/>
    <d v="2025-03-22T00:00:00"/>
    <x v="2"/>
    <x v="0"/>
    <n v="4"/>
    <x v="0"/>
    <x v="6"/>
    <x v="1"/>
    <x v="11"/>
    <x v="2"/>
  </r>
  <r>
    <x v="2157"/>
    <x v="1"/>
    <x v="12"/>
    <n v="68.400000000000006"/>
    <n v="273.60000000000002"/>
    <d v="2025-03-20T00:00:00"/>
    <d v="2025-03-21T00:00:00"/>
    <x v="2"/>
    <x v="2"/>
    <n v="5"/>
    <x v="0"/>
    <x v="7"/>
    <x v="3"/>
    <x v="11"/>
    <x v="2"/>
  </r>
  <r>
    <x v="2158"/>
    <x v="3"/>
    <x v="1"/>
    <n v="72.900000000000006"/>
    <n v="145.80000000000001"/>
    <d v="2025-03-20T00:00:00"/>
    <d v="2025-03-23T00:00:00"/>
    <x v="0"/>
    <x v="0"/>
    <n v="5"/>
    <x v="0"/>
    <x v="7"/>
    <x v="2"/>
    <x v="11"/>
    <x v="0"/>
  </r>
  <r>
    <x v="2159"/>
    <x v="5"/>
    <x v="15"/>
    <n v="30.3"/>
    <n v="393.90000000000003"/>
    <d v="2025-03-20T00:00:00"/>
    <d v="2025-03-21T00:00:00"/>
    <x v="1"/>
    <x v="4"/>
    <n v="4"/>
    <x v="0"/>
    <x v="7"/>
    <x v="3"/>
    <x v="11"/>
    <x v="1"/>
  </r>
  <r>
    <x v="2160"/>
    <x v="6"/>
    <x v="5"/>
    <n v="57.9"/>
    <n v="636.9"/>
    <d v="2025-03-20T00:00:00"/>
    <d v="2025-03-21T00:00:00"/>
    <x v="2"/>
    <x v="0"/>
    <n v="4"/>
    <x v="0"/>
    <x v="8"/>
    <x v="3"/>
    <x v="11"/>
    <x v="2"/>
  </r>
  <r>
    <x v="2161"/>
    <x v="1"/>
    <x v="0"/>
    <n v="96.7"/>
    <n v="96.7"/>
    <d v="2025-03-20T00:00:00"/>
    <d v="2025-03-21T00:00:00"/>
    <x v="1"/>
    <x v="0"/>
    <n v="4"/>
    <x v="0"/>
    <x v="8"/>
    <x v="3"/>
    <x v="11"/>
    <x v="1"/>
  </r>
  <r>
    <x v="2162"/>
    <x v="8"/>
    <x v="4"/>
    <n v="27.6"/>
    <n v="331.20000000000005"/>
    <d v="2025-03-20T00:00:00"/>
    <d v="2025-03-22T00:00:00"/>
    <x v="1"/>
    <x v="2"/>
    <n v="5"/>
    <x v="0"/>
    <x v="8"/>
    <x v="1"/>
    <x v="11"/>
    <x v="1"/>
  </r>
  <r>
    <x v="2163"/>
    <x v="6"/>
    <x v="12"/>
    <n v="64.7"/>
    <n v="258.8"/>
    <d v="2025-03-20T00:00:00"/>
    <d v="2025-03-20T00:00:00"/>
    <x v="1"/>
    <x v="3"/>
    <n v="5"/>
    <x v="0"/>
    <x v="8"/>
    <x v="7"/>
    <x v="11"/>
    <x v="1"/>
  </r>
  <r>
    <x v="2164"/>
    <x v="10"/>
    <x v="13"/>
    <n v="30.5"/>
    <n v="183"/>
    <d v="2025-03-20T00:00:00"/>
    <d v="2025-03-21T00:00:00"/>
    <x v="1"/>
    <x v="4"/>
    <n v="4"/>
    <x v="0"/>
    <x v="8"/>
    <x v="3"/>
    <x v="11"/>
    <x v="1"/>
  </r>
  <r>
    <x v="2165"/>
    <x v="6"/>
    <x v="47"/>
    <n v="106"/>
    <n v="7420"/>
    <d v="2025-03-21T00:00:00"/>
    <d v="2025-03-23T00:00:00"/>
    <x v="1"/>
    <x v="4"/>
    <n v="5"/>
    <x v="0"/>
    <x v="8"/>
    <x v="1"/>
    <x v="11"/>
    <x v="1"/>
  </r>
  <r>
    <x v="2166"/>
    <x v="12"/>
    <x v="9"/>
    <n v="76.8"/>
    <n v="384"/>
    <d v="2025-03-21T00:00:00"/>
    <d v="2025-03-27T00:00:00"/>
    <x v="0"/>
    <x v="1"/>
    <n v="3"/>
    <x v="0"/>
    <x v="18"/>
    <x v="4"/>
    <x v="11"/>
    <x v="0"/>
  </r>
  <r>
    <x v="2167"/>
    <x v="6"/>
    <x v="1"/>
    <n v="80.400000000000006"/>
    <n v="160.80000000000001"/>
    <d v="2025-03-21T00:00:00"/>
    <d v="2025-03-22T00:00:00"/>
    <x v="2"/>
    <x v="2"/>
    <n v="4"/>
    <x v="0"/>
    <x v="13"/>
    <x v="3"/>
    <x v="11"/>
    <x v="2"/>
  </r>
  <r>
    <x v="2168"/>
    <x v="6"/>
    <x v="12"/>
    <n v="69.099999999999994"/>
    <n v="276.39999999999998"/>
    <d v="2025-03-21T00:00:00"/>
    <d v="2025-03-22T00:00:00"/>
    <x v="1"/>
    <x v="1"/>
    <n v="5"/>
    <x v="0"/>
    <x v="21"/>
    <x v="3"/>
    <x v="11"/>
    <x v="1"/>
  </r>
  <r>
    <x v="2169"/>
    <x v="18"/>
    <x v="1"/>
    <n v="76.400000000000006"/>
    <n v="152.80000000000001"/>
    <d v="2025-03-21T00:00:00"/>
    <d v="2025-03-21T00:00:00"/>
    <x v="1"/>
    <x v="3"/>
    <n v="4"/>
    <x v="0"/>
    <x v="21"/>
    <x v="7"/>
    <x v="11"/>
    <x v="1"/>
  </r>
  <r>
    <x v="2170"/>
    <x v="2"/>
    <x v="1"/>
    <n v="61.3"/>
    <n v="122.6"/>
    <d v="2025-03-21T00:00:00"/>
    <d v="2025-03-22T00:00:00"/>
    <x v="2"/>
    <x v="1"/>
    <n v="3"/>
    <x v="0"/>
    <x v="21"/>
    <x v="3"/>
    <x v="11"/>
    <x v="2"/>
  </r>
  <r>
    <x v="2171"/>
    <x v="7"/>
    <x v="0"/>
    <n v="58"/>
    <n v="58"/>
    <d v="2025-03-21T00:00:00"/>
    <d v="2025-03-22T00:00:00"/>
    <x v="1"/>
    <x v="3"/>
    <n v="3"/>
    <x v="0"/>
    <x v="1"/>
    <x v="3"/>
    <x v="11"/>
    <x v="1"/>
  </r>
  <r>
    <x v="2172"/>
    <x v="2"/>
    <x v="8"/>
    <n v="102.3"/>
    <n v="818.4"/>
    <d v="2025-03-21T00:00:00"/>
    <d v="2025-03-23T00:00:00"/>
    <x v="1"/>
    <x v="2"/>
    <n v="4"/>
    <x v="0"/>
    <x v="42"/>
    <x v="1"/>
    <x v="11"/>
    <x v="1"/>
  </r>
  <r>
    <x v="2173"/>
    <x v="19"/>
    <x v="1"/>
    <n v="13.8"/>
    <n v="27.6"/>
    <d v="2025-03-21T00:00:00"/>
    <d v="2025-03-22T00:00:00"/>
    <x v="2"/>
    <x v="4"/>
    <n v="5"/>
    <x v="0"/>
    <x v="2"/>
    <x v="3"/>
    <x v="11"/>
    <x v="2"/>
  </r>
  <r>
    <x v="2174"/>
    <x v="8"/>
    <x v="2"/>
    <n v="33.299999999999997"/>
    <n v="99.899999999999991"/>
    <d v="2025-03-21T00:00:00"/>
    <d v="2025-03-24T00:00:00"/>
    <x v="2"/>
    <x v="2"/>
    <n v="4"/>
    <x v="0"/>
    <x v="22"/>
    <x v="2"/>
    <x v="11"/>
    <x v="2"/>
  </r>
  <r>
    <x v="2175"/>
    <x v="10"/>
    <x v="0"/>
    <n v="27.4"/>
    <n v="27.4"/>
    <d v="2025-03-21T00:00:00"/>
    <d v="2025-03-24T00:00:00"/>
    <x v="1"/>
    <x v="0"/>
    <n v="5"/>
    <x v="0"/>
    <x v="22"/>
    <x v="2"/>
    <x v="11"/>
    <x v="1"/>
  </r>
  <r>
    <x v="2176"/>
    <x v="14"/>
    <x v="1"/>
    <n v="25.6"/>
    <n v="51.2"/>
    <d v="2025-03-21T00:00:00"/>
    <d v="2025-03-22T00:00:00"/>
    <x v="2"/>
    <x v="1"/>
    <n v="3"/>
    <x v="0"/>
    <x v="3"/>
    <x v="3"/>
    <x v="11"/>
    <x v="2"/>
  </r>
  <r>
    <x v="2177"/>
    <x v="13"/>
    <x v="0"/>
    <n v="58.4"/>
    <n v="58.4"/>
    <d v="2025-03-21T00:00:00"/>
    <d v="2025-03-22T00:00:00"/>
    <x v="2"/>
    <x v="2"/>
    <n v="5"/>
    <x v="0"/>
    <x v="3"/>
    <x v="3"/>
    <x v="11"/>
    <x v="2"/>
  </r>
  <r>
    <x v="2178"/>
    <x v="11"/>
    <x v="17"/>
    <n v="27"/>
    <n v="810"/>
    <d v="2025-03-21T00:00:00"/>
    <d v="2025-03-22T00:00:00"/>
    <x v="2"/>
    <x v="4"/>
    <n v="4"/>
    <x v="0"/>
    <x v="3"/>
    <x v="3"/>
    <x v="11"/>
    <x v="2"/>
  </r>
  <r>
    <x v="2179"/>
    <x v="0"/>
    <x v="12"/>
    <n v="14.2"/>
    <n v="56.8"/>
    <d v="2025-03-21T00:00:00"/>
    <d v="2025-03-22T00:00:00"/>
    <x v="1"/>
    <x v="0"/>
    <n v="5"/>
    <x v="0"/>
    <x v="3"/>
    <x v="3"/>
    <x v="11"/>
    <x v="1"/>
  </r>
  <r>
    <x v="2180"/>
    <x v="7"/>
    <x v="1"/>
    <n v="68"/>
    <n v="136"/>
    <d v="2025-03-21T00:00:00"/>
    <d v="2025-03-31T00:00:00"/>
    <x v="1"/>
    <x v="2"/>
    <n v="3"/>
    <x v="0"/>
    <x v="3"/>
    <x v="14"/>
    <x v="11"/>
    <x v="1"/>
  </r>
  <r>
    <x v="2181"/>
    <x v="8"/>
    <x v="0"/>
    <n v="30.7"/>
    <n v="30.7"/>
    <d v="2025-03-21T00:00:00"/>
    <d v="2025-03-22T00:00:00"/>
    <x v="1"/>
    <x v="0"/>
    <n v="4"/>
    <x v="0"/>
    <x v="3"/>
    <x v="3"/>
    <x v="11"/>
    <x v="1"/>
  </r>
  <r>
    <x v="2182"/>
    <x v="17"/>
    <x v="15"/>
    <n v="51.6"/>
    <n v="670.80000000000007"/>
    <d v="2025-03-21T00:00:00"/>
    <d v="2025-03-24T00:00:00"/>
    <x v="3"/>
    <x v="1"/>
    <n v="5"/>
    <x v="0"/>
    <x v="3"/>
    <x v="2"/>
    <x v="11"/>
    <x v="3"/>
  </r>
  <r>
    <x v="2183"/>
    <x v="8"/>
    <x v="2"/>
    <n v="20.6"/>
    <n v="61.800000000000004"/>
    <d v="2025-03-21T00:00:00"/>
    <d v="2025-03-25T00:00:00"/>
    <x v="2"/>
    <x v="4"/>
    <n v="5"/>
    <x v="0"/>
    <x v="3"/>
    <x v="5"/>
    <x v="11"/>
    <x v="2"/>
  </r>
  <r>
    <x v="2184"/>
    <x v="8"/>
    <x v="0"/>
    <n v="24.8"/>
    <n v="24.8"/>
    <d v="2025-03-21T00:00:00"/>
    <d v="2025-03-22T00:00:00"/>
    <x v="1"/>
    <x v="4"/>
    <n v="4"/>
    <x v="0"/>
    <x v="3"/>
    <x v="3"/>
    <x v="11"/>
    <x v="1"/>
  </r>
  <r>
    <x v="2185"/>
    <x v="0"/>
    <x v="3"/>
    <n v="11.2"/>
    <n v="78.399999999999991"/>
    <d v="2025-03-21T00:00:00"/>
    <d v="2025-03-24T00:00:00"/>
    <x v="1"/>
    <x v="1"/>
    <n v="4"/>
    <x v="0"/>
    <x v="3"/>
    <x v="2"/>
    <x v="11"/>
    <x v="1"/>
  </r>
  <r>
    <x v="2186"/>
    <x v="11"/>
    <x v="1"/>
    <n v="51.2"/>
    <n v="102.4"/>
    <d v="2025-03-21T00:00:00"/>
    <d v="2025-03-22T00:00:00"/>
    <x v="2"/>
    <x v="1"/>
    <n v="5"/>
    <x v="0"/>
    <x v="3"/>
    <x v="3"/>
    <x v="11"/>
    <x v="2"/>
  </r>
  <r>
    <x v="2187"/>
    <x v="7"/>
    <x v="13"/>
    <n v="90.5"/>
    <n v="543"/>
    <d v="2025-03-21T00:00:00"/>
    <d v="2025-03-22T00:00:00"/>
    <x v="2"/>
    <x v="1"/>
    <n v="2"/>
    <x v="0"/>
    <x v="3"/>
    <x v="3"/>
    <x v="11"/>
    <x v="2"/>
  </r>
  <r>
    <x v="2188"/>
    <x v="1"/>
    <x v="1"/>
    <n v="42.4"/>
    <n v="84.8"/>
    <d v="2025-03-21T00:00:00"/>
    <d v="2025-03-22T00:00:00"/>
    <x v="1"/>
    <x v="1"/>
    <n v="5"/>
    <x v="0"/>
    <x v="4"/>
    <x v="3"/>
    <x v="11"/>
    <x v="1"/>
  </r>
  <r>
    <x v="2189"/>
    <x v="1"/>
    <x v="1"/>
    <n v="38.200000000000003"/>
    <n v="76.400000000000006"/>
    <d v="2025-03-21T00:00:00"/>
    <d v="2025-03-22T00:00:00"/>
    <x v="1"/>
    <x v="0"/>
    <n v="4"/>
    <x v="0"/>
    <x v="5"/>
    <x v="3"/>
    <x v="11"/>
    <x v="1"/>
  </r>
  <r>
    <x v="2190"/>
    <x v="2"/>
    <x v="11"/>
    <n v="121.3"/>
    <n v="1091.7"/>
    <d v="2025-03-21T00:00:00"/>
    <d v="2025-03-26T00:00:00"/>
    <x v="1"/>
    <x v="0"/>
    <n v="4"/>
    <x v="0"/>
    <x v="6"/>
    <x v="0"/>
    <x v="11"/>
    <x v="1"/>
  </r>
  <r>
    <x v="2191"/>
    <x v="6"/>
    <x v="1"/>
    <n v="46.9"/>
    <n v="93.8"/>
    <d v="2025-03-21T00:00:00"/>
    <d v="2025-03-28T00:00:00"/>
    <x v="1"/>
    <x v="0"/>
    <n v="4"/>
    <x v="0"/>
    <x v="8"/>
    <x v="6"/>
    <x v="11"/>
    <x v="1"/>
  </r>
  <r>
    <x v="2192"/>
    <x v="10"/>
    <x v="0"/>
    <n v="55.3"/>
    <n v="55.3"/>
    <d v="2025-03-21T00:00:00"/>
    <d v="2025-03-23T00:00:00"/>
    <x v="1"/>
    <x v="0"/>
    <n v="4"/>
    <x v="0"/>
    <x v="8"/>
    <x v="1"/>
    <x v="11"/>
    <x v="1"/>
  </r>
  <r>
    <x v="2193"/>
    <x v="2"/>
    <x v="2"/>
    <n v="70.599999999999994"/>
    <n v="211.79999999999998"/>
    <d v="2025-03-22T00:00:00"/>
    <d v="2025-03-22T00:00:00"/>
    <x v="2"/>
    <x v="0"/>
    <n v="3"/>
    <x v="0"/>
    <x v="8"/>
    <x v="7"/>
    <x v="11"/>
    <x v="2"/>
  </r>
  <r>
    <x v="2194"/>
    <x v="14"/>
    <x v="12"/>
    <n v="26.1"/>
    <n v="104.4"/>
    <d v="2025-03-22T00:00:00"/>
    <d v="2025-03-24T00:00:00"/>
    <x v="1"/>
    <x v="0"/>
    <n v="4"/>
    <x v="0"/>
    <x v="8"/>
    <x v="1"/>
    <x v="11"/>
    <x v="1"/>
  </r>
  <r>
    <x v="2195"/>
    <x v="9"/>
    <x v="5"/>
    <n v="34.5"/>
    <n v="379.5"/>
    <d v="2025-03-22T00:00:00"/>
    <d v="2025-03-26T00:00:00"/>
    <x v="1"/>
    <x v="2"/>
    <n v="4"/>
    <x v="0"/>
    <x v="17"/>
    <x v="5"/>
    <x v="11"/>
    <x v="1"/>
  </r>
  <r>
    <x v="2196"/>
    <x v="1"/>
    <x v="1"/>
    <n v="64.2"/>
    <n v="128.4"/>
    <d v="2025-03-22T00:00:00"/>
    <d v="2025-03-23T00:00:00"/>
    <x v="2"/>
    <x v="0"/>
    <n v="3"/>
    <x v="0"/>
    <x v="17"/>
    <x v="3"/>
    <x v="11"/>
    <x v="2"/>
  </r>
  <r>
    <x v="2197"/>
    <x v="2"/>
    <x v="12"/>
    <n v="145.69999999999999"/>
    <n v="582.79999999999995"/>
    <d v="2025-03-22T00:00:00"/>
    <d v="2025-03-23T00:00:00"/>
    <x v="2"/>
    <x v="0"/>
    <n v="2"/>
    <x v="0"/>
    <x v="17"/>
    <x v="3"/>
    <x v="11"/>
    <x v="2"/>
  </r>
  <r>
    <x v="2198"/>
    <x v="12"/>
    <x v="1"/>
    <n v="78.5"/>
    <n v="157"/>
    <d v="2025-03-22T00:00:00"/>
    <d v="2025-03-23T00:00:00"/>
    <x v="1"/>
    <x v="2"/>
    <n v="4"/>
    <x v="0"/>
    <x v="26"/>
    <x v="3"/>
    <x v="11"/>
    <x v="1"/>
  </r>
  <r>
    <x v="2199"/>
    <x v="1"/>
    <x v="0"/>
    <n v="34.200000000000003"/>
    <n v="34.200000000000003"/>
    <d v="2025-03-22T00:00:00"/>
    <d v="2025-03-24T00:00:00"/>
    <x v="1"/>
    <x v="0"/>
    <n v="4"/>
    <x v="0"/>
    <x v="9"/>
    <x v="1"/>
    <x v="11"/>
    <x v="1"/>
  </r>
  <r>
    <x v="2200"/>
    <x v="19"/>
    <x v="0"/>
    <n v="26.2"/>
    <n v="26.2"/>
    <d v="2025-03-22T00:00:00"/>
    <d v="2025-03-23T00:00:00"/>
    <x v="1"/>
    <x v="2"/>
    <n v="4"/>
    <x v="0"/>
    <x v="9"/>
    <x v="3"/>
    <x v="11"/>
    <x v="1"/>
  </r>
  <r>
    <x v="2201"/>
    <x v="6"/>
    <x v="12"/>
    <n v="53.2"/>
    <n v="212.8"/>
    <d v="2025-03-22T00:00:00"/>
    <d v="2025-03-23T00:00:00"/>
    <x v="1"/>
    <x v="1"/>
    <n v="3"/>
    <x v="0"/>
    <x v="11"/>
    <x v="3"/>
    <x v="11"/>
    <x v="1"/>
  </r>
  <r>
    <x v="2202"/>
    <x v="1"/>
    <x v="0"/>
    <n v="35.4"/>
    <n v="35.4"/>
    <d v="2025-03-22T00:00:00"/>
    <d v="2025-03-26T00:00:00"/>
    <x v="1"/>
    <x v="1"/>
    <n v="2"/>
    <x v="0"/>
    <x v="18"/>
    <x v="5"/>
    <x v="11"/>
    <x v="1"/>
  </r>
  <r>
    <x v="2203"/>
    <x v="14"/>
    <x v="1"/>
    <n v="21.3"/>
    <n v="42.6"/>
    <d v="2025-03-22T00:00:00"/>
    <d v="2025-03-23T00:00:00"/>
    <x v="1"/>
    <x v="2"/>
    <n v="4"/>
    <x v="0"/>
    <x v="20"/>
    <x v="3"/>
    <x v="11"/>
    <x v="1"/>
  </r>
  <r>
    <x v="2204"/>
    <x v="8"/>
    <x v="12"/>
    <n v="32.9"/>
    <n v="131.6"/>
    <d v="2025-03-22T00:00:00"/>
    <d v="2025-03-25T00:00:00"/>
    <x v="2"/>
    <x v="4"/>
    <n v="5"/>
    <x v="0"/>
    <x v="21"/>
    <x v="2"/>
    <x v="11"/>
    <x v="2"/>
  </r>
  <r>
    <x v="2205"/>
    <x v="5"/>
    <x v="20"/>
    <n v="85.5"/>
    <n v="1282.5"/>
    <d v="2025-03-22T00:00:00"/>
    <d v="2025-03-24T00:00:00"/>
    <x v="2"/>
    <x v="3"/>
    <n v="3"/>
    <x v="0"/>
    <x v="21"/>
    <x v="1"/>
    <x v="11"/>
    <x v="2"/>
  </r>
  <r>
    <x v="2206"/>
    <x v="4"/>
    <x v="0"/>
    <n v="26.8"/>
    <n v="26.8"/>
    <d v="2025-03-22T00:00:00"/>
    <d v="2025-03-23T00:00:00"/>
    <x v="2"/>
    <x v="0"/>
    <n v="3"/>
    <x v="0"/>
    <x v="2"/>
    <x v="3"/>
    <x v="11"/>
    <x v="2"/>
  </r>
  <r>
    <x v="2207"/>
    <x v="9"/>
    <x v="18"/>
    <n v="31.7"/>
    <n v="824.19999999999993"/>
    <d v="2025-03-22T00:00:00"/>
    <d v="2025-03-22T00:00:00"/>
    <x v="2"/>
    <x v="3"/>
    <n v="4"/>
    <x v="0"/>
    <x v="2"/>
    <x v="7"/>
    <x v="11"/>
    <x v="2"/>
  </r>
  <r>
    <x v="2208"/>
    <x v="1"/>
    <x v="1"/>
    <n v="78.3"/>
    <n v="156.6"/>
    <d v="2025-03-22T00:00:00"/>
    <d v="2025-03-24T00:00:00"/>
    <x v="2"/>
    <x v="1"/>
    <n v="3"/>
    <x v="0"/>
    <x v="3"/>
    <x v="1"/>
    <x v="11"/>
    <x v="2"/>
  </r>
  <r>
    <x v="2209"/>
    <x v="6"/>
    <x v="0"/>
    <n v="43.9"/>
    <n v="43.9"/>
    <d v="2025-03-22T00:00:00"/>
    <d v="2025-03-23T00:00:00"/>
    <x v="1"/>
    <x v="0"/>
    <n v="4"/>
    <x v="0"/>
    <x v="3"/>
    <x v="3"/>
    <x v="11"/>
    <x v="1"/>
  </r>
  <r>
    <x v="2210"/>
    <x v="18"/>
    <x v="2"/>
    <n v="84"/>
    <n v="252"/>
    <d v="2025-03-22T00:00:00"/>
    <d v="2025-03-24T00:00:00"/>
    <x v="0"/>
    <x v="3"/>
    <n v="5"/>
    <x v="0"/>
    <x v="3"/>
    <x v="1"/>
    <x v="11"/>
    <x v="0"/>
  </r>
  <r>
    <x v="2211"/>
    <x v="0"/>
    <x v="2"/>
    <n v="11.4"/>
    <n v="34.200000000000003"/>
    <d v="2025-03-22T00:00:00"/>
    <d v="2025-03-23T00:00:00"/>
    <x v="1"/>
    <x v="4"/>
    <n v="4"/>
    <x v="0"/>
    <x v="3"/>
    <x v="3"/>
    <x v="11"/>
    <x v="1"/>
  </r>
  <r>
    <x v="2212"/>
    <x v="12"/>
    <x v="8"/>
    <n v="47.5"/>
    <n v="380"/>
    <d v="2025-03-22T00:00:00"/>
    <d v="2025-03-30T00:00:00"/>
    <x v="2"/>
    <x v="0"/>
    <n v="4"/>
    <x v="0"/>
    <x v="3"/>
    <x v="9"/>
    <x v="11"/>
    <x v="2"/>
  </r>
  <r>
    <x v="2213"/>
    <x v="9"/>
    <x v="5"/>
    <n v="50.5"/>
    <n v="555.5"/>
    <d v="2025-03-22T00:00:00"/>
    <d v="2025-03-24T00:00:00"/>
    <x v="1"/>
    <x v="2"/>
    <n v="4"/>
    <x v="0"/>
    <x v="3"/>
    <x v="1"/>
    <x v="11"/>
    <x v="1"/>
  </r>
  <r>
    <x v="2214"/>
    <x v="15"/>
    <x v="0"/>
    <n v="36.299999999999997"/>
    <n v="36.299999999999997"/>
    <d v="2025-03-22T00:00:00"/>
    <d v="2025-03-25T00:00:00"/>
    <x v="3"/>
    <x v="0"/>
    <n v="3"/>
    <x v="0"/>
    <x v="8"/>
    <x v="2"/>
    <x v="11"/>
    <x v="3"/>
  </r>
  <r>
    <x v="2215"/>
    <x v="8"/>
    <x v="1"/>
    <n v="35.4"/>
    <n v="70.8"/>
    <d v="2025-03-22T00:00:00"/>
    <d v="2025-03-23T00:00:00"/>
    <x v="2"/>
    <x v="0"/>
    <n v="4"/>
    <x v="0"/>
    <x v="17"/>
    <x v="3"/>
    <x v="11"/>
    <x v="2"/>
  </r>
  <r>
    <x v="2216"/>
    <x v="1"/>
    <x v="2"/>
    <n v="45.9"/>
    <n v="137.69999999999999"/>
    <d v="2025-03-23T00:00:00"/>
    <d v="2025-03-24T00:00:00"/>
    <x v="1"/>
    <x v="3"/>
    <n v="4"/>
    <x v="0"/>
    <x v="9"/>
    <x v="3"/>
    <x v="12"/>
    <x v="1"/>
  </r>
  <r>
    <x v="2217"/>
    <x v="6"/>
    <x v="7"/>
    <n v="41.2"/>
    <n v="412"/>
    <d v="2025-03-23T00:00:00"/>
    <d v="2025-03-27T00:00:00"/>
    <x v="1"/>
    <x v="0"/>
    <n v="4"/>
    <x v="0"/>
    <x v="11"/>
    <x v="5"/>
    <x v="12"/>
    <x v="1"/>
  </r>
  <r>
    <x v="2218"/>
    <x v="17"/>
    <x v="1"/>
    <n v="45.1"/>
    <n v="90.2"/>
    <d v="2025-03-23T00:00:00"/>
    <d v="2025-03-24T00:00:00"/>
    <x v="1"/>
    <x v="1"/>
    <n v="3"/>
    <x v="0"/>
    <x v="21"/>
    <x v="3"/>
    <x v="12"/>
    <x v="1"/>
  </r>
  <r>
    <x v="2219"/>
    <x v="6"/>
    <x v="7"/>
    <n v="63.6"/>
    <n v="636"/>
    <d v="2025-03-23T00:00:00"/>
    <d v="2025-03-23T00:00:00"/>
    <x v="1"/>
    <x v="2"/>
    <n v="4"/>
    <x v="0"/>
    <x v="1"/>
    <x v="7"/>
    <x v="12"/>
    <x v="1"/>
  </r>
  <r>
    <x v="2220"/>
    <x v="8"/>
    <x v="0"/>
    <n v="70.5"/>
    <n v="70.5"/>
    <d v="2025-03-23T00:00:00"/>
    <d v="2025-03-24T00:00:00"/>
    <x v="1"/>
    <x v="0"/>
    <n v="4"/>
    <x v="0"/>
    <x v="3"/>
    <x v="3"/>
    <x v="12"/>
    <x v="1"/>
  </r>
  <r>
    <x v="2221"/>
    <x v="6"/>
    <x v="0"/>
    <n v="41.3"/>
    <n v="41.3"/>
    <d v="2025-03-23T00:00:00"/>
    <d v="2025-03-23T00:00:00"/>
    <x v="1"/>
    <x v="4"/>
    <n v="4"/>
    <x v="0"/>
    <x v="3"/>
    <x v="7"/>
    <x v="12"/>
    <x v="1"/>
  </r>
  <r>
    <x v="2222"/>
    <x v="4"/>
    <x v="0"/>
    <n v="35.299999999999997"/>
    <n v="35.299999999999997"/>
    <d v="2025-03-23T00:00:00"/>
    <d v="2025-03-26T00:00:00"/>
    <x v="2"/>
    <x v="4"/>
    <n v="5"/>
    <x v="0"/>
    <x v="3"/>
    <x v="2"/>
    <x v="12"/>
    <x v="2"/>
  </r>
  <r>
    <x v="2223"/>
    <x v="8"/>
    <x v="9"/>
    <n v="34.700000000000003"/>
    <n v="173.5"/>
    <d v="2025-03-23T00:00:00"/>
    <d v="2025-03-24T00:00:00"/>
    <x v="2"/>
    <x v="0"/>
    <n v="5"/>
    <x v="0"/>
    <x v="3"/>
    <x v="3"/>
    <x v="12"/>
    <x v="2"/>
  </r>
  <r>
    <x v="2224"/>
    <x v="8"/>
    <x v="2"/>
    <n v="26.1"/>
    <n v="78.300000000000011"/>
    <d v="2025-03-23T00:00:00"/>
    <d v="2025-03-24T00:00:00"/>
    <x v="2"/>
    <x v="0"/>
    <n v="4"/>
    <x v="0"/>
    <x v="3"/>
    <x v="3"/>
    <x v="12"/>
    <x v="2"/>
  </r>
  <r>
    <x v="2225"/>
    <x v="9"/>
    <x v="9"/>
    <n v="22.6"/>
    <n v="113"/>
    <d v="2025-03-23T00:00:00"/>
    <d v="2025-03-23T00:00:00"/>
    <x v="2"/>
    <x v="1"/>
    <n v="5"/>
    <x v="0"/>
    <x v="3"/>
    <x v="7"/>
    <x v="12"/>
    <x v="2"/>
  </r>
  <r>
    <x v="2226"/>
    <x v="2"/>
    <x v="1"/>
    <n v="154.4"/>
    <n v="308.8"/>
    <d v="2025-03-23T00:00:00"/>
    <d v="2025-03-26T00:00:00"/>
    <x v="1"/>
    <x v="1"/>
    <n v="3"/>
    <x v="0"/>
    <x v="3"/>
    <x v="2"/>
    <x v="12"/>
    <x v="1"/>
  </r>
  <r>
    <x v="2227"/>
    <x v="8"/>
    <x v="1"/>
    <n v="18.399999999999999"/>
    <n v="36.799999999999997"/>
    <d v="2025-03-23T00:00:00"/>
    <d v="2025-03-24T00:00:00"/>
    <x v="1"/>
    <x v="0"/>
    <n v="4"/>
    <x v="0"/>
    <x v="3"/>
    <x v="3"/>
    <x v="12"/>
    <x v="1"/>
  </r>
  <r>
    <x v="2228"/>
    <x v="14"/>
    <x v="0"/>
    <n v="25"/>
    <n v="25"/>
    <d v="2025-03-23T00:00:00"/>
    <d v="2025-03-26T00:00:00"/>
    <x v="2"/>
    <x v="0"/>
    <n v="4"/>
    <x v="0"/>
    <x v="3"/>
    <x v="2"/>
    <x v="12"/>
    <x v="2"/>
  </r>
  <r>
    <x v="2229"/>
    <x v="2"/>
    <x v="13"/>
    <n v="105.6"/>
    <n v="633.59999999999991"/>
    <d v="2025-03-23T00:00:00"/>
    <d v="2025-03-23T00:00:00"/>
    <x v="2"/>
    <x v="0"/>
    <n v="4"/>
    <x v="0"/>
    <x v="3"/>
    <x v="7"/>
    <x v="12"/>
    <x v="2"/>
  </r>
  <r>
    <x v="2230"/>
    <x v="18"/>
    <x v="8"/>
    <n v="59.6"/>
    <n v="476.8"/>
    <d v="2025-03-23T00:00:00"/>
    <d v="2025-03-23T00:00:00"/>
    <x v="2"/>
    <x v="0"/>
    <n v="5"/>
    <x v="0"/>
    <x v="23"/>
    <x v="7"/>
    <x v="12"/>
    <x v="2"/>
  </r>
  <r>
    <x v="2231"/>
    <x v="15"/>
    <x v="2"/>
    <n v="75.400000000000006"/>
    <n v="226.20000000000002"/>
    <d v="2025-03-23T00:00:00"/>
    <d v="2025-03-28T00:00:00"/>
    <x v="1"/>
    <x v="0"/>
    <n v="3"/>
    <x v="0"/>
    <x v="7"/>
    <x v="0"/>
    <x v="12"/>
    <x v="1"/>
  </r>
  <r>
    <x v="2232"/>
    <x v="7"/>
    <x v="0"/>
    <n v="104.4"/>
    <n v="104.4"/>
    <d v="2025-03-23T00:00:00"/>
    <d v="2025-03-24T00:00:00"/>
    <x v="2"/>
    <x v="0"/>
    <n v="4"/>
    <x v="0"/>
    <x v="8"/>
    <x v="3"/>
    <x v="12"/>
    <x v="2"/>
  </r>
  <r>
    <x v="2233"/>
    <x v="2"/>
    <x v="7"/>
    <n v="208.2"/>
    <n v="2082"/>
    <d v="2025-03-23T00:00:00"/>
    <d v="2025-03-24T00:00:00"/>
    <x v="1"/>
    <x v="0"/>
    <n v="5"/>
    <x v="0"/>
    <x v="8"/>
    <x v="3"/>
    <x v="12"/>
    <x v="1"/>
  </r>
  <r>
    <x v="2234"/>
    <x v="6"/>
    <x v="1"/>
    <n v="45"/>
    <n v="90"/>
    <d v="2025-03-23T00:00:00"/>
    <d v="2025-03-26T00:00:00"/>
    <x v="2"/>
    <x v="0"/>
    <n v="4"/>
    <x v="0"/>
    <x v="10"/>
    <x v="2"/>
    <x v="12"/>
    <x v="2"/>
  </r>
  <r>
    <x v="2235"/>
    <x v="15"/>
    <x v="1"/>
    <n v="20.3"/>
    <n v="40.6"/>
    <d v="2025-03-24T00:00:00"/>
    <d v="2025-03-26T00:00:00"/>
    <x v="0"/>
    <x v="1"/>
    <n v="4"/>
    <x v="0"/>
    <x v="11"/>
    <x v="1"/>
    <x v="12"/>
    <x v="0"/>
  </r>
  <r>
    <x v="2236"/>
    <x v="2"/>
    <x v="2"/>
    <n v="94.4"/>
    <n v="283.20000000000005"/>
    <d v="2025-03-24T00:00:00"/>
    <d v="2025-03-25T00:00:00"/>
    <x v="2"/>
    <x v="0"/>
    <n v="5"/>
    <x v="0"/>
    <x v="11"/>
    <x v="3"/>
    <x v="12"/>
    <x v="2"/>
  </r>
  <r>
    <x v="2237"/>
    <x v="9"/>
    <x v="0"/>
    <n v="49"/>
    <n v="49"/>
    <d v="2025-03-24T00:00:00"/>
    <d v="2025-03-26T00:00:00"/>
    <x v="2"/>
    <x v="0"/>
    <n v="5"/>
    <x v="0"/>
    <x v="20"/>
    <x v="1"/>
    <x v="12"/>
    <x v="2"/>
  </r>
  <r>
    <x v="2238"/>
    <x v="4"/>
    <x v="1"/>
    <n v="27.2"/>
    <n v="54.4"/>
    <d v="2025-03-24T00:00:00"/>
    <d v="2025-03-26T00:00:00"/>
    <x v="1"/>
    <x v="0"/>
    <n v="5"/>
    <x v="0"/>
    <x v="1"/>
    <x v="1"/>
    <x v="12"/>
    <x v="1"/>
  </r>
  <r>
    <x v="2239"/>
    <x v="2"/>
    <x v="13"/>
    <n v="72.599999999999994"/>
    <n v="435.59999999999997"/>
    <d v="2025-03-24T00:00:00"/>
    <d v="2025-03-25T00:00:00"/>
    <x v="2"/>
    <x v="0"/>
    <n v="5"/>
    <x v="0"/>
    <x v="2"/>
    <x v="3"/>
    <x v="12"/>
    <x v="2"/>
  </r>
  <r>
    <x v="2240"/>
    <x v="15"/>
    <x v="12"/>
    <n v="62.4"/>
    <n v="249.6"/>
    <d v="2025-03-24T00:00:00"/>
    <d v="2025-03-25T00:00:00"/>
    <x v="2"/>
    <x v="0"/>
    <n v="4"/>
    <x v="0"/>
    <x v="3"/>
    <x v="3"/>
    <x v="12"/>
    <x v="2"/>
  </r>
  <r>
    <x v="2241"/>
    <x v="8"/>
    <x v="2"/>
    <n v="19.100000000000001"/>
    <n v="57.300000000000004"/>
    <d v="2025-03-24T00:00:00"/>
    <d v="2025-03-26T00:00:00"/>
    <x v="1"/>
    <x v="0"/>
    <n v="3"/>
    <x v="0"/>
    <x v="3"/>
    <x v="1"/>
    <x v="12"/>
    <x v="1"/>
  </r>
  <r>
    <x v="2242"/>
    <x v="10"/>
    <x v="0"/>
    <n v="29.6"/>
    <n v="29.6"/>
    <d v="2025-03-24T00:00:00"/>
    <d v="2025-03-28T00:00:00"/>
    <x v="1"/>
    <x v="0"/>
    <n v="2"/>
    <x v="0"/>
    <x v="3"/>
    <x v="5"/>
    <x v="12"/>
    <x v="1"/>
  </r>
  <r>
    <x v="2243"/>
    <x v="8"/>
    <x v="1"/>
    <n v="18.899999999999999"/>
    <n v="37.799999999999997"/>
    <d v="2025-03-24T00:00:00"/>
    <d v="2025-03-26T00:00:00"/>
    <x v="2"/>
    <x v="4"/>
    <n v="5"/>
    <x v="0"/>
    <x v="3"/>
    <x v="1"/>
    <x v="12"/>
    <x v="2"/>
  </r>
  <r>
    <x v="2244"/>
    <x v="10"/>
    <x v="9"/>
    <n v="41.4"/>
    <n v="207"/>
    <d v="2025-03-24T00:00:00"/>
    <d v="2025-03-25T00:00:00"/>
    <x v="1"/>
    <x v="3"/>
    <n v="4"/>
    <x v="0"/>
    <x v="3"/>
    <x v="3"/>
    <x v="12"/>
    <x v="1"/>
  </r>
  <r>
    <x v="2245"/>
    <x v="2"/>
    <x v="0"/>
    <n v="118.4"/>
    <n v="118.4"/>
    <d v="2025-03-24T00:00:00"/>
    <d v="2025-03-25T00:00:00"/>
    <x v="2"/>
    <x v="0"/>
    <n v="5"/>
    <x v="0"/>
    <x v="3"/>
    <x v="3"/>
    <x v="12"/>
    <x v="2"/>
  </r>
  <r>
    <x v="2246"/>
    <x v="2"/>
    <x v="1"/>
    <n v="125.3"/>
    <n v="250.6"/>
    <d v="2025-03-24T00:00:00"/>
    <d v="2025-03-27T00:00:00"/>
    <x v="2"/>
    <x v="0"/>
    <n v="5"/>
    <x v="0"/>
    <x v="3"/>
    <x v="2"/>
    <x v="12"/>
    <x v="2"/>
  </r>
  <r>
    <x v="2247"/>
    <x v="3"/>
    <x v="1"/>
    <n v="85.8"/>
    <n v="171.6"/>
    <d v="2025-03-24T00:00:00"/>
    <d v="2025-03-25T00:00:00"/>
    <x v="2"/>
    <x v="1"/>
    <n v="2"/>
    <x v="0"/>
    <x v="3"/>
    <x v="3"/>
    <x v="12"/>
    <x v="2"/>
  </r>
  <r>
    <x v="2248"/>
    <x v="6"/>
    <x v="0"/>
    <n v="44.2"/>
    <n v="44.2"/>
    <d v="2025-03-24T00:00:00"/>
    <d v="2025-03-27T00:00:00"/>
    <x v="1"/>
    <x v="1"/>
    <n v="4"/>
    <x v="0"/>
    <x v="3"/>
    <x v="2"/>
    <x v="12"/>
    <x v="1"/>
  </r>
  <r>
    <x v="2249"/>
    <x v="5"/>
    <x v="12"/>
    <n v="74.099999999999994"/>
    <n v="296.39999999999998"/>
    <d v="2025-03-24T00:00:00"/>
    <d v="2025-03-26T00:00:00"/>
    <x v="2"/>
    <x v="0"/>
    <n v="4"/>
    <x v="0"/>
    <x v="3"/>
    <x v="1"/>
    <x v="12"/>
    <x v="2"/>
  </r>
  <r>
    <x v="2250"/>
    <x v="8"/>
    <x v="0"/>
    <n v="33.799999999999997"/>
    <n v="33.799999999999997"/>
    <d v="2025-03-24T00:00:00"/>
    <d v="2025-03-25T00:00:00"/>
    <x v="2"/>
    <x v="2"/>
    <n v="5"/>
    <x v="0"/>
    <x v="24"/>
    <x v="3"/>
    <x v="12"/>
    <x v="2"/>
  </r>
  <r>
    <x v="2251"/>
    <x v="1"/>
    <x v="1"/>
    <n v="39.1"/>
    <n v="78.2"/>
    <d v="2025-03-24T00:00:00"/>
    <d v="2025-03-25T00:00:00"/>
    <x v="1"/>
    <x v="0"/>
    <n v="3"/>
    <x v="0"/>
    <x v="24"/>
    <x v="3"/>
    <x v="12"/>
    <x v="1"/>
  </r>
  <r>
    <x v="2252"/>
    <x v="0"/>
    <x v="0"/>
    <n v="37.200000000000003"/>
    <n v="37.200000000000003"/>
    <d v="2025-03-24T00:00:00"/>
    <d v="2025-03-25T00:00:00"/>
    <x v="1"/>
    <x v="0"/>
    <n v="3"/>
    <x v="0"/>
    <x v="16"/>
    <x v="3"/>
    <x v="12"/>
    <x v="1"/>
  </r>
  <r>
    <x v="2253"/>
    <x v="15"/>
    <x v="2"/>
    <n v="33.9"/>
    <n v="101.69999999999999"/>
    <d v="2025-03-24T00:00:00"/>
    <d v="2025-03-26T00:00:00"/>
    <x v="1"/>
    <x v="2"/>
    <n v="4"/>
    <x v="0"/>
    <x v="6"/>
    <x v="1"/>
    <x v="12"/>
    <x v="1"/>
  </r>
  <r>
    <x v="2254"/>
    <x v="7"/>
    <x v="20"/>
    <n v="73.3"/>
    <n v="1099.5"/>
    <d v="2025-03-24T00:00:00"/>
    <d v="2025-03-27T00:00:00"/>
    <x v="2"/>
    <x v="2"/>
    <n v="3"/>
    <x v="0"/>
    <x v="8"/>
    <x v="2"/>
    <x v="12"/>
    <x v="2"/>
  </r>
  <r>
    <x v="2255"/>
    <x v="8"/>
    <x v="12"/>
    <n v="35"/>
    <n v="140"/>
    <d v="2025-03-24T00:00:00"/>
    <d v="2025-03-26T00:00:00"/>
    <x v="2"/>
    <x v="1"/>
    <n v="4"/>
    <x v="0"/>
    <x v="8"/>
    <x v="1"/>
    <x v="12"/>
    <x v="2"/>
  </r>
  <r>
    <x v="2256"/>
    <x v="0"/>
    <x v="2"/>
    <n v="22.2"/>
    <n v="66.599999999999994"/>
    <d v="2025-03-24T00:00:00"/>
    <d v="2025-03-25T00:00:00"/>
    <x v="1"/>
    <x v="1"/>
    <n v="4"/>
    <x v="0"/>
    <x v="17"/>
    <x v="3"/>
    <x v="12"/>
    <x v="1"/>
  </r>
  <r>
    <x v="2257"/>
    <x v="10"/>
    <x v="0"/>
    <n v="32.4"/>
    <n v="32.4"/>
    <d v="2025-03-24T00:00:00"/>
    <d v="2025-03-25T00:00:00"/>
    <x v="2"/>
    <x v="0"/>
    <n v="4"/>
    <x v="0"/>
    <x v="11"/>
    <x v="3"/>
    <x v="12"/>
    <x v="2"/>
  </r>
  <r>
    <x v="2258"/>
    <x v="5"/>
    <x v="2"/>
    <n v="88.4"/>
    <n v="265.20000000000005"/>
    <d v="2025-03-25T00:00:00"/>
    <d v="2025-03-27T00:00:00"/>
    <x v="2"/>
    <x v="1"/>
    <n v="3"/>
    <x v="0"/>
    <x v="11"/>
    <x v="1"/>
    <x v="12"/>
    <x v="2"/>
  </r>
  <r>
    <x v="2259"/>
    <x v="5"/>
    <x v="27"/>
    <n v="30.5"/>
    <n v="488"/>
    <d v="2025-03-25T00:00:00"/>
    <d v="2025-03-26T00:00:00"/>
    <x v="2"/>
    <x v="2"/>
    <n v="4"/>
    <x v="0"/>
    <x v="11"/>
    <x v="3"/>
    <x v="12"/>
    <x v="2"/>
  </r>
  <r>
    <x v="2260"/>
    <x v="1"/>
    <x v="13"/>
    <n v="38.1"/>
    <n v="228.60000000000002"/>
    <d v="2025-03-25T00:00:00"/>
    <d v="2025-03-27T00:00:00"/>
    <x v="2"/>
    <x v="0"/>
    <n v="3"/>
    <x v="0"/>
    <x v="11"/>
    <x v="1"/>
    <x v="12"/>
    <x v="2"/>
  </r>
  <r>
    <x v="2261"/>
    <x v="10"/>
    <x v="9"/>
    <n v="37.6"/>
    <n v="188"/>
    <d v="2025-03-25T00:00:00"/>
    <d v="2025-03-29T00:00:00"/>
    <x v="1"/>
    <x v="0"/>
    <n v="4"/>
    <x v="0"/>
    <x v="11"/>
    <x v="5"/>
    <x v="12"/>
    <x v="1"/>
  </r>
  <r>
    <x v="2262"/>
    <x v="15"/>
    <x v="1"/>
    <n v="31.4"/>
    <n v="62.8"/>
    <d v="2025-03-25T00:00:00"/>
    <d v="2025-03-26T00:00:00"/>
    <x v="1"/>
    <x v="0"/>
    <n v="5"/>
    <x v="0"/>
    <x v="11"/>
    <x v="3"/>
    <x v="12"/>
    <x v="1"/>
  </r>
  <r>
    <x v="2263"/>
    <x v="6"/>
    <x v="1"/>
    <n v="61.5"/>
    <n v="123"/>
    <d v="2025-03-25T00:00:00"/>
    <d v="2025-03-26T00:00:00"/>
    <x v="1"/>
    <x v="3"/>
    <n v="4"/>
    <x v="0"/>
    <x v="31"/>
    <x v="3"/>
    <x v="12"/>
    <x v="1"/>
  </r>
  <r>
    <x v="2264"/>
    <x v="6"/>
    <x v="0"/>
    <n v="72.599999999999994"/>
    <n v="72.599999999999994"/>
    <d v="2025-03-25T00:00:00"/>
    <d v="2025-03-26T00:00:00"/>
    <x v="1"/>
    <x v="0"/>
    <n v="3"/>
    <x v="0"/>
    <x v="21"/>
    <x v="3"/>
    <x v="12"/>
    <x v="1"/>
  </r>
  <r>
    <x v="2265"/>
    <x v="9"/>
    <x v="2"/>
    <n v="26.9"/>
    <n v="80.699999999999989"/>
    <d v="2025-03-25T00:00:00"/>
    <d v="2025-03-30T00:00:00"/>
    <x v="3"/>
    <x v="4"/>
    <n v="3"/>
    <x v="0"/>
    <x v="46"/>
    <x v="0"/>
    <x v="12"/>
    <x v="3"/>
  </r>
  <r>
    <x v="2266"/>
    <x v="17"/>
    <x v="4"/>
    <n v="29.4"/>
    <n v="352.79999999999995"/>
    <d v="2025-03-25T00:00:00"/>
    <d v="2025-03-26T00:00:00"/>
    <x v="2"/>
    <x v="1"/>
    <n v="4"/>
    <x v="0"/>
    <x v="51"/>
    <x v="3"/>
    <x v="12"/>
    <x v="2"/>
  </r>
  <r>
    <x v="2267"/>
    <x v="17"/>
    <x v="1"/>
    <n v="42.1"/>
    <n v="84.2"/>
    <d v="2025-03-25T00:00:00"/>
    <d v="2025-03-26T00:00:00"/>
    <x v="2"/>
    <x v="3"/>
    <n v="3"/>
    <x v="0"/>
    <x v="1"/>
    <x v="3"/>
    <x v="12"/>
    <x v="2"/>
  </r>
  <r>
    <x v="2268"/>
    <x v="5"/>
    <x v="0"/>
    <n v="40.5"/>
    <n v="40.5"/>
    <d v="2025-03-25T00:00:00"/>
    <d v="2025-03-26T00:00:00"/>
    <x v="2"/>
    <x v="2"/>
    <n v="3"/>
    <x v="0"/>
    <x v="1"/>
    <x v="3"/>
    <x v="12"/>
    <x v="2"/>
  </r>
  <r>
    <x v="2269"/>
    <x v="2"/>
    <x v="12"/>
    <n v="182.3"/>
    <n v="729.2"/>
    <d v="2025-03-25T00:00:00"/>
    <d v="2025-03-26T00:00:00"/>
    <x v="2"/>
    <x v="1"/>
    <n v="4"/>
    <x v="0"/>
    <x v="1"/>
    <x v="3"/>
    <x v="12"/>
    <x v="2"/>
  </r>
  <r>
    <x v="2270"/>
    <x v="2"/>
    <x v="9"/>
    <n v="157"/>
    <n v="785"/>
    <d v="2025-03-25T00:00:00"/>
    <d v="2025-03-28T00:00:00"/>
    <x v="2"/>
    <x v="1"/>
    <n v="5"/>
    <x v="0"/>
    <x v="2"/>
    <x v="2"/>
    <x v="12"/>
    <x v="2"/>
  </r>
  <r>
    <x v="2271"/>
    <x v="17"/>
    <x v="9"/>
    <n v="45.2"/>
    <n v="226"/>
    <d v="2025-03-25T00:00:00"/>
    <d v="2025-03-28T00:00:00"/>
    <x v="2"/>
    <x v="1"/>
    <n v="4"/>
    <x v="0"/>
    <x v="22"/>
    <x v="2"/>
    <x v="12"/>
    <x v="2"/>
  </r>
  <r>
    <x v="2272"/>
    <x v="15"/>
    <x v="12"/>
    <n v="27.4"/>
    <n v="109.6"/>
    <d v="2025-03-25T00:00:00"/>
    <d v="2025-03-27T00:00:00"/>
    <x v="2"/>
    <x v="0"/>
    <n v="4"/>
    <x v="0"/>
    <x v="3"/>
    <x v="1"/>
    <x v="12"/>
    <x v="2"/>
  </r>
  <r>
    <x v="2273"/>
    <x v="5"/>
    <x v="9"/>
    <n v="34.1"/>
    <n v="170.5"/>
    <d v="2025-03-25T00:00:00"/>
    <d v="2025-03-27T00:00:00"/>
    <x v="1"/>
    <x v="0"/>
    <n v="5"/>
    <x v="0"/>
    <x v="3"/>
    <x v="1"/>
    <x v="12"/>
    <x v="1"/>
  </r>
  <r>
    <x v="2274"/>
    <x v="0"/>
    <x v="1"/>
    <n v="26"/>
    <n v="52"/>
    <d v="2025-03-25T00:00:00"/>
    <d v="2025-03-27T00:00:00"/>
    <x v="1"/>
    <x v="2"/>
    <n v="3"/>
    <x v="0"/>
    <x v="3"/>
    <x v="1"/>
    <x v="12"/>
    <x v="1"/>
  </r>
  <r>
    <x v="2275"/>
    <x v="8"/>
    <x v="3"/>
    <n v="19.399999999999999"/>
    <n v="135.79999999999998"/>
    <d v="2025-03-25T00:00:00"/>
    <d v="2025-03-27T00:00:00"/>
    <x v="0"/>
    <x v="1"/>
    <n v="3"/>
    <x v="0"/>
    <x v="3"/>
    <x v="1"/>
    <x v="12"/>
    <x v="0"/>
  </r>
  <r>
    <x v="2276"/>
    <x v="16"/>
    <x v="2"/>
    <n v="30.3"/>
    <n v="90.9"/>
    <d v="2025-03-25T00:00:00"/>
    <d v="2025-03-28T00:00:00"/>
    <x v="2"/>
    <x v="1"/>
    <n v="5"/>
    <x v="0"/>
    <x v="3"/>
    <x v="2"/>
    <x v="12"/>
    <x v="2"/>
  </r>
  <r>
    <x v="2277"/>
    <x v="2"/>
    <x v="2"/>
    <n v="101.4"/>
    <n v="304.20000000000005"/>
    <d v="2025-03-25T00:00:00"/>
    <d v="2025-03-26T00:00:00"/>
    <x v="1"/>
    <x v="0"/>
    <n v="4"/>
    <x v="0"/>
    <x v="3"/>
    <x v="3"/>
    <x v="12"/>
    <x v="1"/>
  </r>
  <r>
    <x v="2278"/>
    <x v="3"/>
    <x v="9"/>
    <n v="55.5"/>
    <n v="277.5"/>
    <d v="2025-03-25T00:00:00"/>
    <d v="2025-03-28T00:00:00"/>
    <x v="1"/>
    <x v="1"/>
    <n v="4"/>
    <x v="0"/>
    <x v="24"/>
    <x v="2"/>
    <x v="12"/>
    <x v="1"/>
  </r>
  <r>
    <x v="2279"/>
    <x v="8"/>
    <x v="0"/>
    <n v="23.1"/>
    <n v="23.1"/>
    <d v="2025-03-25T00:00:00"/>
    <d v="2025-03-26T00:00:00"/>
    <x v="1"/>
    <x v="0"/>
    <n v="4"/>
    <x v="0"/>
    <x v="25"/>
    <x v="3"/>
    <x v="12"/>
    <x v="1"/>
  </r>
  <r>
    <x v="2280"/>
    <x v="18"/>
    <x v="1"/>
    <n v="38.9"/>
    <n v="77.8"/>
    <d v="2025-03-25T00:00:00"/>
    <d v="2025-03-26T00:00:00"/>
    <x v="1"/>
    <x v="2"/>
    <n v="4"/>
    <x v="0"/>
    <x v="25"/>
    <x v="3"/>
    <x v="12"/>
    <x v="1"/>
  </r>
  <r>
    <x v="2281"/>
    <x v="6"/>
    <x v="11"/>
    <n v="116.3"/>
    <n v="1046.7"/>
    <d v="2025-03-25T00:00:00"/>
    <d v="2025-03-29T00:00:00"/>
    <x v="2"/>
    <x v="0"/>
    <n v="4"/>
    <x v="0"/>
    <x v="5"/>
    <x v="5"/>
    <x v="12"/>
    <x v="2"/>
  </r>
  <r>
    <x v="2282"/>
    <x v="16"/>
    <x v="11"/>
    <n v="64.099999999999994"/>
    <n v="576.9"/>
    <d v="2025-03-25T00:00:00"/>
    <d v="2025-03-25T00:00:00"/>
    <x v="2"/>
    <x v="0"/>
    <n v="5"/>
    <x v="0"/>
    <x v="6"/>
    <x v="7"/>
    <x v="12"/>
    <x v="2"/>
  </r>
  <r>
    <x v="2283"/>
    <x v="2"/>
    <x v="13"/>
    <n v="109.2"/>
    <n v="655.20000000000005"/>
    <d v="2025-03-25T00:00:00"/>
    <d v="2025-03-27T00:00:00"/>
    <x v="1"/>
    <x v="0"/>
    <n v="3"/>
    <x v="0"/>
    <x v="8"/>
    <x v="1"/>
    <x v="12"/>
    <x v="1"/>
  </r>
  <r>
    <x v="2284"/>
    <x v="10"/>
    <x v="9"/>
    <n v="23.2"/>
    <n v="116"/>
    <d v="2025-03-26T00:00:00"/>
    <d v="2025-03-27T00:00:00"/>
    <x v="1"/>
    <x v="0"/>
    <n v="3"/>
    <x v="0"/>
    <x v="8"/>
    <x v="3"/>
    <x v="12"/>
    <x v="1"/>
  </r>
  <r>
    <x v="2285"/>
    <x v="18"/>
    <x v="13"/>
    <n v="81.2"/>
    <n v="487.20000000000005"/>
    <d v="2025-03-26T00:00:00"/>
    <d v="2025-03-28T00:00:00"/>
    <x v="1"/>
    <x v="2"/>
    <n v="5"/>
    <x v="0"/>
    <x v="8"/>
    <x v="1"/>
    <x v="12"/>
    <x v="1"/>
  </r>
  <r>
    <x v="2286"/>
    <x v="1"/>
    <x v="21"/>
    <n v="35.700000000000003"/>
    <n v="499.80000000000007"/>
    <d v="2025-03-26T00:00:00"/>
    <d v="2025-03-27T00:00:00"/>
    <x v="1"/>
    <x v="3"/>
    <n v="4"/>
    <x v="0"/>
    <x v="8"/>
    <x v="3"/>
    <x v="12"/>
    <x v="1"/>
  </r>
  <r>
    <x v="2287"/>
    <x v="7"/>
    <x v="1"/>
    <n v="44.5"/>
    <n v="89"/>
    <d v="2025-03-26T00:00:00"/>
    <d v="2025-03-29T00:00:00"/>
    <x v="1"/>
    <x v="4"/>
    <n v="4"/>
    <x v="0"/>
    <x v="9"/>
    <x v="2"/>
    <x v="12"/>
    <x v="1"/>
  </r>
  <r>
    <x v="2288"/>
    <x v="1"/>
    <x v="9"/>
    <n v="32"/>
    <n v="160"/>
    <d v="2025-03-26T00:00:00"/>
    <d v="2025-03-28T00:00:00"/>
    <x v="3"/>
    <x v="1"/>
    <n v="3"/>
    <x v="0"/>
    <x v="9"/>
    <x v="1"/>
    <x v="12"/>
    <x v="3"/>
  </r>
  <r>
    <x v="2289"/>
    <x v="8"/>
    <x v="0"/>
    <n v="25.7"/>
    <n v="25.7"/>
    <d v="2025-03-26T00:00:00"/>
    <d v="2025-03-27T00:00:00"/>
    <x v="1"/>
    <x v="0"/>
    <n v="4"/>
    <x v="0"/>
    <x v="10"/>
    <x v="3"/>
    <x v="12"/>
    <x v="1"/>
  </r>
  <r>
    <x v="2290"/>
    <x v="16"/>
    <x v="2"/>
    <n v="65.599999999999994"/>
    <n v="196.79999999999998"/>
    <d v="2025-03-26T00:00:00"/>
    <d v="2025-04-01T00:00:00"/>
    <x v="1"/>
    <x v="0"/>
    <n v="4"/>
    <x v="0"/>
    <x v="11"/>
    <x v="4"/>
    <x v="12"/>
    <x v="1"/>
  </r>
  <r>
    <x v="2291"/>
    <x v="1"/>
    <x v="12"/>
    <n v="52.1"/>
    <n v="208.4"/>
    <d v="2025-03-26T00:00:00"/>
    <d v="2025-03-27T00:00:00"/>
    <x v="2"/>
    <x v="0"/>
    <n v="5"/>
    <x v="0"/>
    <x v="11"/>
    <x v="3"/>
    <x v="12"/>
    <x v="2"/>
  </r>
  <r>
    <x v="2292"/>
    <x v="8"/>
    <x v="0"/>
    <n v="31"/>
    <n v="31"/>
    <d v="2025-03-26T00:00:00"/>
    <d v="2025-03-27T00:00:00"/>
    <x v="1"/>
    <x v="0"/>
    <n v="3"/>
    <x v="0"/>
    <x v="19"/>
    <x v="3"/>
    <x v="12"/>
    <x v="1"/>
  </r>
  <r>
    <x v="2293"/>
    <x v="8"/>
    <x v="0"/>
    <n v="32"/>
    <n v="32"/>
    <d v="2025-03-26T00:00:00"/>
    <d v="2025-03-28T00:00:00"/>
    <x v="3"/>
    <x v="3"/>
    <n v="3"/>
    <x v="0"/>
    <x v="31"/>
    <x v="1"/>
    <x v="12"/>
    <x v="3"/>
  </r>
  <r>
    <x v="2294"/>
    <x v="16"/>
    <x v="12"/>
    <n v="58.3"/>
    <n v="233.2"/>
    <d v="2025-03-26T00:00:00"/>
    <d v="2025-03-30T00:00:00"/>
    <x v="1"/>
    <x v="1"/>
    <n v="2"/>
    <x v="0"/>
    <x v="20"/>
    <x v="5"/>
    <x v="12"/>
    <x v="1"/>
  </r>
  <r>
    <x v="2295"/>
    <x v="8"/>
    <x v="2"/>
    <n v="31"/>
    <n v="93"/>
    <d v="2025-03-26T00:00:00"/>
    <d v="2025-03-28T00:00:00"/>
    <x v="2"/>
    <x v="2"/>
    <n v="2"/>
    <x v="0"/>
    <x v="13"/>
    <x v="1"/>
    <x v="12"/>
    <x v="2"/>
  </r>
  <r>
    <x v="2296"/>
    <x v="3"/>
    <x v="0"/>
    <n v="40.299999999999997"/>
    <n v="40.299999999999997"/>
    <d v="2025-03-26T00:00:00"/>
    <d v="2025-03-27T00:00:00"/>
    <x v="1"/>
    <x v="1"/>
    <n v="5"/>
    <x v="0"/>
    <x v="54"/>
    <x v="3"/>
    <x v="12"/>
    <x v="1"/>
  </r>
  <r>
    <x v="2297"/>
    <x v="6"/>
    <x v="2"/>
    <n v="47.3"/>
    <n v="141.89999999999998"/>
    <d v="2025-03-26T00:00:00"/>
    <d v="2025-03-28T00:00:00"/>
    <x v="1"/>
    <x v="4"/>
    <n v="5"/>
    <x v="0"/>
    <x v="2"/>
    <x v="1"/>
    <x v="12"/>
    <x v="1"/>
  </r>
  <r>
    <x v="2298"/>
    <x v="2"/>
    <x v="0"/>
    <n v="82.8"/>
    <n v="82.8"/>
    <d v="2025-03-26T00:00:00"/>
    <d v="2025-03-27T00:00:00"/>
    <x v="1"/>
    <x v="0"/>
    <n v="4"/>
    <x v="0"/>
    <x v="2"/>
    <x v="3"/>
    <x v="12"/>
    <x v="1"/>
  </r>
  <r>
    <x v="2299"/>
    <x v="8"/>
    <x v="0"/>
    <n v="18.5"/>
    <n v="18.5"/>
    <d v="2025-03-26T00:00:00"/>
    <d v="2025-04-09T00:00:00"/>
    <x v="2"/>
    <x v="0"/>
    <n v="4"/>
    <x v="0"/>
    <x v="44"/>
    <x v="12"/>
    <x v="12"/>
    <x v="2"/>
  </r>
  <r>
    <x v="2300"/>
    <x v="3"/>
    <x v="1"/>
    <n v="60.4"/>
    <n v="120.8"/>
    <d v="2025-03-26T00:00:00"/>
    <d v="2025-03-27T00:00:00"/>
    <x v="1"/>
    <x v="2"/>
    <n v="4"/>
    <x v="0"/>
    <x v="22"/>
    <x v="3"/>
    <x v="12"/>
    <x v="1"/>
  </r>
  <r>
    <x v="2301"/>
    <x v="6"/>
    <x v="9"/>
    <n v="80.2"/>
    <n v="401"/>
    <d v="2025-03-26T00:00:00"/>
    <d v="2025-04-02T00:00:00"/>
    <x v="1"/>
    <x v="1"/>
    <n v="3"/>
    <x v="0"/>
    <x v="50"/>
    <x v="6"/>
    <x v="12"/>
    <x v="1"/>
  </r>
  <r>
    <x v="2302"/>
    <x v="4"/>
    <x v="0"/>
    <n v="41.5"/>
    <n v="41.5"/>
    <d v="2025-03-26T00:00:00"/>
    <d v="2025-03-28T00:00:00"/>
    <x v="1"/>
    <x v="2"/>
    <n v="4"/>
    <x v="0"/>
    <x v="3"/>
    <x v="1"/>
    <x v="12"/>
    <x v="1"/>
  </r>
  <r>
    <x v="2303"/>
    <x v="2"/>
    <x v="1"/>
    <n v="83.9"/>
    <n v="167.8"/>
    <d v="2025-03-26T00:00:00"/>
    <d v="2025-03-29T00:00:00"/>
    <x v="2"/>
    <x v="0"/>
    <n v="4"/>
    <x v="0"/>
    <x v="3"/>
    <x v="2"/>
    <x v="12"/>
    <x v="2"/>
  </r>
  <r>
    <x v="2304"/>
    <x v="8"/>
    <x v="1"/>
    <n v="16.7"/>
    <n v="33.4"/>
    <d v="2025-03-26T00:00:00"/>
    <d v="2025-03-30T00:00:00"/>
    <x v="2"/>
    <x v="0"/>
    <n v="3"/>
    <x v="0"/>
    <x v="3"/>
    <x v="5"/>
    <x v="12"/>
    <x v="2"/>
  </r>
  <r>
    <x v="2305"/>
    <x v="9"/>
    <x v="1"/>
    <n v="72.900000000000006"/>
    <n v="145.80000000000001"/>
    <d v="2025-03-26T00:00:00"/>
    <d v="2025-03-27T00:00:00"/>
    <x v="1"/>
    <x v="2"/>
    <n v="3"/>
    <x v="0"/>
    <x v="3"/>
    <x v="3"/>
    <x v="12"/>
    <x v="1"/>
  </r>
  <r>
    <x v="2306"/>
    <x v="5"/>
    <x v="1"/>
    <n v="50.2"/>
    <n v="100.4"/>
    <d v="2025-03-26T00:00:00"/>
    <d v="2025-03-28T00:00:00"/>
    <x v="2"/>
    <x v="1"/>
    <n v="5"/>
    <x v="0"/>
    <x v="3"/>
    <x v="1"/>
    <x v="12"/>
    <x v="2"/>
  </r>
  <r>
    <x v="2307"/>
    <x v="3"/>
    <x v="1"/>
    <n v="34.200000000000003"/>
    <n v="68.400000000000006"/>
    <d v="2025-03-26T00:00:00"/>
    <d v="2025-04-05T00:00:00"/>
    <x v="0"/>
    <x v="1"/>
    <n v="4"/>
    <x v="0"/>
    <x v="3"/>
    <x v="14"/>
    <x v="12"/>
    <x v="0"/>
  </r>
  <r>
    <x v="2308"/>
    <x v="5"/>
    <x v="1"/>
    <n v="107.9"/>
    <n v="215.8"/>
    <d v="2025-03-26T00:00:00"/>
    <d v="2025-03-26T00:00:00"/>
    <x v="1"/>
    <x v="1"/>
    <n v="2"/>
    <x v="0"/>
    <x v="3"/>
    <x v="7"/>
    <x v="12"/>
    <x v="1"/>
  </r>
  <r>
    <x v="2309"/>
    <x v="0"/>
    <x v="2"/>
    <n v="17.5"/>
    <n v="52.5"/>
    <d v="2025-03-26T00:00:00"/>
    <d v="2025-03-28T00:00:00"/>
    <x v="1"/>
    <x v="4"/>
    <n v="4"/>
    <x v="0"/>
    <x v="3"/>
    <x v="1"/>
    <x v="12"/>
    <x v="1"/>
  </r>
  <r>
    <x v="2310"/>
    <x v="13"/>
    <x v="20"/>
    <n v="44.7"/>
    <n v="670.5"/>
    <d v="2025-03-26T00:00:00"/>
    <d v="2025-03-27T00:00:00"/>
    <x v="1"/>
    <x v="0"/>
    <n v="3"/>
    <x v="0"/>
    <x v="3"/>
    <x v="3"/>
    <x v="12"/>
    <x v="1"/>
  </r>
  <r>
    <x v="2311"/>
    <x v="12"/>
    <x v="13"/>
    <n v="92.7"/>
    <n v="556.20000000000005"/>
    <d v="2025-03-26T00:00:00"/>
    <d v="2025-03-28T00:00:00"/>
    <x v="2"/>
    <x v="2"/>
    <n v="3"/>
    <x v="0"/>
    <x v="3"/>
    <x v="1"/>
    <x v="12"/>
    <x v="2"/>
  </r>
  <r>
    <x v="2312"/>
    <x v="7"/>
    <x v="2"/>
    <n v="48.8"/>
    <n v="146.39999999999998"/>
    <d v="2025-03-26T00:00:00"/>
    <d v="2025-03-28T00:00:00"/>
    <x v="2"/>
    <x v="2"/>
    <n v="4"/>
    <x v="0"/>
    <x v="3"/>
    <x v="1"/>
    <x v="12"/>
    <x v="2"/>
  </r>
  <r>
    <x v="2313"/>
    <x v="4"/>
    <x v="27"/>
    <n v="21.3"/>
    <n v="340.8"/>
    <d v="2025-03-26T00:00:00"/>
    <d v="2025-03-30T00:00:00"/>
    <x v="2"/>
    <x v="3"/>
    <n v="1"/>
    <x v="0"/>
    <x v="3"/>
    <x v="5"/>
    <x v="12"/>
    <x v="2"/>
  </r>
  <r>
    <x v="2314"/>
    <x v="16"/>
    <x v="0"/>
    <n v="52.5"/>
    <n v="52.5"/>
    <d v="2025-03-26T00:00:00"/>
    <d v="2025-03-27T00:00:00"/>
    <x v="2"/>
    <x v="0"/>
    <n v="4"/>
    <x v="0"/>
    <x v="3"/>
    <x v="3"/>
    <x v="12"/>
    <x v="2"/>
  </r>
  <r>
    <x v="2315"/>
    <x v="1"/>
    <x v="1"/>
    <n v="92.4"/>
    <n v="184.8"/>
    <d v="2025-03-26T00:00:00"/>
    <d v="2025-04-01T00:00:00"/>
    <x v="2"/>
    <x v="0"/>
    <n v="5"/>
    <x v="0"/>
    <x v="3"/>
    <x v="4"/>
    <x v="12"/>
    <x v="2"/>
  </r>
  <r>
    <x v="2316"/>
    <x v="4"/>
    <x v="5"/>
    <n v="58.3"/>
    <n v="641.29999999999995"/>
    <d v="2025-03-26T00:00:00"/>
    <d v="2025-03-28T00:00:00"/>
    <x v="1"/>
    <x v="1"/>
    <n v="5"/>
    <x v="0"/>
    <x v="3"/>
    <x v="1"/>
    <x v="12"/>
    <x v="1"/>
  </r>
  <r>
    <x v="2317"/>
    <x v="6"/>
    <x v="44"/>
    <n v="152.6"/>
    <n v="3509.7999999999997"/>
    <d v="2025-03-27T00:00:00"/>
    <d v="2025-03-29T00:00:00"/>
    <x v="0"/>
    <x v="0"/>
    <n v="4"/>
    <x v="0"/>
    <x v="3"/>
    <x v="1"/>
    <x v="12"/>
    <x v="0"/>
  </r>
  <r>
    <x v="2318"/>
    <x v="8"/>
    <x v="1"/>
    <n v="26"/>
    <n v="52"/>
    <d v="2025-03-27T00:00:00"/>
    <d v="2025-03-27T00:00:00"/>
    <x v="0"/>
    <x v="0"/>
    <n v="3"/>
    <x v="0"/>
    <x v="3"/>
    <x v="7"/>
    <x v="12"/>
    <x v="0"/>
  </r>
  <r>
    <x v="2319"/>
    <x v="1"/>
    <x v="12"/>
    <n v="33.1"/>
    <n v="132.4"/>
    <d v="2025-03-27T00:00:00"/>
    <d v="2025-03-27T00:00:00"/>
    <x v="1"/>
    <x v="2"/>
    <n v="2"/>
    <x v="0"/>
    <x v="5"/>
    <x v="7"/>
    <x v="12"/>
    <x v="1"/>
  </r>
  <r>
    <x v="2320"/>
    <x v="18"/>
    <x v="0"/>
    <n v="51.4"/>
    <n v="51.4"/>
    <d v="2025-03-27T00:00:00"/>
    <d v="2025-03-29T00:00:00"/>
    <x v="2"/>
    <x v="1"/>
    <n v="3"/>
    <x v="0"/>
    <x v="5"/>
    <x v="1"/>
    <x v="12"/>
    <x v="2"/>
  </r>
  <r>
    <x v="2321"/>
    <x v="8"/>
    <x v="1"/>
    <n v="30.2"/>
    <n v="60.4"/>
    <d v="2025-03-27T00:00:00"/>
    <d v="2025-03-28T00:00:00"/>
    <x v="2"/>
    <x v="2"/>
    <n v="5"/>
    <x v="0"/>
    <x v="6"/>
    <x v="3"/>
    <x v="12"/>
    <x v="2"/>
  </r>
  <r>
    <x v="2322"/>
    <x v="2"/>
    <x v="13"/>
    <n v="97"/>
    <n v="582"/>
    <d v="2025-03-27T00:00:00"/>
    <d v="2025-03-31T00:00:00"/>
    <x v="2"/>
    <x v="0"/>
    <n v="5"/>
    <x v="0"/>
    <x v="7"/>
    <x v="5"/>
    <x v="12"/>
    <x v="2"/>
  </r>
  <r>
    <x v="2323"/>
    <x v="2"/>
    <x v="0"/>
    <n v="76.900000000000006"/>
    <n v="76.900000000000006"/>
    <d v="2025-03-27T00:00:00"/>
    <d v="2025-03-28T00:00:00"/>
    <x v="1"/>
    <x v="1"/>
    <n v="5"/>
    <x v="0"/>
    <x v="8"/>
    <x v="3"/>
    <x v="12"/>
    <x v="1"/>
  </r>
  <r>
    <x v="2324"/>
    <x v="7"/>
    <x v="13"/>
    <n v="36.1"/>
    <n v="216.60000000000002"/>
    <d v="2025-03-27T00:00:00"/>
    <d v="2025-03-31T00:00:00"/>
    <x v="2"/>
    <x v="0"/>
    <n v="4"/>
    <x v="0"/>
    <x v="8"/>
    <x v="5"/>
    <x v="12"/>
    <x v="2"/>
  </r>
  <r>
    <x v="2325"/>
    <x v="1"/>
    <x v="3"/>
    <n v="34.4"/>
    <n v="240.79999999999998"/>
    <d v="2025-03-27T00:00:00"/>
    <d v="2025-03-27T00:00:00"/>
    <x v="2"/>
    <x v="2"/>
    <n v="3"/>
    <x v="0"/>
    <x v="11"/>
    <x v="7"/>
    <x v="12"/>
    <x v="2"/>
  </r>
  <r>
    <x v="2326"/>
    <x v="1"/>
    <x v="31"/>
    <n v="53.4"/>
    <n v="1495.2"/>
    <d v="2025-03-27T00:00:00"/>
    <d v="2025-03-29T00:00:00"/>
    <x v="2"/>
    <x v="1"/>
    <n v="4"/>
    <x v="0"/>
    <x v="18"/>
    <x v="1"/>
    <x v="12"/>
    <x v="2"/>
  </r>
  <r>
    <x v="2327"/>
    <x v="2"/>
    <x v="0"/>
    <n v="77.599999999999994"/>
    <n v="77.599999999999994"/>
    <d v="2025-03-27T00:00:00"/>
    <d v="2025-03-28T00:00:00"/>
    <x v="2"/>
    <x v="0"/>
    <n v="3"/>
    <x v="0"/>
    <x v="19"/>
    <x v="3"/>
    <x v="12"/>
    <x v="2"/>
  </r>
  <r>
    <x v="2328"/>
    <x v="1"/>
    <x v="2"/>
    <n v="71.7"/>
    <n v="215.10000000000002"/>
    <d v="2025-03-27T00:00:00"/>
    <d v="2025-03-30T00:00:00"/>
    <x v="2"/>
    <x v="1"/>
    <n v="4"/>
    <x v="0"/>
    <x v="19"/>
    <x v="2"/>
    <x v="12"/>
    <x v="2"/>
  </r>
  <r>
    <x v="2329"/>
    <x v="3"/>
    <x v="2"/>
    <n v="80.599999999999994"/>
    <n v="241.79999999999998"/>
    <d v="2025-03-27T00:00:00"/>
    <d v="2025-03-28T00:00:00"/>
    <x v="1"/>
    <x v="4"/>
    <n v="3"/>
    <x v="0"/>
    <x v="19"/>
    <x v="3"/>
    <x v="12"/>
    <x v="1"/>
  </r>
  <r>
    <x v="2330"/>
    <x v="1"/>
    <x v="20"/>
    <n v="70"/>
    <n v="1050"/>
    <d v="2025-03-27T00:00:00"/>
    <d v="2025-03-29T00:00:00"/>
    <x v="1"/>
    <x v="0"/>
    <n v="4"/>
    <x v="0"/>
    <x v="20"/>
    <x v="1"/>
    <x v="12"/>
    <x v="1"/>
  </r>
  <r>
    <x v="2331"/>
    <x v="4"/>
    <x v="13"/>
    <n v="27.3"/>
    <n v="163.80000000000001"/>
    <d v="2025-03-27T00:00:00"/>
    <d v="2025-03-29T00:00:00"/>
    <x v="2"/>
    <x v="1"/>
    <n v="3"/>
    <x v="0"/>
    <x v="2"/>
    <x v="1"/>
    <x v="12"/>
    <x v="2"/>
  </r>
  <r>
    <x v="2332"/>
    <x v="8"/>
    <x v="21"/>
    <n v="37.6"/>
    <n v="526.4"/>
    <d v="2025-03-27T00:00:00"/>
    <d v="2025-03-29T00:00:00"/>
    <x v="1"/>
    <x v="1"/>
    <n v="4"/>
    <x v="0"/>
    <x v="3"/>
    <x v="1"/>
    <x v="12"/>
    <x v="1"/>
  </r>
  <r>
    <x v="2333"/>
    <x v="5"/>
    <x v="2"/>
    <n v="36.6"/>
    <n v="109.80000000000001"/>
    <d v="2025-03-27T00:00:00"/>
    <d v="2025-03-29T00:00:00"/>
    <x v="2"/>
    <x v="4"/>
    <n v="4"/>
    <x v="0"/>
    <x v="3"/>
    <x v="1"/>
    <x v="12"/>
    <x v="2"/>
  </r>
  <r>
    <x v="2334"/>
    <x v="13"/>
    <x v="0"/>
    <n v="55.2"/>
    <n v="55.2"/>
    <d v="2025-03-27T00:00:00"/>
    <d v="2025-03-29T00:00:00"/>
    <x v="1"/>
    <x v="3"/>
    <n v="4"/>
    <x v="0"/>
    <x v="3"/>
    <x v="1"/>
    <x v="12"/>
    <x v="1"/>
  </r>
  <r>
    <x v="2335"/>
    <x v="6"/>
    <x v="9"/>
    <n v="59.9"/>
    <n v="299.5"/>
    <d v="2025-03-27T00:00:00"/>
    <d v="2025-03-29T00:00:00"/>
    <x v="1"/>
    <x v="0"/>
    <n v="4"/>
    <x v="0"/>
    <x v="3"/>
    <x v="1"/>
    <x v="12"/>
    <x v="1"/>
  </r>
  <r>
    <x v="2336"/>
    <x v="6"/>
    <x v="0"/>
    <n v="44"/>
    <n v="44"/>
    <d v="2025-03-27T00:00:00"/>
    <d v="2025-03-28T00:00:00"/>
    <x v="2"/>
    <x v="2"/>
    <n v="5"/>
    <x v="0"/>
    <x v="3"/>
    <x v="3"/>
    <x v="12"/>
    <x v="2"/>
  </r>
  <r>
    <x v="2337"/>
    <x v="9"/>
    <x v="1"/>
    <n v="68.7"/>
    <n v="137.4"/>
    <d v="2025-03-27T00:00:00"/>
    <d v="2025-03-27T00:00:00"/>
    <x v="1"/>
    <x v="0"/>
    <n v="4"/>
    <x v="0"/>
    <x v="3"/>
    <x v="7"/>
    <x v="12"/>
    <x v="1"/>
  </r>
  <r>
    <x v="2338"/>
    <x v="5"/>
    <x v="1"/>
    <n v="61.6"/>
    <n v="123.2"/>
    <d v="2025-03-27T00:00:00"/>
    <d v="2025-03-31T00:00:00"/>
    <x v="1"/>
    <x v="3"/>
    <n v="3"/>
    <x v="0"/>
    <x v="3"/>
    <x v="5"/>
    <x v="12"/>
    <x v="1"/>
  </r>
  <r>
    <x v="2339"/>
    <x v="7"/>
    <x v="3"/>
    <n v="51.8"/>
    <n v="362.59999999999997"/>
    <d v="2025-03-27T00:00:00"/>
    <d v="2025-03-28T00:00:00"/>
    <x v="1"/>
    <x v="0"/>
    <n v="4"/>
    <x v="0"/>
    <x v="3"/>
    <x v="3"/>
    <x v="12"/>
    <x v="1"/>
  </r>
  <r>
    <x v="2340"/>
    <x v="8"/>
    <x v="7"/>
    <n v="46.2"/>
    <n v="462"/>
    <d v="2025-03-27T00:00:00"/>
    <d v="2025-03-29T00:00:00"/>
    <x v="1"/>
    <x v="1"/>
    <n v="5"/>
    <x v="0"/>
    <x v="3"/>
    <x v="1"/>
    <x v="12"/>
    <x v="1"/>
  </r>
  <r>
    <x v="2341"/>
    <x v="0"/>
    <x v="1"/>
    <n v="19.399999999999999"/>
    <n v="38.799999999999997"/>
    <d v="2025-03-27T00:00:00"/>
    <d v="2025-03-29T00:00:00"/>
    <x v="2"/>
    <x v="1"/>
    <n v="5"/>
    <x v="0"/>
    <x v="6"/>
    <x v="1"/>
    <x v="12"/>
    <x v="2"/>
  </r>
  <r>
    <x v="2342"/>
    <x v="11"/>
    <x v="2"/>
    <n v="52.1"/>
    <n v="156.30000000000001"/>
    <d v="2025-03-27T00:00:00"/>
    <d v="2025-03-30T00:00:00"/>
    <x v="1"/>
    <x v="3"/>
    <n v="1"/>
    <x v="0"/>
    <x v="6"/>
    <x v="2"/>
    <x v="12"/>
    <x v="1"/>
  </r>
  <r>
    <x v="2343"/>
    <x v="6"/>
    <x v="0"/>
    <n v="74.900000000000006"/>
    <n v="74.900000000000006"/>
    <d v="2025-03-27T00:00:00"/>
    <d v="2025-03-29T00:00:00"/>
    <x v="3"/>
    <x v="0"/>
    <n v="4"/>
    <x v="0"/>
    <x v="7"/>
    <x v="1"/>
    <x v="12"/>
    <x v="3"/>
  </r>
  <r>
    <x v="2344"/>
    <x v="9"/>
    <x v="3"/>
    <n v="49.6"/>
    <n v="347.2"/>
    <d v="2025-03-27T00:00:00"/>
    <d v="2025-03-30T00:00:00"/>
    <x v="2"/>
    <x v="4"/>
    <n v="4"/>
    <x v="0"/>
    <x v="8"/>
    <x v="2"/>
    <x v="12"/>
    <x v="2"/>
  </r>
  <r>
    <x v="2345"/>
    <x v="16"/>
    <x v="12"/>
    <n v="82.8"/>
    <n v="331.2"/>
    <d v="2025-03-28T00:00:00"/>
    <d v="2025-03-31T00:00:00"/>
    <x v="2"/>
    <x v="4"/>
    <n v="4"/>
    <x v="0"/>
    <x v="8"/>
    <x v="2"/>
    <x v="12"/>
    <x v="2"/>
  </r>
  <r>
    <x v="2346"/>
    <x v="2"/>
    <x v="0"/>
    <n v="97.7"/>
    <n v="97.7"/>
    <d v="2025-03-28T00:00:00"/>
    <d v="2025-03-29T00:00:00"/>
    <x v="2"/>
    <x v="1"/>
    <n v="4"/>
    <x v="0"/>
    <x v="8"/>
    <x v="3"/>
    <x v="12"/>
    <x v="2"/>
  </r>
  <r>
    <x v="2347"/>
    <x v="6"/>
    <x v="9"/>
    <n v="83.6"/>
    <n v="418"/>
    <d v="2025-03-28T00:00:00"/>
    <d v="2025-03-29T00:00:00"/>
    <x v="2"/>
    <x v="4"/>
    <n v="4"/>
    <x v="0"/>
    <x v="8"/>
    <x v="3"/>
    <x v="12"/>
    <x v="2"/>
  </r>
  <r>
    <x v="2348"/>
    <x v="8"/>
    <x v="9"/>
    <n v="23.5"/>
    <n v="117.5"/>
    <d v="2025-03-28T00:00:00"/>
    <d v="2025-04-01T00:00:00"/>
    <x v="3"/>
    <x v="0"/>
    <n v="4"/>
    <x v="0"/>
    <x v="8"/>
    <x v="5"/>
    <x v="12"/>
    <x v="3"/>
  </r>
  <r>
    <x v="2349"/>
    <x v="9"/>
    <x v="2"/>
    <n v="44.6"/>
    <n v="133.80000000000001"/>
    <d v="2025-03-28T00:00:00"/>
    <d v="2025-03-31T00:00:00"/>
    <x v="2"/>
    <x v="4"/>
    <n v="3"/>
    <x v="0"/>
    <x v="26"/>
    <x v="2"/>
    <x v="12"/>
    <x v="2"/>
  </r>
  <r>
    <x v="2350"/>
    <x v="0"/>
    <x v="2"/>
    <n v="20.100000000000001"/>
    <n v="60.300000000000004"/>
    <d v="2025-03-28T00:00:00"/>
    <d v="2025-03-30T00:00:00"/>
    <x v="2"/>
    <x v="3"/>
    <n v="2"/>
    <x v="0"/>
    <x v="11"/>
    <x v="1"/>
    <x v="12"/>
    <x v="2"/>
  </r>
  <r>
    <x v="2351"/>
    <x v="2"/>
    <x v="9"/>
    <n v="153.6"/>
    <n v="768"/>
    <d v="2025-03-28T00:00:00"/>
    <d v="2025-03-29T00:00:00"/>
    <x v="2"/>
    <x v="1"/>
    <n v="5"/>
    <x v="0"/>
    <x v="53"/>
    <x v="3"/>
    <x v="12"/>
    <x v="2"/>
  </r>
  <r>
    <x v="2352"/>
    <x v="1"/>
    <x v="1"/>
    <n v="71.8"/>
    <n v="143.6"/>
    <d v="2025-03-28T00:00:00"/>
    <d v="2025-04-01T00:00:00"/>
    <x v="2"/>
    <x v="1"/>
    <n v="4"/>
    <x v="0"/>
    <x v="1"/>
    <x v="5"/>
    <x v="12"/>
    <x v="2"/>
  </r>
  <r>
    <x v="2353"/>
    <x v="10"/>
    <x v="0"/>
    <n v="64.7"/>
    <n v="64.7"/>
    <d v="2025-03-28T00:00:00"/>
    <d v="2025-03-30T00:00:00"/>
    <x v="0"/>
    <x v="0"/>
    <n v="3"/>
    <x v="0"/>
    <x v="1"/>
    <x v="1"/>
    <x v="12"/>
    <x v="0"/>
  </r>
  <r>
    <x v="2354"/>
    <x v="9"/>
    <x v="8"/>
    <n v="60.4"/>
    <n v="483.2"/>
    <d v="2025-03-28T00:00:00"/>
    <d v="2025-03-30T00:00:00"/>
    <x v="2"/>
    <x v="3"/>
    <n v="5"/>
    <x v="0"/>
    <x v="2"/>
    <x v="1"/>
    <x v="12"/>
    <x v="2"/>
  </r>
  <r>
    <x v="2355"/>
    <x v="6"/>
    <x v="12"/>
    <n v="86"/>
    <n v="344"/>
    <d v="2025-03-28T00:00:00"/>
    <d v="2025-03-31T00:00:00"/>
    <x v="2"/>
    <x v="2"/>
    <n v="5"/>
    <x v="0"/>
    <x v="22"/>
    <x v="2"/>
    <x v="12"/>
    <x v="2"/>
  </r>
  <r>
    <x v="2356"/>
    <x v="12"/>
    <x v="1"/>
    <n v="42.1"/>
    <n v="84.2"/>
    <d v="2025-03-28T00:00:00"/>
    <d v="2025-03-29T00:00:00"/>
    <x v="2"/>
    <x v="4"/>
    <n v="3"/>
    <x v="0"/>
    <x v="34"/>
    <x v="3"/>
    <x v="12"/>
    <x v="2"/>
  </r>
  <r>
    <x v="2357"/>
    <x v="16"/>
    <x v="11"/>
    <n v="51.1"/>
    <n v="459.90000000000003"/>
    <d v="2025-03-28T00:00:00"/>
    <d v="2025-03-29T00:00:00"/>
    <x v="1"/>
    <x v="2"/>
    <n v="3"/>
    <x v="0"/>
    <x v="3"/>
    <x v="3"/>
    <x v="12"/>
    <x v="1"/>
  </r>
  <r>
    <x v="2358"/>
    <x v="9"/>
    <x v="12"/>
    <n v="73.8"/>
    <n v="295.2"/>
    <d v="2025-03-28T00:00:00"/>
    <d v="2025-03-29T00:00:00"/>
    <x v="1"/>
    <x v="4"/>
    <n v="4"/>
    <x v="0"/>
    <x v="3"/>
    <x v="3"/>
    <x v="12"/>
    <x v="1"/>
  </r>
  <r>
    <x v="2359"/>
    <x v="8"/>
    <x v="9"/>
    <n v="27"/>
    <n v="135"/>
    <d v="2025-03-28T00:00:00"/>
    <d v="2025-03-31T00:00:00"/>
    <x v="2"/>
    <x v="2"/>
    <n v="5"/>
    <x v="0"/>
    <x v="3"/>
    <x v="2"/>
    <x v="12"/>
    <x v="2"/>
  </r>
  <r>
    <x v="2360"/>
    <x v="8"/>
    <x v="13"/>
    <n v="60.1"/>
    <n v="360.6"/>
    <d v="2025-03-28T00:00:00"/>
    <d v="2025-03-29T00:00:00"/>
    <x v="1"/>
    <x v="3"/>
    <n v="4"/>
    <x v="0"/>
    <x v="3"/>
    <x v="3"/>
    <x v="12"/>
    <x v="1"/>
  </r>
  <r>
    <x v="2361"/>
    <x v="2"/>
    <x v="3"/>
    <n v="94.1"/>
    <n v="658.69999999999993"/>
    <d v="2025-03-28T00:00:00"/>
    <d v="2025-03-30T00:00:00"/>
    <x v="2"/>
    <x v="4"/>
    <n v="3"/>
    <x v="0"/>
    <x v="3"/>
    <x v="1"/>
    <x v="12"/>
    <x v="2"/>
  </r>
  <r>
    <x v="2362"/>
    <x v="2"/>
    <x v="1"/>
    <n v="124.1"/>
    <n v="248.2"/>
    <d v="2025-03-28T00:00:00"/>
    <d v="2025-03-28T00:00:00"/>
    <x v="2"/>
    <x v="2"/>
    <n v="1"/>
    <x v="0"/>
    <x v="43"/>
    <x v="7"/>
    <x v="12"/>
    <x v="2"/>
  </r>
  <r>
    <x v="2363"/>
    <x v="8"/>
    <x v="12"/>
    <n v="16.899999999999999"/>
    <n v="67.599999999999994"/>
    <d v="2025-03-28T00:00:00"/>
    <d v="2025-03-31T00:00:00"/>
    <x v="1"/>
    <x v="3"/>
    <n v="4"/>
    <x v="0"/>
    <x v="6"/>
    <x v="2"/>
    <x v="12"/>
    <x v="1"/>
  </r>
  <r>
    <x v="2364"/>
    <x v="1"/>
    <x v="0"/>
    <n v="36.9"/>
    <n v="36.9"/>
    <d v="2025-03-28T00:00:00"/>
    <d v="2025-03-29T00:00:00"/>
    <x v="1"/>
    <x v="0"/>
    <n v="4"/>
    <x v="0"/>
    <x v="6"/>
    <x v="3"/>
    <x v="12"/>
    <x v="1"/>
  </r>
  <r>
    <x v="2365"/>
    <x v="9"/>
    <x v="1"/>
    <n v="22.6"/>
    <n v="45.2"/>
    <d v="2025-03-28T00:00:00"/>
    <d v="2025-04-10T00:00:00"/>
    <x v="2"/>
    <x v="2"/>
    <n v="3"/>
    <x v="0"/>
    <x v="8"/>
    <x v="10"/>
    <x v="12"/>
    <x v="2"/>
  </r>
  <r>
    <x v="2366"/>
    <x v="7"/>
    <x v="12"/>
    <n v="35"/>
    <n v="140"/>
    <d v="2025-03-28T00:00:00"/>
    <d v="2025-04-02T00:00:00"/>
    <x v="1"/>
    <x v="3"/>
    <n v="3"/>
    <x v="0"/>
    <x v="8"/>
    <x v="0"/>
    <x v="12"/>
    <x v="1"/>
  </r>
  <r>
    <x v="2367"/>
    <x v="9"/>
    <x v="13"/>
    <n v="63.6"/>
    <n v="381.6"/>
    <d v="2025-03-28T00:00:00"/>
    <d v="2025-04-04T00:00:00"/>
    <x v="0"/>
    <x v="1"/>
    <n v="5"/>
    <x v="0"/>
    <x v="8"/>
    <x v="6"/>
    <x v="12"/>
    <x v="0"/>
  </r>
  <r>
    <x v="2368"/>
    <x v="15"/>
    <x v="12"/>
    <n v="78.599999999999994"/>
    <n v="314.39999999999998"/>
    <d v="2025-03-28T00:00:00"/>
    <d v="2025-03-29T00:00:00"/>
    <x v="1"/>
    <x v="4"/>
    <n v="3"/>
    <x v="0"/>
    <x v="8"/>
    <x v="3"/>
    <x v="12"/>
    <x v="1"/>
  </r>
  <r>
    <x v="2369"/>
    <x v="3"/>
    <x v="1"/>
    <n v="38.5"/>
    <n v="77"/>
    <d v="2025-03-28T00:00:00"/>
    <d v="2025-03-29T00:00:00"/>
    <x v="1"/>
    <x v="0"/>
    <n v="5"/>
    <x v="0"/>
    <x v="8"/>
    <x v="3"/>
    <x v="12"/>
    <x v="1"/>
  </r>
  <r>
    <x v="2370"/>
    <x v="8"/>
    <x v="5"/>
    <n v="71.5"/>
    <n v="786.5"/>
    <d v="2025-03-28T00:00:00"/>
    <d v="2025-03-29T00:00:00"/>
    <x v="2"/>
    <x v="1"/>
    <n v="2"/>
    <x v="0"/>
    <x v="8"/>
    <x v="3"/>
    <x v="12"/>
    <x v="2"/>
  </r>
  <r>
    <x v="2371"/>
    <x v="6"/>
    <x v="12"/>
    <n v="121.4"/>
    <n v="485.6"/>
    <d v="2025-03-28T00:00:00"/>
    <d v="2025-04-01T00:00:00"/>
    <x v="1"/>
    <x v="1"/>
    <n v="5"/>
    <x v="0"/>
    <x v="17"/>
    <x v="5"/>
    <x v="12"/>
    <x v="1"/>
  </r>
  <r>
    <x v="2372"/>
    <x v="11"/>
    <x v="0"/>
    <n v="40.200000000000003"/>
    <n v="40.200000000000003"/>
    <d v="2025-03-28T00:00:00"/>
    <d v="2025-03-31T00:00:00"/>
    <x v="2"/>
    <x v="0"/>
    <n v="5"/>
    <x v="0"/>
    <x v="11"/>
    <x v="2"/>
    <x v="12"/>
    <x v="2"/>
  </r>
  <r>
    <x v="2373"/>
    <x v="5"/>
    <x v="9"/>
    <n v="31.9"/>
    <n v="159.5"/>
    <d v="2025-03-28T00:00:00"/>
    <d v="2025-03-30T00:00:00"/>
    <x v="2"/>
    <x v="2"/>
    <n v="5"/>
    <x v="0"/>
    <x v="28"/>
    <x v="1"/>
    <x v="12"/>
    <x v="2"/>
  </r>
  <r>
    <x v="2374"/>
    <x v="14"/>
    <x v="9"/>
    <n v="15.8"/>
    <n v="79"/>
    <d v="2025-03-29T00:00:00"/>
    <d v="2025-03-30T00:00:00"/>
    <x v="1"/>
    <x v="3"/>
    <n v="5"/>
    <x v="0"/>
    <x v="21"/>
    <x v="3"/>
    <x v="12"/>
    <x v="1"/>
  </r>
  <r>
    <x v="2375"/>
    <x v="10"/>
    <x v="1"/>
    <n v="25.1"/>
    <n v="50.2"/>
    <d v="2025-03-29T00:00:00"/>
    <d v="2025-03-31T00:00:00"/>
    <x v="0"/>
    <x v="1"/>
    <n v="4"/>
    <x v="0"/>
    <x v="21"/>
    <x v="1"/>
    <x v="12"/>
    <x v="0"/>
  </r>
  <r>
    <x v="2376"/>
    <x v="1"/>
    <x v="44"/>
    <n v="38.1"/>
    <n v="876.30000000000007"/>
    <d v="2025-03-29T00:00:00"/>
    <d v="2025-03-30T00:00:00"/>
    <x v="2"/>
    <x v="4"/>
    <n v="4"/>
    <x v="0"/>
    <x v="1"/>
    <x v="3"/>
    <x v="12"/>
    <x v="2"/>
  </r>
  <r>
    <x v="2377"/>
    <x v="3"/>
    <x v="1"/>
    <n v="42.2"/>
    <n v="84.4"/>
    <d v="2025-03-29T00:00:00"/>
    <d v="2025-03-31T00:00:00"/>
    <x v="2"/>
    <x v="0"/>
    <n v="5"/>
    <x v="0"/>
    <x v="1"/>
    <x v="1"/>
    <x v="12"/>
    <x v="2"/>
  </r>
  <r>
    <x v="2378"/>
    <x v="0"/>
    <x v="7"/>
    <n v="12.3"/>
    <n v="123"/>
    <d v="2025-03-29T00:00:00"/>
    <d v="2025-03-30T00:00:00"/>
    <x v="2"/>
    <x v="4"/>
    <n v="4"/>
    <x v="0"/>
    <x v="2"/>
    <x v="3"/>
    <x v="12"/>
    <x v="2"/>
  </r>
  <r>
    <x v="2379"/>
    <x v="7"/>
    <x v="0"/>
    <n v="30.2"/>
    <n v="30.2"/>
    <d v="2025-03-29T00:00:00"/>
    <d v="2025-03-31T00:00:00"/>
    <x v="2"/>
    <x v="1"/>
    <n v="5"/>
    <x v="0"/>
    <x v="34"/>
    <x v="1"/>
    <x v="12"/>
    <x v="2"/>
  </r>
  <r>
    <x v="2380"/>
    <x v="5"/>
    <x v="2"/>
    <n v="25.3"/>
    <n v="75.900000000000006"/>
    <d v="2025-03-29T00:00:00"/>
    <d v="2025-04-01T00:00:00"/>
    <x v="2"/>
    <x v="2"/>
    <n v="4"/>
    <x v="0"/>
    <x v="3"/>
    <x v="2"/>
    <x v="12"/>
    <x v="2"/>
  </r>
  <r>
    <x v="2381"/>
    <x v="8"/>
    <x v="9"/>
    <n v="29.7"/>
    <n v="148.5"/>
    <d v="2025-03-29T00:00:00"/>
    <d v="2025-03-31T00:00:00"/>
    <x v="1"/>
    <x v="3"/>
    <n v="4"/>
    <x v="0"/>
    <x v="3"/>
    <x v="1"/>
    <x v="12"/>
    <x v="1"/>
  </r>
  <r>
    <x v="2382"/>
    <x v="9"/>
    <x v="8"/>
    <n v="32.9"/>
    <n v="263.2"/>
    <d v="2025-03-29T00:00:00"/>
    <d v="2025-03-30T00:00:00"/>
    <x v="0"/>
    <x v="3"/>
    <n v="5"/>
    <x v="0"/>
    <x v="3"/>
    <x v="3"/>
    <x v="12"/>
    <x v="0"/>
  </r>
  <r>
    <x v="2383"/>
    <x v="10"/>
    <x v="1"/>
    <n v="43.6"/>
    <n v="87.2"/>
    <d v="2025-03-29T00:00:00"/>
    <d v="2025-03-30T00:00:00"/>
    <x v="1"/>
    <x v="1"/>
    <n v="5"/>
    <x v="0"/>
    <x v="3"/>
    <x v="3"/>
    <x v="12"/>
    <x v="1"/>
  </r>
  <r>
    <x v="2384"/>
    <x v="15"/>
    <x v="12"/>
    <n v="78.400000000000006"/>
    <n v="313.60000000000002"/>
    <d v="2025-03-29T00:00:00"/>
    <d v="2025-03-30T00:00:00"/>
    <x v="1"/>
    <x v="2"/>
    <n v="4"/>
    <x v="0"/>
    <x v="3"/>
    <x v="3"/>
    <x v="12"/>
    <x v="1"/>
  </r>
  <r>
    <x v="2385"/>
    <x v="6"/>
    <x v="1"/>
    <n v="56.5"/>
    <n v="113"/>
    <d v="2025-03-29T00:00:00"/>
    <d v="2025-04-02T00:00:00"/>
    <x v="1"/>
    <x v="1"/>
    <n v="3"/>
    <x v="0"/>
    <x v="3"/>
    <x v="5"/>
    <x v="12"/>
    <x v="1"/>
  </r>
  <r>
    <x v="2386"/>
    <x v="16"/>
    <x v="0"/>
    <n v="36.700000000000003"/>
    <n v="36.700000000000003"/>
    <d v="2025-03-29T00:00:00"/>
    <d v="2025-03-30T00:00:00"/>
    <x v="2"/>
    <x v="0"/>
    <n v="5"/>
    <x v="0"/>
    <x v="3"/>
    <x v="3"/>
    <x v="12"/>
    <x v="2"/>
  </r>
  <r>
    <x v="2387"/>
    <x v="2"/>
    <x v="12"/>
    <n v="103.6"/>
    <n v="414.4"/>
    <d v="2025-03-29T00:00:00"/>
    <d v="2025-04-09T00:00:00"/>
    <x v="1"/>
    <x v="4"/>
    <n v="5"/>
    <x v="0"/>
    <x v="3"/>
    <x v="11"/>
    <x v="12"/>
    <x v="1"/>
  </r>
  <r>
    <x v="2388"/>
    <x v="8"/>
    <x v="13"/>
    <n v="16.2"/>
    <n v="97.199999999999989"/>
    <d v="2025-03-29T00:00:00"/>
    <d v="2025-04-02T00:00:00"/>
    <x v="1"/>
    <x v="1"/>
    <n v="5"/>
    <x v="0"/>
    <x v="6"/>
    <x v="5"/>
    <x v="12"/>
    <x v="1"/>
  </r>
  <r>
    <x v="2389"/>
    <x v="8"/>
    <x v="1"/>
    <n v="20.2"/>
    <n v="40.4"/>
    <d v="2025-03-29T00:00:00"/>
    <d v="2025-03-30T00:00:00"/>
    <x v="2"/>
    <x v="0"/>
    <n v="4"/>
    <x v="0"/>
    <x v="6"/>
    <x v="3"/>
    <x v="12"/>
    <x v="2"/>
  </r>
  <r>
    <x v="2390"/>
    <x v="11"/>
    <x v="1"/>
    <n v="26.9"/>
    <n v="53.8"/>
    <d v="2025-03-29T00:00:00"/>
    <d v="2025-03-31T00:00:00"/>
    <x v="2"/>
    <x v="2"/>
    <n v="4"/>
    <x v="0"/>
    <x v="6"/>
    <x v="1"/>
    <x v="12"/>
    <x v="2"/>
  </r>
  <r>
    <x v="2391"/>
    <x v="1"/>
    <x v="1"/>
    <n v="82.4"/>
    <n v="164.8"/>
    <d v="2025-03-29T00:00:00"/>
    <d v="2025-04-01T00:00:00"/>
    <x v="0"/>
    <x v="0"/>
    <n v="4"/>
    <x v="0"/>
    <x v="7"/>
    <x v="2"/>
    <x v="12"/>
    <x v="0"/>
  </r>
  <r>
    <x v="2392"/>
    <x v="2"/>
    <x v="1"/>
    <n v="117.8"/>
    <n v="235.6"/>
    <d v="2025-03-29T00:00:00"/>
    <d v="2025-03-31T00:00:00"/>
    <x v="1"/>
    <x v="1"/>
    <n v="5"/>
    <x v="0"/>
    <x v="8"/>
    <x v="1"/>
    <x v="12"/>
    <x v="1"/>
  </r>
  <r>
    <x v="2393"/>
    <x v="11"/>
    <x v="12"/>
    <n v="36.700000000000003"/>
    <n v="146.80000000000001"/>
    <d v="2025-03-29T00:00:00"/>
    <d v="2025-03-30T00:00:00"/>
    <x v="1"/>
    <x v="1"/>
    <n v="4"/>
    <x v="0"/>
    <x v="8"/>
    <x v="3"/>
    <x v="12"/>
    <x v="1"/>
  </r>
  <r>
    <x v="2394"/>
    <x v="17"/>
    <x v="2"/>
    <n v="46.8"/>
    <n v="140.39999999999998"/>
    <d v="2025-03-29T00:00:00"/>
    <d v="2025-03-30T00:00:00"/>
    <x v="1"/>
    <x v="4"/>
    <n v="5"/>
    <x v="0"/>
    <x v="10"/>
    <x v="3"/>
    <x v="12"/>
    <x v="1"/>
  </r>
  <r>
    <x v="2395"/>
    <x v="3"/>
    <x v="0"/>
    <n v="61.4"/>
    <n v="61.4"/>
    <d v="2025-03-29T00:00:00"/>
    <d v="2025-03-30T00:00:00"/>
    <x v="1"/>
    <x v="1"/>
    <n v="4"/>
    <x v="0"/>
    <x v="10"/>
    <x v="3"/>
    <x v="12"/>
    <x v="1"/>
  </r>
  <r>
    <x v="2396"/>
    <x v="15"/>
    <x v="1"/>
    <n v="22.9"/>
    <n v="45.8"/>
    <d v="2025-03-29T00:00:00"/>
    <d v="2025-03-30T00:00:00"/>
    <x v="1"/>
    <x v="0"/>
    <n v="4"/>
    <x v="0"/>
    <x v="11"/>
    <x v="3"/>
    <x v="12"/>
    <x v="1"/>
  </r>
  <r>
    <x v="2397"/>
    <x v="10"/>
    <x v="1"/>
    <n v="22.1"/>
    <n v="44.2"/>
    <d v="2025-03-29T00:00:00"/>
    <d v="2025-03-30T00:00:00"/>
    <x v="2"/>
    <x v="4"/>
    <n v="4"/>
    <x v="0"/>
    <x v="11"/>
    <x v="3"/>
    <x v="12"/>
    <x v="2"/>
  </r>
  <r>
    <x v="2398"/>
    <x v="12"/>
    <x v="1"/>
    <n v="31"/>
    <n v="62"/>
    <d v="2025-03-29T00:00:00"/>
    <d v="2025-03-31T00:00:00"/>
    <x v="2"/>
    <x v="2"/>
    <n v="4"/>
    <x v="0"/>
    <x v="18"/>
    <x v="1"/>
    <x v="12"/>
    <x v="2"/>
  </r>
  <r>
    <x v="2399"/>
    <x v="18"/>
    <x v="1"/>
    <n v="84.2"/>
    <n v="168.4"/>
    <d v="2025-03-29T00:00:00"/>
    <d v="2025-03-31T00:00:00"/>
    <x v="1"/>
    <x v="2"/>
    <n v="5"/>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AE4056-6EE3-43FF-9E30-5876F87EB7BD}" name="pvtSumma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6">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89765A-DF28-42DF-AEC5-0022FA37409E}" name="pvtMap"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9">
  <location ref="I36:L94" firstHeaderRow="0" firstDataRow="1" firstDataCol="2"/>
  <pivotFields count="16">
    <pivotField compact="0" outline="0" subtotalTop="0" showAll="0" defaultSubtotal="0">
      <items count="2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s>
      <extLst>
        <ext xmlns:x14="http://schemas.microsoft.com/office/spreadsheetml/2009/9/main" uri="{2946ED86-A175-432a-8AC1-64E0C546D7DE}">
          <x14:pivotField fillDownLabels="1"/>
        </ext>
      </extLst>
    </pivotField>
    <pivotField compact="0" outline="0" subtotalTop="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ubtotalTop="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numFmtId="15" outline="0" subtotalTop="0" showAll="0" defaultSubtotal="0">
      <extLst>
        <ext xmlns:x14="http://schemas.microsoft.com/office/spreadsheetml/2009/9/main" uri="{2946ED86-A175-432a-8AC1-64E0C546D7DE}">
          <x14:pivotField fillDownLabels="1"/>
        </ext>
      </extLst>
    </pivotField>
    <pivotField compact="0" numFmtId="15"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x="0"/>
        <item x="2"/>
        <item x="1"/>
        <item x="3"/>
      </items>
      <extLst>
        <ext xmlns:x14="http://schemas.microsoft.com/office/spreadsheetml/2009/9/main" uri="{2946ED86-A175-432a-8AC1-64E0C546D7DE}">
          <x14:pivotField fillDownLabels="1"/>
        </ext>
      </extLst>
    </pivotField>
    <pivotField compact="0" outline="0" subtotalTop="0" showAll="0" defaultSubtotal="0">
      <items count="5">
        <item x="0"/>
        <item x="3"/>
        <item x="4"/>
        <item x="2"/>
        <item x="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axis="axisRow" compact="0" outline="0" subtotalTop="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ubtotalTop="0" showAll="0" defaultSubtotal="0">
      <items count="4">
        <item x="2"/>
        <item x="1"/>
        <item x="3"/>
        <item x="0"/>
      </items>
      <extLst>
        <ext xmlns:x14="http://schemas.microsoft.com/office/spreadsheetml/2009/9/main" uri="{2946ED86-A175-432a-8AC1-64E0C546D7DE}">
          <x14:pivotField fillDownLabels="1"/>
        </ext>
      </extLst>
    </pivotField>
    <pivotField compact="0" outline="0" subtotalTop="0" showAll="0" defaultSubtotal="0">
      <items count="7">
        <item x="0"/>
        <item x="1"/>
        <item x="2"/>
        <item x="4"/>
        <item x="3"/>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chartFormats count="4">
    <chartFormat chart="3"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8776D9-584A-419A-8A8A-228C47876539}" name="pvtGender"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I27:J32" firstHeaderRow="1" firstDataRow="1" firstDataCol="1"/>
  <pivotFields count="16">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x="5"/>
        <item x="6"/>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
    <chartFormat chart="3"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F49B5F-75FE-4265-B124-4538F67E8631}" name="pvtProduc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7:F49" firstHeaderRow="1" firstDataRow="2" firstDataCol="1"/>
  <pivotFields count="16">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axis="axisCol"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6">
    <chartFormat chart="3"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9" format="8" series="1">
      <pivotArea type="data" outline="0" fieldPosition="0">
        <references count="2">
          <reference field="4294967294" count="1" selected="0">
            <x v="0"/>
          </reference>
          <reference field="7" count="1" selected="0">
            <x v="0"/>
          </reference>
        </references>
      </pivotArea>
    </chartFormat>
    <chartFormat chart="19" format="9" series="1">
      <pivotArea type="data" outline="0" fieldPosition="0">
        <references count="2">
          <reference field="4294967294" count="1" selected="0">
            <x v="0"/>
          </reference>
          <reference field="7" count="1" selected="0">
            <x v="1"/>
          </reference>
        </references>
      </pivotArea>
    </chartFormat>
    <chartFormat chart="19" format="10" series="1">
      <pivotArea type="data" outline="0" fieldPosition="0">
        <references count="2">
          <reference field="4294967294" count="1" selected="0">
            <x v="0"/>
          </reference>
          <reference field="7" count="1" selected="0">
            <x v="2"/>
          </reference>
        </references>
      </pivotArea>
    </chartFormat>
    <chartFormat chart="19"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B5908C-DD4F-4AE4-9F2A-038206426959}" name="pvtTren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C23" firstHeaderRow="0" firstDataRow="1" firstDataCol="1"/>
  <pivotFields count="16">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formats count="2">
    <format dxfId="6">
      <pivotArea collapsedLevelsAreSubtotals="1" fieldPosition="0">
        <references count="2">
          <reference field="4294967294" count="1" selected="0">
            <x v="1"/>
          </reference>
          <reference field="13" count="1">
            <x v="4"/>
          </reference>
        </references>
      </pivotArea>
    </format>
    <format dxfId="5">
      <pivotArea outline="0" fieldPosition="0">
        <references count="1">
          <reference field="4294967294" count="1">
            <x v="1"/>
          </reference>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E81610-B9DB-495C-AFB1-0641060BD6E9}" name="pvtQt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B22" firstHeaderRow="1" firstDataRow="1" firstDataCol="1"/>
  <pivotFields count="16">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5B7314-2178-400E-8FEE-F0BDFB59441C}"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6">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F8FBF2-575C-4CBC-B77F-7205191BA3E8}"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14:G30" firstHeaderRow="1" firstDataRow="1" firstDataCol="1"/>
  <pivotFields count="16">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n="6 TO 10" x="5"/>
        <item n="More than 10" x="6"/>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A8212C37-BA7E-49F6-BE5C-831975E30C96}" sourceName="Order Mode">
  <pivotTables>
    <pivotTable tabId="8" name="PivotTable9"/>
    <pivotTable tabId="8" name="PivotTable4"/>
    <pivotTable tabId="8" name="pvtQty"/>
    <pivotTable tabId="7" name="pvtGender"/>
    <pivotTable tabId="7" name="pvtMap"/>
    <pivotTable tabId="7" name="pvtProduct"/>
    <pivotTable tabId="7" name="pvtSummary"/>
    <pivotTable tabId="7" name="pvtTrend"/>
  </pivotTables>
  <data>
    <tabular pivotCacheId="1611340328">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54541B8E-7460-4FF7-87D3-1461D0EDAD11}" sourceName="Gender Value">
  <pivotTables>
    <pivotTable tabId="8" name="PivotTable9"/>
    <pivotTable tabId="8" name="PivotTable4"/>
    <pivotTable tabId="8" name="pvtQty"/>
    <pivotTable tabId="7" name="pvtGender"/>
    <pivotTable tabId="7" name="pvtMap"/>
    <pivotTable tabId="7" name="pvtProduct"/>
    <pivotTable tabId="7" name="pvtSummary"/>
    <pivotTable tabId="7" name="pvtTrend"/>
  </pivotTables>
  <data>
    <tabular pivotCacheId="161134032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F76A7BAE-929E-460B-80CB-03EC72A1631E}" cache="Slicer_Order_Mode" caption="Order Mode" rowHeight="247650"/>
  <slicer name="Gender Value" xr10:uid="{DF01CAB5-DB0F-4897-9B3C-A940F054F7A2}"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C5F2F-7445-4E81-8A6D-00D7E0A67971}">
  <dimension ref="A2:U94"/>
  <sheetViews>
    <sheetView topLeftCell="A32" workbookViewId="0">
      <selection activeCell="I35" sqref="I35"/>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 min="6" max="6" width="10.5546875" bestFit="1" customWidth="1"/>
    <col min="9" max="9" width="12.44140625" bestFit="1" customWidth="1"/>
    <col min="10" max="10" width="19.6640625" bestFit="1" customWidth="1"/>
    <col min="11" max="11" width="14.21875" bestFit="1" customWidth="1"/>
    <col min="12" max="12" width="13.5546875" bestFit="1" customWidth="1"/>
    <col min="13" max="13" width="4" bestFit="1" customWidth="1"/>
    <col min="14" max="14" width="10.5546875" bestFit="1" customWidth="1"/>
  </cols>
  <sheetData>
    <row r="2" spans="1:11" x14ac:dyDescent="0.3">
      <c r="G2" t="s">
        <v>2550</v>
      </c>
    </row>
    <row r="3" spans="1:11" x14ac:dyDescent="0.3">
      <c r="A3" t="s">
        <v>2547</v>
      </c>
      <c r="B3" t="s">
        <v>2545</v>
      </c>
      <c r="C3" t="s">
        <v>2546</v>
      </c>
      <c r="D3" t="s">
        <v>2548</v>
      </c>
      <c r="E3" t="s">
        <v>2549</v>
      </c>
      <c r="G3" t="s">
        <v>2535</v>
      </c>
      <c r="H3" t="s">
        <v>2551</v>
      </c>
      <c r="I3" t="s">
        <v>4</v>
      </c>
      <c r="J3" t="s">
        <v>2507</v>
      </c>
      <c r="K3" t="s">
        <v>2552</v>
      </c>
    </row>
    <row r="4" spans="1:11" x14ac:dyDescent="0.3">
      <c r="A4">
        <v>2400</v>
      </c>
      <c r="B4">
        <v>11997</v>
      </c>
      <c r="C4">
        <v>649019.80000000144</v>
      </c>
      <c r="D4">
        <v>3.9620833333333332</v>
      </c>
      <c r="E4">
        <v>2.3424999999999998</v>
      </c>
      <c r="G4" s="11">
        <f>A4</f>
        <v>2400</v>
      </c>
      <c r="H4" s="11">
        <f>B4</f>
        <v>11997</v>
      </c>
      <c r="I4" t="str">
        <f>TEXT(C4, "$#,##,.0k")</f>
        <v>$649.0k</v>
      </c>
      <c r="J4" s="12">
        <f>D4</f>
        <v>3.9620833333333332</v>
      </c>
      <c r="K4" s="12">
        <f>E4</f>
        <v>2.3424999999999998</v>
      </c>
    </row>
    <row r="5" spans="1:11" x14ac:dyDescent="0.3">
      <c r="I5" t="str">
        <f ca="1">_xlfn.FORMULATEXT(I4)</f>
        <v>=TEXT(C4, "$#,##,.0k")</v>
      </c>
    </row>
    <row r="8" spans="1:11" x14ac:dyDescent="0.3">
      <c r="A8" s="20" t="s">
        <v>2565</v>
      </c>
    </row>
    <row r="9" spans="1:11" x14ac:dyDescent="0.3">
      <c r="A9" s="13" t="s">
        <v>2553</v>
      </c>
      <c r="B9" t="s">
        <v>2545</v>
      </c>
      <c r="C9" t="s">
        <v>2546</v>
      </c>
    </row>
    <row r="10" spans="1:11" x14ac:dyDescent="0.3">
      <c r="A10" s="14">
        <v>1</v>
      </c>
      <c r="B10">
        <v>546</v>
      </c>
      <c r="C10" s="15">
        <v>32413.300000000003</v>
      </c>
    </row>
    <row r="11" spans="1:11" x14ac:dyDescent="0.3">
      <c r="A11" s="14">
        <v>2</v>
      </c>
      <c r="B11">
        <v>905</v>
      </c>
      <c r="C11" s="15">
        <v>49562.999999999993</v>
      </c>
    </row>
    <row r="12" spans="1:11" x14ac:dyDescent="0.3">
      <c r="A12" s="14">
        <v>3</v>
      </c>
      <c r="B12">
        <v>796</v>
      </c>
      <c r="C12" s="15">
        <v>41700.400000000016</v>
      </c>
    </row>
    <row r="13" spans="1:11" x14ac:dyDescent="0.3">
      <c r="A13" s="14">
        <v>4</v>
      </c>
      <c r="B13">
        <v>913</v>
      </c>
      <c r="C13" s="15">
        <v>46782.599999999984</v>
      </c>
    </row>
    <row r="14" spans="1:11" x14ac:dyDescent="0.3">
      <c r="A14" s="14">
        <v>5</v>
      </c>
      <c r="B14">
        <v>844</v>
      </c>
      <c r="C14" s="15">
        <v>42676.100000000006</v>
      </c>
    </row>
    <row r="15" spans="1:11" x14ac:dyDescent="0.3">
      <c r="A15" s="14">
        <v>6</v>
      </c>
      <c r="B15">
        <v>1202</v>
      </c>
      <c r="C15" s="15">
        <v>62910.7</v>
      </c>
    </row>
    <row r="16" spans="1:11" x14ac:dyDescent="0.3">
      <c r="A16" s="14">
        <v>7</v>
      </c>
      <c r="B16">
        <v>935</v>
      </c>
      <c r="C16" s="15">
        <v>50332.200000000004</v>
      </c>
    </row>
    <row r="17" spans="1:10" x14ac:dyDescent="0.3">
      <c r="A17" s="14">
        <v>8</v>
      </c>
      <c r="B17">
        <v>1128</v>
      </c>
      <c r="C17" s="15">
        <v>58760.599999999977</v>
      </c>
    </row>
    <row r="18" spans="1:10" x14ac:dyDescent="0.3">
      <c r="A18" s="14">
        <v>9</v>
      </c>
      <c r="B18">
        <v>1007</v>
      </c>
      <c r="C18" s="15">
        <v>52017.299999999996</v>
      </c>
    </row>
    <row r="19" spans="1:10" x14ac:dyDescent="0.3">
      <c r="A19" s="14">
        <v>10</v>
      </c>
      <c r="B19">
        <v>1128</v>
      </c>
      <c r="C19" s="15">
        <v>64915.700000000033</v>
      </c>
    </row>
    <row r="20" spans="1:10" x14ac:dyDescent="0.3">
      <c r="A20" s="14">
        <v>11</v>
      </c>
      <c r="B20">
        <v>861</v>
      </c>
      <c r="C20" s="15">
        <v>45943.80000000001</v>
      </c>
    </row>
    <row r="21" spans="1:10" x14ac:dyDescent="0.3">
      <c r="A21" s="14">
        <v>12</v>
      </c>
      <c r="B21">
        <v>944</v>
      </c>
      <c r="C21" s="15">
        <v>55077.900000000031</v>
      </c>
    </row>
    <row r="22" spans="1:10" x14ac:dyDescent="0.3">
      <c r="A22" s="14">
        <v>13</v>
      </c>
      <c r="B22">
        <v>788</v>
      </c>
      <c r="C22" s="15">
        <v>45926.19999999999</v>
      </c>
    </row>
    <row r="23" spans="1:10" x14ac:dyDescent="0.3">
      <c r="A23" s="14" t="s">
        <v>2554</v>
      </c>
      <c r="B23">
        <v>11997</v>
      </c>
      <c r="C23" s="15">
        <v>649019.79999999993</v>
      </c>
    </row>
    <row r="26" spans="1:10" x14ac:dyDescent="0.3">
      <c r="A26" t="s">
        <v>2566</v>
      </c>
    </row>
    <row r="27" spans="1:10" x14ac:dyDescent="0.3">
      <c r="A27" s="13" t="s">
        <v>2545</v>
      </c>
      <c r="B27" s="13" t="s">
        <v>2559</v>
      </c>
      <c r="I27" s="13" t="s">
        <v>2553</v>
      </c>
      <c r="J27" t="s">
        <v>2545</v>
      </c>
    </row>
    <row r="28" spans="1:10" x14ac:dyDescent="0.3">
      <c r="A28" s="13" t="s">
        <v>2553</v>
      </c>
      <c r="C28" t="s">
        <v>27</v>
      </c>
      <c r="D28" t="s">
        <v>23</v>
      </c>
      <c r="E28" t="s">
        <v>89</v>
      </c>
      <c r="F28" t="s">
        <v>2554</v>
      </c>
      <c r="I28" s="14" t="s">
        <v>2555</v>
      </c>
      <c r="J28">
        <v>6272</v>
      </c>
    </row>
    <row r="29" spans="1:10" x14ac:dyDescent="0.3">
      <c r="A29" s="14" t="s">
        <v>44</v>
      </c>
      <c r="B29">
        <v>98</v>
      </c>
      <c r="C29">
        <v>744</v>
      </c>
      <c r="D29">
        <v>713</v>
      </c>
      <c r="E29">
        <v>90</v>
      </c>
      <c r="F29">
        <v>1645</v>
      </c>
      <c r="I29" s="14" t="s">
        <v>2556</v>
      </c>
      <c r="J29">
        <v>4672</v>
      </c>
    </row>
    <row r="30" spans="1:10" x14ac:dyDescent="0.3">
      <c r="A30" s="14" t="s">
        <v>39</v>
      </c>
      <c r="B30">
        <v>214</v>
      </c>
      <c r="C30">
        <v>716</v>
      </c>
      <c r="D30">
        <v>598</v>
      </c>
      <c r="E30">
        <v>18</v>
      </c>
      <c r="F30">
        <v>1546</v>
      </c>
      <c r="I30" s="14" t="s">
        <v>2557</v>
      </c>
      <c r="J30">
        <v>317</v>
      </c>
    </row>
    <row r="31" spans="1:10" x14ac:dyDescent="0.3">
      <c r="A31" s="14" t="s">
        <v>26</v>
      </c>
      <c r="B31">
        <v>137</v>
      </c>
      <c r="C31">
        <v>627</v>
      </c>
      <c r="D31">
        <v>393</v>
      </c>
      <c r="E31">
        <v>29</v>
      </c>
      <c r="F31">
        <v>1186</v>
      </c>
      <c r="I31" s="14" t="s">
        <v>2558</v>
      </c>
      <c r="J31">
        <v>736</v>
      </c>
    </row>
    <row r="32" spans="1:10" x14ac:dyDescent="0.3">
      <c r="A32" s="14" t="s">
        <v>22</v>
      </c>
      <c r="B32">
        <v>16</v>
      </c>
      <c r="C32">
        <v>568</v>
      </c>
      <c r="D32">
        <v>306</v>
      </c>
      <c r="E32">
        <v>22</v>
      </c>
      <c r="F32">
        <v>912</v>
      </c>
      <c r="I32" s="14" t="s">
        <v>2554</v>
      </c>
      <c r="J32">
        <v>11997</v>
      </c>
    </row>
    <row r="33" spans="1:21" x14ac:dyDescent="0.3">
      <c r="A33" s="14" t="s">
        <v>54</v>
      </c>
      <c r="B33">
        <v>22</v>
      </c>
      <c r="C33">
        <v>482</v>
      </c>
      <c r="D33">
        <v>295</v>
      </c>
      <c r="E33">
        <v>8</v>
      </c>
      <c r="F33">
        <v>807</v>
      </c>
    </row>
    <row r="34" spans="1:21" x14ac:dyDescent="0.3">
      <c r="A34" s="14" t="s">
        <v>16</v>
      </c>
      <c r="B34">
        <v>24</v>
      </c>
      <c r="C34">
        <v>428</v>
      </c>
      <c r="D34">
        <v>293</v>
      </c>
      <c r="F34">
        <v>745</v>
      </c>
    </row>
    <row r="35" spans="1:21" x14ac:dyDescent="0.3">
      <c r="A35" s="14" t="s">
        <v>46</v>
      </c>
      <c r="B35">
        <v>39</v>
      </c>
      <c r="C35">
        <v>445</v>
      </c>
      <c r="D35">
        <v>202</v>
      </c>
      <c r="E35">
        <v>14</v>
      </c>
      <c r="F35">
        <v>700</v>
      </c>
      <c r="I35" s="14" t="s">
        <v>2568</v>
      </c>
      <c r="O35" t="s">
        <v>2563</v>
      </c>
      <c r="S35" t="s">
        <v>2564</v>
      </c>
    </row>
    <row r="36" spans="1:21" x14ac:dyDescent="0.3">
      <c r="A36" s="14" t="s">
        <v>32</v>
      </c>
      <c r="B36">
        <v>15</v>
      </c>
      <c r="C36">
        <v>431</v>
      </c>
      <c r="D36">
        <v>187</v>
      </c>
      <c r="E36">
        <v>14</v>
      </c>
      <c r="F36">
        <v>647</v>
      </c>
      <c r="I36" s="13" t="s">
        <v>10</v>
      </c>
      <c r="J36" s="13" t="s">
        <v>11</v>
      </c>
      <c r="K36" t="s">
        <v>2545</v>
      </c>
      <c r="L36" t="s">
        <v>2546</v>
      </c>
      <c r="O36" t="str">
        <f>I36</f>
        <v>State</v>
      </c>
      <c r="P36" t="str">
        <f t="shared" ref="P36" si="0">J36</f>
        <v>County</v>
      </c>
      <c r="Q36" t="s">
        <v>2551</v>
      </c>
      <c r="S36" t="str">
        <f>O36</f>
        <v>State</v>
      </c>
      <c r="T36" t="str">
        <f>P36</f>
        <v>County</v>
      </c>
      <c r="U36" t="s">
        <v>4</v>
      </c>
    </row>
    <row r="37" spans="1:21" x14ac:dyDescent="0.3">
      <c r="A37" s="14" t="s">
        <v>42</v>
      </c>
      <c r="B37">
        <v>9</v>
      </c>
      <c r="C37">
        <v>264</v>
      </c>
      <c r="D37">
        <v>318</v>
      </c>
      <c r="E37">
        <v>15</v>
      </c>
      <c r="F37">
        <v>606</v>
      </c>
      <c r="I37" t="s">
        <v>19</v>
      </c>
      <c r="J37" t="s">
        <v>115</v>
      </c>
      <c r="K37">
        <v>579</v>
      </c>
      <c r="L37">
        <v>31884.999999999996</v>
      </c>
      <c r="O37" t="str">
        <f t="shared" ref="O37:O94" si="1">I37</f>
        <v>California</v>
      </c>
      <c r="P37" t="str">
        <f t="shared" ref="P37:P94" si="2">J37</f>
        <v>Alameda County</v>
      </c>
      <c r="Q37">
        <f t="shared" ref="Q37:Q94" si="3">K37</f>
        <v>579</v>
      </c>
      <c r="S37" t="str">
        <f t="shared" ref="S37:S94" si="4">O37</f>
        <v>California</v>
      </c>
      <c r="T37" t="str">
        <f t="shared" ref="T37:T68" si="5">P37</f>
        <v>Alameda County</v>
      </c>
      <c r="U37">
        <f>L37</f>
        <v>31884.999999999996</v>
      </c>
    </row>
    <row r="38" spans="1:21" x14ac:dyDescent="0.3">
      <c r="A38" s="14" t="s">
        <v>37</v>
      </c>
      <c r="B38">
        <v>23</v>
      </c>
      <c r="C38">
        <v>296</v>
      </c>
      <c r="D38">
        <v>275</v>
      </c>
      <c r="E38">
        <v>9</v>
      </c>
      <c r="F38">
        <v>603</v>
      </c>
      <c r="I38" t="s">
        <v>19</v>
      </c>
      <c r="J38" t="s">
        <v>20</v>
      </c>
      <c r="K38">
        <v>1</v>
      </c>
      <c r="L38">
        <v>10.9</v>
      </c>
      <c r="O38" t="str">
        <f t="shared" si="1"/>
        <v>California</v>
      </c>
      <c r="P38" t="str">
        <f t="shared" si="2"/>
        <v>Alpine County</v>
      </c>
      <c r="Q38">
        <f t="shared" si="3"/>
        <v>1</v>
      </c>
      <c r="S38" t="str">
        <f t="shared" si="4"/>
        <v>California</v>
      </c>
      <c r="T38" t="str">
        <f t="shared" si="5"/>
        <v>Alpine County</v>
      </c>
      <c r="U38">
        <f t="shared" ref="U38:U94" si="6">L38</f>
        <v>10.9</v>
      </c>
    </row>
    <row r="39" spans="1:21" x14ac:dyDescent="0.3">
      <c r="A39" s="14" t="s">
        <v>123</v>
      </c>
      <c r="B39">
        <v>8</v>
      </c>
      <c r="C39">
        <v>153</v>
      </c>
      <c r="D39">
        <v>246</v>
      </c>
      <c r="E39">
        <v>30</v>
      </c>
      <c r="F39">
        <v>437</v>
      </c>
      <c r="I39" t="s">
        <v>19</v>
      </c>
      <c r="J39" t="s">
        <v>641</v>
      </c>
      <c r="K39">
        <v>9</v>
      </c>
      <c r="L39">
        <v>800.3</v>
      </c>
      <c r="O39" t="str">
        <f t="shared" si="1"/>
        <v>California</v>
      </c>
      <c r="P39" t="str">
        <f t="shared" si="2"/>
        <v>Amador County</v>
      </c>
      <c r="Q39">
        <f t="shared" si="3"/>
        <v>9</v>
      </c>
      <c r="S39" t="str">
        <f t="shared" si="4"/>
        <v>California</v>
      </c>
      <c r="T39" t="str">
        <f t="shared" si="5"/>
        <v>Amador County</v>
      </c>
      <c r="U39">
        <f t="shared" si="6"/>
        <v>800.3</v>
      </c>
    </row>
    <row r="40" spans="1:21" x14ac:dyDescent="0.3">
      <c r="A40" s="14" t="s">
        <v>146</v>
      </c>
      <c r="B40">
        <v>31</v>
      </c>
      <c r="C40">
        <v>189</v>
      </c>
      <c r="D40">
        <v>168</v>
      </c>
      <c r="E40">
        <v>10</v>
      </c>
      <c r="F40">
        <v>398</v>
      </c>
      <c r="I40" t="s">
        <v>19</v>
      </c>
      <c r="J40" t="s">
        <v>967</v>
      </c>
      <c r="K40">
        <v>35</v>
      </c>
      <c r="L40">
        <v>1062.5999999999999</v>
      </c>
      <c r="O40" t="str">
        <f t="shared" si="1"/>
        <v>California</v>
      </c>
      <c r="P40" t="str">
        <f t="shared" si="2"/>
        <v>Butte County</v>
      </c>
      <c r="Q40">
        <f t="shared" si="3"/>
        <v>35</v>
      </c>
      <c r="S40" t="str">
        <f t="shared" si="4"/>
        <v>California</v>
      </c>
      <c r="T40" t="str">
        <f t="shared" si="5"/>
        <v>Butte County</v>
      </c>
      <c r="U40">
        <f t="shared" si="6"/>
        <v>1062.5999999999999</v>
      </c>
    </row>
    <row r="41" spans="1:21" x14ac:dyDescent="0.3">
      <c r="A41" s="14" t="s">
        <v>69</v>
      </c>
      <c r="B41">
        <v>24</v>
      </c>
      <c r="C41">
        <v>234</v>
      </c>
      <c r="D41">
        <v>93</v>
      </c>
      <c r="E41">
        <v>19</v>
      </c>
      <c r="F41">
        <v>370</v>
      </c>
      <c r="I41" t="s">
        <v>19</v>
      </c>
      <c r="J41" t="s">
        <v>84</v>
      </c>
      <c r="K41">
        <v>12</v>
      </c>
      <c r="L41">
        <v>326.20000000000005</v>
      </c>
      <c r="O41" t="str">
        <f t="shared" si="1"/>
        <v>California</v>
      </c>
      <c r="P41" t="str">
        <f t="shared" si="2"/>
        <v>Calaveras County</v>
      </c>
      <c r="Q41">
        <f t="shared" si="3"/>
        <v>12</v>
      </c>
      <c r="S41" t="str">
        <f t="shared" si="4"/>
        <v>California</v>
      </c>
      <c r="T41" t="str">
        <f t="shared" si="5"/>
        <v>Calaveras County</v>
      </c>
      <c r="U41">
        <f t="shared" si="6"/>
        <v>326.20000000000005</v>
      </c>
    </row>
    <row r="42" spans="1:21" x14ac:dyDescent="0.3">
      <c r="A42" s="14" t="s">
        <v>30</v>
      </c>
      <c r="B42">
        <v>28</v>
      </c>
      <c r="C42">
        <v>146</v>
      </c>
      <c r="D42">
        <v>94</v>
      </c>
      <c r="E42">
        <v>4</v>
      </c>
      <c r="F42">
        <v>272</v>
      </c>
      <c r="I42" t="s">
        <v>19</v>
      </c>
      <c r="J42" t="s">
        <v>1383</v>
      </c>
      <c r="K42">
        <v>4</v>
      </c>
      <c r="L42">
        <v>167.5</v>
      </c>
      <c r="O42" t="str">
        <f t="shared" si="1"/>
        <v>California</v>
      </c>
      <c r="P42" t="str">
        <f t="shared" si="2"/>
        <v>Colusa County</v>
      </c>
      <c r="Q42">
        <f t="shared" si="3"/>
        <v>4</v>
      </c>
      <c r="S42" t="str">
        <f t="shared" si="4"/>
        <v>California</v>
      </c>
      <c r="T42" t="str">
        <f t="shared" si="5"/>
        <v>Colusa County</v>
      </c>
      <c r="U42">
        <f t="shared" si="6"/>
        <v>167.5</v>
      </c>
    </row>
    <row r="43" spans="1:21" x14ac:dyDescent="0.3">
      <c r="A43" s="14" t="s">
        <v>135</v>
      </c>
      <c r="B43">
        <v>12</v>
      </c>
      <c r="C43">
        <v>127</v>
      </c>
      <c r="D43">
        <v>118</v>
      </c>
      <c r="E43">
        <v>13</v>
      </c>
      <c r="F43">
        <v>270</v>
      </c>
      <c r="I43" t="s">
        <v>19</v>
      </c>
      <c r="J43" t="s">
        <v>24</v>
      </c>
      <c r="K43">
        <v>341</v>
      </c>
      <c r="L43">
        <v>16168.7</v>
      </c>
      <c r="O43" t="str">
        <f t="shared" si="1"/>
        <v>California</v>
      </c>
      <c r="P43" t="str">
        <f t="shared" si="2"/>
        <v>Contra Costa County</v>
      </c>
      <c r="Q43">
        <f t="shared" si="3"/>
        <v>341</v>
      </c>
      <c r="S43" t="str">
        <f t="shared" si="4"/>
        <v>California</v>
      </c>
      <c r="T43" t="str">
        <f t="shared" si="5"/>
        <v>Contra Costa County</v>
      </c>
      <c r="U43">
        <f t="shared" si="6"/>
        <v>16168.7</v>
      </c>
    </row>
    <row r="44" spans="1:21" x14ac:dyDescent="0.3">
      <c r="A44" s="14" t="s">
        <v>67</v>
      </c>
      <c r="C44">
        <v>179</v>
      </c>
      <c r="D44">
        <v>76</v>
      </c>
      <c r="E44">
        <v>3</v>
      </c>
      <c r="F44">
        <v>258</v>
      </c>
      <c r="I44" t="s">
        <v>19</v>
      </c>
      <c r="J44" t="s">
        <v>2204</v>
      </c>
      <c r="K44">
        <v>13</v>
      </c>
      <c r="L44">
        <v>322.40000000000003</v>
      </c>
      <c r="O44" t="str">
        <f t="shared" si="1"/>
        <v>California</v>
      </c>
      <c r="P44" t="str">
        <f t="shared" si="2"/>
        <v>Del Norte County</v>
      </c>
      <c r="Q44">
        <f t="shared" si="3"/>
        <v>13</v>
      </c>
      <c r="S44" t="str">
        <f t="shared" si="4"/>
        <v>California</v>
      </c>
      <c r="T44" t="str">
        <f t="shared" si="5"/>
        <v>Del Norte County</v>
      </c>
      <c r="U44">
        <f t="shared" si="6"/>
        <v>322.40000000000003</v>
      </c>
    </row>
    <row r="45" spans="1:21" x14ac:dyDescent="0.3">
      <c r="A45" s="14" t="s">
        <v>128</v>
      </c>
      <c r="B45">
        <v>24</v>
      </c>
      <c r="C45">
        <v>99</v>
      </c>
      <c r="D45">
        <v>69</v>
      </c>
      <c r="E45">
        <v>3</v>
      </c>
      <c r="F45">
        <v>195</v>
      </c>
      <c r="I45" t="s">
        <v>19</v>
      </c>
      <c r="J45" t="s">
        <v>437</v>
      </c>
      <c r="K45">
        <v>31</v>
      </c>
      <c r="L45">
        <v>2092.8000000000002</v>
      </c>
      <c r="O45" t="str">
        <f t="shared" si="1"/>
        <v>California</v>
      </c>
      <c r="P45" t="str">
        <f t="shared" si="2"/>
        <v>El Dorado County</v>
      </c>
      <c r="Q45">
        <f t="shared" si="3"/>
        <v>31</v>
      </c>
      <c r="S45" t="str">
        <f t="shared" si="4"/>
        <v>California</v>
      </c>
      <c r="T45" t="str">
        <f t="shared" si="5"/>
        <v>El Dorado County</v>
      </c>
      <c r="U45">
        <f t="shared" si="6"/>
        <v>2092.8000000000002</v>
      </c>
    </row>
    <row r="46" spans="1:21" x14ac:dyDescent="0.3">
      <c r="A46" s="14" t="s">
        <v>76</v>
      </c>
      <c r="B46">
        <v>6</v>
      </c>
      <c r="C46">
        <v>75</v>
      </c>
      <c r="D46">
        <v>103</v>
      </c>
      <c r="E46">
        <v>4</v>
      </c>
      <c r="F46">
        <v>188</v>
      </c>
      <c r="I46" t="s">
        <v>19</v>
      </c>
      <c r="J46" t="s">
        <v>28</v>
      </c>
      <c r="K46">
        <v>279</v>
      </c>
      <c r="L46">
        <v>12662.500000000002</v>
      </c>
      <c r="O46" t="str">
        <f t="shared" si="1"/>
        <v>California</v>
      </c>
      <c r="P46" t="str">
        <f t="shared" si="2"/>
        <v>Fresno County</v>
      </c>
      <c r="Q46">
        <f t="shared" si="3"/>
        <v>279</v>
      </c>
      <c r="S46" t="str">
        <f t="shared" si="4"/>
        <v>California</v>
      </c>
      <c r="T46" t="str">
        <f t="shared" si="5"/>
        <v>Fresno County</v>
      </c>
      <c r="U46">
        <f t="shared" si="6"/>
        <v>12662.500000000002</v>
      </c>
    </row>
    <row r="47" spans="1:21" x14ac:dyDescent="0.3">
      <c r="A47" s="14" t="s">
        <v>81</v>
      </c>
      <c r="B47">
        <v>6</v>
      </c>
      <c r="C47">
        <v>43</v>
      </c>
      <c r="D47">
        <v>90</v>
      </c>
      <c r="E47">
        <v>8</v>
      </c>
      <c r="F47">
        <v>147</v>
      </c>
      <c r="I47" t="s">
        <v>19</v>
      </c>
      <c r="J47" t="s">
        <v>208</v>
      </c>
      <c r="K47">
        <v>9</v>
      </c>
      <c r="L47">
        <v>343.2</v>
      </c>
      <c r="O47" t="str">
        <f t="shared" si="1"/>
        <v>California</v>
      </c>
      <c r="P47" t="str">
        <f t="shared" si="2"/>
        <v>Glenn County</v>
      </c>
      <c r="Q47">
        <f t="shared" si="3"/>
        <v>9</v>
      </c>
      <c r="S47" t="str">
        <f t="shared" si="4"/>
        <v>California</v>
      </c>
      <c r="T47" t="str">
        <f t="shared" si="5"/>
        <v>Glenn County</v>
      </c>
      <c r="U47">
        <f t="shared" si="6"/>
        <v>343.2</v>
      </c>
    </row>
    <row r="48" spans="1:21" x14ac:dyDescent="0.3">
      <c r="A48" s="14" t="s">
        <v>171</v>
      </c>
      <c r="C48">
        <v>26</v>
      </c>
      <c r="D48">
        <v>35</v>
      </c>
      <c r="E48">
        <v>4</v>
      </c>
      <c r="F48">
        <v>65</v>
      </c>
      <c r="I48" t="s">
        <v>19</v>
      </c>
      <c r="J48" t="s">
        <v>587</v>
      </c>
      <c r="K48">
        <v>49</v>
      </c>
      <c r="L48">
        <v>2188.2999999999997</v>
      </c>
      <c r="O48" t="str">
        <f t="shared" si="1"/>
        <v>California</v>
      </c>
      <c r="P48" t="str">
        <f t="shared" si="2"/>
        <v>Humboldt County</v>
      </c>
      <c r="Q48">
        <f t="shared" si="3"/>
        <v>49</v>
      </c>
      <c r="S48" t="str">
        <f t="shared" si="4"/>
        <v>California</v>
      </c>
      <c r="T48" t="str">
        <f t="shared" si="5"/>
        <v>Humboldt County</v>
      </c>
      <c r="U48">
        <f t="shared" si="6"/>
        <v>2188.2999999999997</v>
      </c>
    </row>
    <row r="49" spans="1:21" x14ac:dyDescent="0.3">
      <c r="A49" s="14" t="s">
        <v>2554</v>
      </c>
      <c r="B49">
        <v>736</v>
      </c>
      <c r="C49">
        <v>6272</v>
      </c>
      <c r="D49">
        <v>4672</v>
      </c>
      <c r="E49">
        <v>317</v>
      </c>
      <c r="F49">
        <v>11997</v>
      </c>
      <c r="I49" t="s">
        <v>19</v>
      </c>
      <c r="J49" t="s">
        <v>331</v>
      </c>
      <c r="K49">
        <v>59</v>
      </c>
      <c r="L49">
        <v>2661.5999999999995</v>
      </c>
      <c r="O49" t="str">
        <f t="shared" si="1"/>
        <v>California</v>
      </c>
      <c r="P49" t="str">
        <f t="shared" si="2"/>
        <v>Imperial County</v>
      </c>
      <c r="Q49">
        <f t="shared" si="3"/>
        <v>59</v>
      </c>
      <c r="S49" t="str">
        <f t="shared" si="4"/>
        <v>California</v>
      </c>
      <c r="T49" t="str">
        <f t="shared" si="5"/>
        <v>Imperial County</v>
      </c>
      <c r="U49">
        <f t="shared" si="6"/>
        <v>2661.5999999999995</v>
      </c>
    </row>
    <row r="50" spans="1:21" x14ac:dyDescent="0.3">
      <c r="I50" t="s">
        <v>19</v>
      </c>
      <c r="J50" t="s">
        <v>86</v>
      </c>
      <c r="K50">
        <v>8</v>
      </c>
      <c r="L50">
        <v>887.5</v>
      </c>
      <c r="O50" t="str">
        <f t="shared" si="1"/>
        <v>California</v>
      </c>
      <c r="P50" t="str">
        <f t="shared" si="2"/>
        <v>Inyo County</v>
      </c>
      <c r="Q50">
        <f t="shared" si="3"/>
        <v>8</v>
      </c>
      <c r="S50" t="str">
        <f t="shared" si="4"/>
        <v>California</v>
      </c>
      <c r="T50" t="str">
        <f t="shared" si="5"/>
        <v>Inyo County</v>
      </c>
      <c r="U50">
        <f t="shared" si="6"/>
        <v>887.5</v>
      </c>
    </row>
    <row r="51" spans="1:21" x14ac:dyDescent="0.3">
      <c r="I51" t="s">
        <v>19</v>
      </c>
      <c r="J51" t="s">
        <v>147</v>
      </c>
      <c r="K51">
        <v>222</v>
      </c>
      <c r="L51">
        <v>11354.199999999993</v>
      </c>
      <c r="O51" t="str">
        <f t="shared" si="1"/>
        <v>California</v>
      </c>
      <c r="P51" t="str">
        <f t="shared" si="2"/>
        <v>Kern County</v>
      </c>
      <c r="Q51">
        <f t="shared" si="3"/>
        <v>222</v>
      </c>
      <c r="S51" t="str">
        <f t="shared" si="4"/>
        <v>California</v>
      </c>
      <c r="T51" t="str">
        <f t="shared" si="5"/>
        <v>Kern County</v>
      </c>
      <c r="U51">
        <f t="shared" si="6"/>
        <v>11354.199999999993</v>
      </c>
    </row>
    <row r="52" spans="1:21" x14ac:dyDescent="0.3">
      <c r="I52" t="s">
        <v>19</v>
      </c>
      <c r="J52" t="s">
        <v>334</v>
      </c>
      <c r="K52">
        <v>36</v>
      </c>
      <c r="L52">
        <v>1558.4</v>
      </c>
      <c r="O52" t="str">
        <f t="shared" si="1"/>
        <v>California</v>
      </c>
      <c r="P52" t="str">
        <f t="shared" si="2"/>
        <v>Kings County</v>
      </c>
      <c r="Q52">
        <f t="shared" si="3"/>
        <v>36</v>
      </c>
      <c r="S52" t="str">
        <f t="shared" si="4"/>
        <v>California</v>
      </c>
      <c r="T52" t="str">
        <f t="shared" si="5"/>
        <v>Kings County</v>
      </c>
      <c r="U52">
        <f t="shared" si="6"/>
        <v>1558.4</v>
      </c>
    </row>
    <row r="53" spans="1:21" x14ac:dyDescent="0.3">
      <c r="I53" t="s">
        <v>19</v>
      </c>
      <c r="J53" t="s">
        <v>949</v>
      </c>
      <c r="K53">
        <v>30</v>
      </c>
      <c r="L53">
        <v>2223.9</v>
      </c>
      <c r="O53" t="str">
        <f t="shared" si="1"/>
        <v>California</v>
      </c>
      <c r="P53" t="str">
        <f t="shared" si="2"/>
        <v>Lake County</v>
      </c>
      <c r="Q53">
        <f t="shared" si="3"/>
        <v>30</v>
      </c>
      <c r="S53" t="str">
        <f t="shared" si="4"/>
        <v>California</v>
      </c>
      <c r="T53" t="str">
        <f t="shared" si="5"/>
        <v>Lake County</v>
      </c>
      <c r="U53">
        <f t="shared" si="6"/>
        <v>2223.9</v>
      </c>
    </row>
    <row r="54" spans="1:21" x14ac:dyDescent="0.3">
      <c r="I54" t="s">
        <v>19</v>
      </c>
      <c r="J54" t="s">
        <v>1426</v>
      </c>
      <c r="K54">
        <v>1</v>
      </c>
      <c r="L54">
        <v>26.2</v>
      </c>
      <c r="O54" t="str">
        <f t="shared" si="1"/>
        <v>California</v>
      </c>
      <c r="P54" t="str">
        <f t="shared" si="2"/>
        <v>Lassen County</v>
      </c>
      <c r="Q54">
        <f t="shared" si="3"/>
        <v>1</v>
      </c>
      <c r="S54" t="str">
        <f t="shared" si="4"/>
        <v>California</v>
      </c>
      <c r="T54" t="str">
        <f t="shared" si="5"/>
        <v>Lassen County</v>
      </c>
      <c r="U54">
        <f t="shared" si="6"/>
        <v>26.2</v>
      </c>
    </row>
    <row r="55" spans="1:21" x14ac:dyDescent="0.3">
      <c r="I55" t="s">
        <v>19</v>
      </c>
      <c r="J55" t="s">
        <v>33</v>
      </c>
      <c r="K55">
        <v>3991</v>
      </c>
      <c r="L55">
        <v>215551.19999999981</v>
      </c>
      <c r="O55" t="str">
        <f t="shared" si="1"/>
        <v>California</v>
      </c>
      <c r="P55" t="str">
        <f t="shared" si="2"/>
        <v>Los Angeles County</v>
      </c>
      <c r="Q55">
        <f t="shared" si="3"/>
        <v>3991</v>
      </c>
      <c r="S55" t="str">
        <f t="shared" si="4"/>
        <v>California</v>
      </c>
      <c r="T55" t="str">
        <f t="shared" si="5"/>
        <v>Los Angeles County</v>
      </c>
      <c r="U55">
        <f t="shared" si="6"/>
        <v>215551.19999999981</v>
      </c>
    </row>
    <row r="56" spans="1:21" x14ac:dyDescent="0.3">
      <c r="I56" t="s">
        <v>19</v>
      </c>
      <c r="J56" t="s">
        <v>364</v>
      </c>
      <c r="K56">
        <v>45</v>
      </c>
      <c r="L56">
        <v>2687.3999999999996</v>
      </c>
      <c r="O56" t="str">
        <f t="shared" si="1"/>
        <v>California</v>
      </c>
      <c r="P56" t="str">
        <f t="shared" si="2"/>
        <v>Madera County</v>
      </c>
      <c r="Q56">
        <f t="shared" si="3"/>
        <v>45</v>
      </c>
      <c r="S56" t="str">
        <f t="shared" si="4"/>
        <v>California</v>
      </c>
      <c r="T56" t="str">
        <f t="shared" si="5"/>
        <v>Madera County</v>
      </c>
      <c r="U56">
        <f t="shared" si="6"/>
        <v>2687.3999999999996</v>
      </c>
    </row>
    <row r="57" spans="1:21" x14ac:dyDescent="0.3">
      <c r="I57" t="s">
        <v>19</v>
      </c>
      <c r="J57" t="s">
        <v>545</v>
      </c>
      <c r="K57">
        <v>39</v>
      </c>
      <c r="L57">
        <v>1463.3000000000002</v>
      </c>
      <c r="O57" t="str">
        <f t="shared" si="1"/>
        <v>California</v>
      </c>
      <c r="P57" t="str">
        <f t="shared" si="2"/>
        <v>Marin County</v>
      </c>
      <c r="Q57">
        <f t="shared" si="3"/>
        <v>39</v>
      </c>
      <c r="S57" t="str">
        <f t="shared" si="4"/>
        <v>California</v>
      </c>
      <c r="T57" t="str">
        <f t="shared" si="5"/>
        <v>Marin County</v>
      </c>
      <c r="U57">
        <f t="shared" si="6"/>
        <v>1463.3000000000002</v>
      </c>
    </row>
    <row r="58" spans="1:21" x14ac:dyDescent="0.3">
      <c r="I58" t="s">
        <v>19</v>
      </c>
      <c r="J58" t="s">
        <v>416</v>
      </c>
      <c r="K58">
        <v>6</v>
      </c>
      <c r="L58">
        <v>445.79999999999995</v>
      </c>
      <c r="O58" t="str">
        <f t="shared" si="1"/>
        <v>California</v>
      </c>
      <c r="P58" t="str">
        <f t="shared" si="2"/>
        <v>Mariposa County</v>
      </c>
      <c r="Q58">
        <f t="shared" si="3"/>
        <v>6</v>
      </c>
      <c r="S58" t="str">
        <f t="shared" si="4"/>
        <v>California</v>
      </c>
      <c r="T58" t="str">
        <f t="shared" si="5"/>
        <v>Mariposa County</v>
      </c>
      <c r="U58">
        <f t="shared" si="6"/>
        <v>445.79999999999995</v>
      </c>
    </row>
    <row r="59" spans="1:21" x14ac:dyDescent="0.3">
      <c r="I59" t="s">
        <v>19</v>
      </c>
      <c r="J59" t="s">
        <v>258</v>
      </c>
      <c r="K59">
        <v>9</v>
      </c>
      <c r="L59">
        <v>273.59999999999997</v>
      </c>
      <c r="O59" t="str">
        <f t="shared" si="1"/>
        <v>California</v>
      </c>
      <c r="P59" t="str">
        <f t="shared" si="2"/>
        <v>Mendocino County</v>
      </c>
      <c r="Q59">
        <f t="shared" si="3"/>
        <v>9</v>
      </c>
      <c r="S59" t="str">
        <f t="shared" si="4"/>
        <v>California</v>
      </c>
      <c r="T59" t="str">
        <f t="shared" si="5"/>
        <v>Mendocino County</v>
      </c>
      <c r="U59">
        <f t="shared" si="6"/>
        <v>273.59999999999997</v>
      </c>
    </row>
    <row r="60" spans="1:21" x14ac:dyDescent="0.3">
      <c r="I60" t="s">
        <v>19</v>
      </c>
      <c r="J60" t="s">
        <v>186</v>
      </c>
      <c r="K60">
        <v>60</v>
      </c>
      <c r="L60">
        <v>2690.4</v>
      </c>
      <c r="O60" t="str">
        <f t="shared" si="1"/>
        <v>California</v>
      </c>
      <c r="P60" t="str">
        <f t="shared" si="2"/>
        <v>Merced County</v>
      </c>
      <c r="Q60">
        <f t="shared" si="3"/>
        <v>60</v>
      </c>
      <c r="S60" t="str">
        <f t="shared" si="4"/>
        <v>California</v>
      </c>
      <c r="T60" t="str">
        <f t="shared" si="5"/>
        <v>Merced County</v>
      </c>
      <c r="U60">
        <f t="shared" si="6"/>
        <v>2690.4</v>
      </c>
    </row>
    <row r="61" spans="1:21" x14ac:dyDescent="0.3">
      <c r="I61" t="s">
        <v>19</v>
      </c>
      <c r="J61" t="s">
        <v>392</v>
      </c>
      <c r="K61">
        <v>2</v>
      </c>
      <c r="L61">
        <v>28.4</v>
      </c>
      <c r="O61" t="str">
        <f t="shared" si="1"/>
        <v>California</v>
      </c>
      <c r="P61" t="str">
        <f t="shared" si="2"/>
        <v>Modoc County</v>
      </c>
      <c r="Q61">
        <f t="shared" si="3"/>
        <v>2</v>
      </c>
      <c r="S61" t="str">
        <f t="shared" si="4"/>
        <v>California</v>
      </c>
      <c r="T61" t="str">
        <f t="shared" si="5"/>
        <v>Modoc County</v>
      </c>
      <c r="U61">
        <f t="shared" si="6"/>
        <v>28.4</v>
      </c>
    </row>
    <row r="62" spans="1:21" x14ac:dyDescent="0.3">
      <c r="I62" t="s">
        <v>19</v>
      </c>
      <c r="J62" t="s">
        <v>670</v>
      </c>
      <c r="K62">
        <v>4</v>
      </c>
      <c r="L62">
        <v>204.8</v>
      </c>
      <c r="O62" t="str">
        <f t="shared" si="1"/>
        <v>California</v>
      </c>
      <c r="P62" t="str">
        <f t="shared" si="2"/>
        <v>Mono County</v>
      </c>
      <c r="Q62">
        <f t="shared" si="3"/>
        <v>4</v>
      </c>
      <c r="S62" t="str">
        <f t="shared" si="4"/>
        <v>California</v>
      </c>
      <c r="T62" t="str">
        <f t="shared" si="5"/>
        <v>Mono County</v>
      </c>
      <c r="U62">
        <f t="shared" si="6"/>
        <v>204.8</v>
      </c>
    </row>
    <row r="63" spans="1:21" x14ac:dyDescent="0.3">
      <c r="I63" t="s">
        <v>19</v>
      </c>
      <c r="J63" t="s">
        <v>802</v>
      </c>
      <c r="K63">
        <v>31</v>
      </c>
      <c r="L63">
        <v>1607.8999999999999</v>
      </c>
      <c r="O63" t="str">
        <f t="shared" si="1"/>
        <v>California</v>
      </c>
      <c r="P63" t="str">
        <f t="shared" si="2"/>
        <v>Monterey County</v>
      </c>
      <c r="Q63">
        <f t="shared" si="3"/>
        <v>31</v>
      </c>
      <c r="S63" t="str">
        <f t="shared" si="4"/>
        <v>California</v>
      </c>
      <c r="T63" t="str">
        <f t="shared" si="5"/>
        <v>Monterey County</v>
      </c>
      <c r="U63">
        <f t="shared" si="6"/>
        <v>1607.8999999999999</v>
      </c>
    </row>
    <row r="64" spans="1:21" x14ac:dyDescent="0.3">
      <c r="I64" t="s">
        <v>19</v>
      </c>
      <c r="J64" t="s">
        <v>98</v>
      </c>
      <c r="K64">
        <v>88</v>
      </c>
      <c r="L64">
        <v>6444.9</v>
      </c>
      <c r="O64" t="str">
        <f t="shared" si="1"/>
        <v>California</v>
      </c>
      <c r="P64" t="str">
        <f t="shared" si="2"/>
        <v>Napa County</v>
      </c>
      <c r="Q64">
        <f t="shared" si="3"/>
        <v>88</v>
      </c>
      <c r="S64" t="str">
        <f t="shared" si="4"/>
        <v>California</v>
      </c>
      <c r="T64" t="str">
        <f t="shared" si="5"/>
        <v>Napa County</v>
      </c>
      <c r="U64">
        <f t="shared" si="6"/>
        <v>6444.9</v>
      </c>
    </row>
    <row r="65" spans="9:21" x14ac:dyDescent="0.3">
      <c r="I65" t="s">
        <v>19</v>
      </c>
      <c r="J65" t="s">
        <v>49</v>
      </c>
      <c r="K65">
        <v>25</v>
      </c>
      <c r="L65">
        <v>1809.3</v>
      </c>
      <c r="O65" t="str">
        <f t="shared" si="1"/>
        <v>California</v>
      </c>
      <c r="P65" t="str">
        <f t="shared" si="2"/>
        <v>Nevada County</v>
      </c>
      <c r="Q65">
        <f t="shared" si="3"/>
        <v>25</v>
      </c>
      <c r="S65" t="str">
        <f t="shared" si="4"/>
        <v>California</v>
      </c>
      <c r="T65" t="str">
        <f t="shared" si="5"/>
        <v>Nevada County</v>
      </c>
      <c r="U65">
        <f t="shared" si="6"/>
        <v>1809.3</v>
      </c>
    </row>
    <row r="66" spans="9:21" x14ac:dyDescent="0.3">
      <c r="I66" t="s">
        <v>19</v>
      </c>
      <c r="J66" t="s">
        <v>188</v>
      </c>
      <c r="K66">
        <v>178</v>
      </c>
      <c r="L66">
        <v>9680.399999999996</v>
      </c>
      <c r="O66" t="str">
        <f t="shared" si="1"/>
        <v>California</v>
      </c>
      <c r="P66" t="str">
        <f t="shared" si="2"/>
        <v>Orange County</v>
      </c>
      <c r="Q66">
        <f t="shared" si="3"/>
        <v>178</v>
      </c>
      <c r="S66" t="str">
        <f t="shared" si="4"/>
        <v>California</v>
      </c>
      <c r="T66" t="str">
        <f t="shared" si="5"/>
        <v>Orange County</v>
      </c>
      <c r="U66">
        <f t="shared" si="6"/>
        <v>9680.399999999996</v>
      </c>
    </row>
    <row r="67" spans="9:21" x14ac:dyDescent="0.3">
      <c r="I67" t="s">
        <v>19</v>
      </c>
      <c r="J67" t="s">
        <v>52</v>
      </c>
      <c r="K67">
        <v>141</v>
      </c>
      <c r="L67">
        <v>9414.7999999999993</v>
      </c>
      <c r="O67" t="str">
        <f t="shared" si="1"/>
        <v>California</v>
      </c>
      <c r="P67" t="str">
        <f t="shared" si="2"/>
        <v>Placer County</v>
      </c>
      <c r="Q67">
        <f t="shared" si="3"/>
        <v>141</v>
      </c>
      <c r="S67" t="str">
        <f t="shared" si="4"/>
        <v>California</v>
      </c>
      <c r="T67" t="str">
        <f t="shared" si="5"/>
        <v>Placer County</v>
      </c>
      <c r="U67">
        <f t="shared" si="6"/>
        <v>9414.7999999999993</v>
      </c>
    </row>
    <row r="68" spans="9:21" x14ac:dyDescent="0.3">
      <c r="I68" t="s">
        <v>19</v>
      </c>
      <c r="J68" t="s">
        <v>338</v>
      </c>
      <c r="K68">
        <v>6</v>
      </c>
      <c r="L68">
        <v>206.1</v>
      </c>
      <c r="O68" t="str">
        <f t="shared" si="1"/>
        <v>California</v>
      </c>
      <c r="P68" t="str">
        <f t="shared" si="2"/>
        <v>Plumas County</v>
      </c>
      <c r="Q68">
        <f t="shared" si="3"/>
        <v>6</v>
      </c>
      <c r="S68" t="str">
        <f t="shared" si="4"/>
        <v>California</v>
      </c>
      <c r="T68" t="str">
        <f t="shared" si="5"/>
        <v>Plumas County</v>
      </c>
      <c r="U68">
        <f t="shared" si="6"/>
        <v>206.1</v>
      </c>
    </row>
    <row r="69" spans="9:21" x14ac:dyDescent="0.3">
      <c r="I69" t="s">
        <v>19</v>
      </c>
      <c r="J69" t="s">
        <v>158</v>
      </c>
      <c r="K69">
        <v>178</v>
      </c>
      <c r="L69">
        <v>7691.3</v>
      </c>
      <c r="O69" t="str">
        <f t="shared" si="1"/>
        <v>California</v>
      </c>
      <c r="P69" t="str">
        <f t="shared" si="2"/>
        <v>Riverside County</v>
      </c>
      <c r="Q69">
        <f t="shared" si="3"/>
        <v>178</v>
      </c>
      <c r="S69" t="str">
        <f t="shared" si="4"/>
        <v>California</v>
      </c>
      <c r="T69" t="str">
        <f t="shared" ref="T69:T94" si="7">P69</f>
        <v>Riverside County</v>
      </c>
      <c r="U69">
        <f t="shared" si="6"/>
        <v>7691.3</v>
      </c>
    </row>
    <row r="70" spans="9:21" x14ac:dyDescent="0.3">
      <c r="I70" t="s">
        <v>19</v>
      </c>
      <c r="J70" t="s">
        <v>55</v>
      </c>
      <c r="K70">
        <v>699</v>
      </c>
      <c r="L70">
        <v>37784.900000000016</v>
      </c>
      <c r="O70" t="str">
        <f t="shared" si="1"/>
        <v>California</v>
      </c>
      <c r="P70" t="str">
        <f t="shared" si="2"/>
        <v>Sacramento County</v>
      </c>
      <c r="Q70">
        <f t="shared" si="3"/>
        <v>699</v>
      </c>
      <c r="S70" t="str">
        <f t="shared" si="4"/>
        <v>California</v>
      </c>
      <c r="T70" t="str">
        <f t="shared" si="7"/>
        <v>Sacramento County</v>
      </c>
      <c r="U70">
        <f t="shared" si="6"/>
        <v>37784.900000000016</v>
      </c>
    </row>
    <row r="71" spans="9:21" x14ac:dyDescent="0.3">
      <c r="I71" t="s">
        <v>19</v>
      </c>
      <c r="J71" t="s">
        <v>342</v>
      </c>
      <c r="K71">
        <v>23</v>
      </c>
      <c r="L71">
        <v>1129.7</v>
      </c>
      <c r="O71" t="str">
        <f t="shared" si="1"/>
        <v>California</v>
      </c>
      <c r="P71" t="str">
        <f t="shared" si="2"/>
        <v>San Benito County</v>
      </c>
      <c r="Q71">
        <f t="shared" si="3"/>
        <v>23</v>
      </c>
      <c r="S71" t="str">
        <f t="shared" si="4"/>
        <v>California</v>
      </c>
      <c r="T71" t="str">
        <f t="shared" si="7"/>
        <v>San Benito County</v>
      </c>
      <c r="U71">
        <f t="shared" si="6"/>
        <v>1129.7</v>
      </c>
    </row>
    <row r="72" spans="9:21" x14ac:dyDescent="0.3">
      <c r="I72" t="s">
        <v>19</v>
      </c>
      <c r="J72" t="s">
        <v>59</v>
      </c>
      <c r="K72">
        <v>356</v>
      </c>
      <c r="L72">
        <v>20988.9</v>
      </c>
      <c r="O72" t="str">
        <f t="shared" si="1"/>
        <v>California</v>
      </c>
      <c r="P72" t="str">
        <f t="shared" si="2"/>
        <v>San Bernardino County</v>
      </c>
      <c r="Q72">
        <f t="shared" si="3"/>
        <v>356</v>
      </c>
      <c r="S72" t="str">
        <f t="shared" si="4"/>
        <v>California</v>
      </c>
      <c r="T72" t="str">
        <f t="shared" si="7"/>
        <v>San Bernardino County</v>
      </c>
      <c r="U72">
        <f t="shared" si="6"/>
        <v>20988.9</v>
      </c>
    </row>
    <row r="73" spans="9:21" x14ac:dyDescent="0.3">
      <c r="I73" t="s">
        <v>19</v>
      </c>
      <c r="J73" t="s">
        <v>62</v>
      </c>
      <c r="K73">
        <v>1768</v>
      </c>
      <c r="L73">
        <v>98367.099999999977</v>
      </c>
      <c r="O73" t="str">
        <f t="shared" si="1"/>
        <v>California</v>
      </c>
      <c r="P73" t="str">
        <f t="shared" si="2"/>
        <v>San Diego County</v>
      </c>
      <c r="Q73">
        <f t="shared" si="3"/>
        <v>1768</v>
      </c>
      <c r="S73" t="str">
        <f t="shared" si="4"/>
        <v>California</v>
      </c>
      <c r="T73" t="str">
        <f t="shared" si="7"/>
        <v>San Diego County</v>
      </c>
      <c r="U73">
        <f t="shared" si="6"/>
        <v>98367.099999999977</v>
      </c>
    </row>
    <row r="74" spans="9:21" x14ac:dyDescent="0.3">
      <c r="I74" t="s">
        <v>19</v>
      </c>
      <c r="J74" t="s">
        <v>103</v>
      </c>
      <c r="K74">
        <v>307</v>
      </c>
      <c r="L74">
        <v>21911.9</v>
      </c>
      <c r="O74" t="str">
        <f t="shared" si="1"/>
        <v>California</v>
      </c>
      <c r="P74" t="str">
        <f t="shared" si="2"/>
        <v>San Francisco</v>
      </c>
      <c r="Q74">
        <f t="shared" si="3"/>
        <v>307</v>
      </c>
      <c r="S74" t="str">
        <f t="shared" si="4"/>
        <v>California</v>
      </c>
      <c r="T74" t="str">
        <f t="shared" si="7"/>
        <v>San Francisco</v>
      </c>
      <c r="U74">
        <f t="shared" si="6"/>
        <v>21911.9</v>
      </c>
    </row>
    <row r="75" spans="9:21" x14ac:dyDescent="0.3">
      <c r="I75" t="s">
        <v>19</v>
      </c>
      <c r="J75" t="s">
        <v>201</v>
      </c>
      <c r="K75">
        <v>117</v>
      </c>
      <c r="L75">
        <v>5441.2</v>
      </c>
      <c r="O75" t="str">
        <f t="shared" si="1"/>
        <v>California</v>
      </c>
      <c r="P75" t="str">
        <f t="shared" si="2"/>
        <v>San Joaquin County</v>
      </c>
      <c r="Q75">
        <f t="shared" si="3"/>
        <v>117</v>
      </c>
      <c r="S75" t="str">
        <f t="shared" si="4"/>
        <v>California</v>
      </c>
      <c r="T75" t="str">
        <f t="shared" si="7"/>
        <v>San Joaquin County</v>
      </c>
      <c r="U75">
        <f t="shared" si="6"/>
        <v>5441.2</v>
      </c>
    </row>
    <row r="76" spans="9:21" x14ac:dyDescent="0.3">
      <c r="I76" t="s">
        <v>19</v>
      </c>
      <c r="J76" t="s">
        <v>429</v>
      </c>
      <c r="K76">
        <v>13</v>
      </c>
      <c r="L76">
        <v>392.8</v>
      </c>
      <c r="O76" t="str">
        <f t="shared" si="1"/>
        <v>California</v>
      </c>
      <c r="P76" t="str">
        <f t="shared" si="2"/>
        <v>San Luis Obispo County</v>
      </c>
      <c r="Q76">
        <f t="shared" si="3"/>
        <v>13</v>
      </c>
      <c r="S76" t="str">
        <f t="shared" si="4"/>
        <v>California</v>
      </c>
      <c r="T76" t="str">
        <f t="shared" si="7"/>
        <v>San Luis Obispo County</v>
      </c>
      <c r="U76">
        <f t="shared" si="6"/>
        <v>392.8</v>
      </c>
    </row>
    <row r="77" spans="9:21" x14ac:dyDescent="0.3">
      <c r="I77" t="s">
        <v>19</v>
      </c>
      <c r="J77" t="s">
        <v>72</v>
      </c>
      <c r="K77">
        <v>364</v>
      </c>
      <c r="L77">
        <v>16172.000000000005</v>
      </c>
      <c r="O77" t="str">
        <f t="shared" si="1"/>
        <v>California</v>
      </c>
      <c r="P77" t="str">
        <f t="shared" si="2"/>
        <v>San Mateo County</v>
      </c>
      <c r="Q77">
        <f t="shared" si="3"/>
        <v>364</v>
      </c>
      <c r="S77" t="str">
        <f t="shared" si="4"/>
        <v>California</v>
      </c>
      <c r="T77" t="str">
        <f t="shared" si="7"/>
        <v>San Mateo County</v>
      </c>
      <c r="U77">
        <f t="shared" si="6"/>
        <v>16172.000000000005</v>
      </c>
    </row>
    <row r="78" spans="9:21" x14ac:dyDescent="0.3">
      <c r="I78" t="s">
        <v>19</v>
      </c>
      <c r="J78" t="s">
        <v>74</v>
      </c>
      <c r="K78">
        <v>95</v>
      </c>
      <c r="L78">
        <v>4334.9999999999991</v>
      </c>
      <c r="O78" t="str">
        <f t="shared" si="1"/>
        <v>California</v>
      </c>
      <c r="P78" t="str">
        <f t="shared" si="2"/>
        <v>Santa Barbara County</v>
      </c>
      <c r="Q78">
        <f t="shared" si="3"/>
        <v>95</v>
      </c>
      <c r="S78" t="str">
        <f t="shared" si="4"/>
        <v>California</v>
      </c>
      <c r="T78" t="str">
        <f t="shared" si="7"/>
        <v>Santa Barbara County</v>
      </c>
      <c r="U78">
        <f t="shared" si="6"/>
        <v>4334.9999999999991</v>
      </c>
    </row>
    <row r="79" spans="9:21" x14ac:dyDescent="0.3">
      <c r="I79" t="s">
        <v>19</v>
      </c>
      <c r="J79" t="s">
        <v>77</v>
      </c>
      <c r="K79">
        <v>737</v>
      </c>
      <c r="L79">
        <v>37449.000000000007</v>
      </c>
      <c r="O79" t="str">
        <f t="shared" si="1"/>
        <v>California</v>
      </c>
      <c r="P79" t="str">
        <f t="shared" si="2"/>
        <v>Santa Clara County</v>
      </c>
      <c r="Q79">
        <f t="shared" si="3"/>
        <v>737</v>
      </c>
      <c r="S79" t="str">
        <f t="shared" si="4"/>
        <v>California</v>
      </c>
      <c r="T79" t="str">
        <f t="shared" si="7"/>
        <v>Santa Clara County</v>
      </c>
      <c r="U79">
        <f t="shared" si="6"/>
        <v>37449.000000000007</v>
      </c>
    </row>
    <row r="80" spans="9:21" x14ac:dyDescent="0.3">
      <c r="I80" t="s">
        <v>19</v>
      </c>
      <c r="J80" t="s">
        <v>309</v>
      </c>
      <c r="K80">
        <v>39</v>
      </c>
      <c r="L80">
        <v>2447.5</v>
      </c>
      <c r="O80" t="str">
        <f t="shared" si="1"/>
        <v>California</v>
      </c>
      <c r="P80" t="str">
        <f t="shared" si="2"/>
        <v>Santa Cruz County</v>
      </c>
      <c r="Q80">
        <f t="shared" si="3"/>
        <v>39</v>
      </c>
      <c r="S80" t="str">
        <f t="shared" si="4"/>
        <v>California</v>
      </c>
      <c r="T80" t="str">
        <f t="shared" si="7"/>
        <v>Santa Cruz County</v>
      </c>
      <c r="U80">
        <f t="shared" si="6"/>
        <v>2447.5</v>
      </c>
    </row>
    <row r="81" spans="9:21" x14ac:dyDescent="0.3">
      <c r="I81" t="s">
        <v>19</v>
      </c>
      <c r="J81" t="s">
        <v>1116</v>
      </c>
      <c r="K81">
        <v>56</v>
      </c>
      <c r="L81">
        <v>3391.1</v>
      </c>
      <c r="O81" t="str">
        <f t="shared" si="1"/>
        <v>California</v>
      </c>
      <c r="P81" t="str">
        <f t="shared" si="2"/>
        <v>Shasta County</v>
      </c>
      <c r="Q81">
        <f t="shared" si="3"/>
        <v>56</v>
      </c>
      <c r="S81" t="str">
        <f t="shared" si="4"/>
        <v>California</v>
      </c>
      <c r="T81" t="str">
        <f t="shared" si="7"/>
        <v>Shasta County</v>
      </c>
      <c r="U81">
        <f t="shared" si="6"/>
        <v>3391.1</v>
      </c>
    </row>
    <row r="82" spans="9:21" x14ac:dyDescent="0.3">
      <c r="I82" t="s">
        <v>19</v>
      </c>
      <c r="J82" t="s">
        <v>700</v>
      </c>
      <c r="K82">
        <v>2</v>
      </c>
      <c r="L82">
        <v>30.8</v>
      </c>
      <c r="O82" t="str">
        <f t="shared" si="1"/>
        <v>California</v>
      </c>
      <c r="P82" t="str">
        <f t="shared" si="2"/>
        <v>Sierra County</v>
      </c>
      <c r="Q82">
        <f t="shared" si="3"/>
        <v>2</v>
      </c>
      <c r="S82" t="str">
        <f t="shared" si="4"/>
        <v>California</v>
      </c>
      <c r="T82" t="str">
        <f t="shared" si="7"/>
        <v>Sierra County</v>
      </c>
      <c r="U82">
        <f t="shared" si="6"/>
        <v>30.8</v>
      </c>
    </row>
    <row r="83" spans="9:21" x14ac:dyDescent="0.3">
      <c r="I83" t="s">
        <v>19</v>
      </c>
      <c r="J83" t="s">
        <v>268</v>
      </c>
      <c r="K83">
        <v>8</v>
      </c>
      <c r="L83">
        <v>332.3</v>
      </c>
      <c r="O83" t="str">
        <f t="shared" si="1"/>
        <v>California</v>
      </c>
      <c r="P83" t="str">
        <f t="shared" si="2"/>
        <v>Siskiyou County</v>
      </c>
      <c r="Q83">
        <f t="shared" si="3"/>
        <v>8</v>
      </c>
      <c r="S83" t="str">
        <f t="shared" si="4"/>
        <v>California</v>
      </c>
      <c r="T83" t="str">
        <f t="shared" si="7"/>
        <v>Siskiyou County</v>
      </c>
      <c r="U83">
        <f t="shared" si="6"/>
        <v>332.3</v>
      </c>
    </row>
    <row r="84" spans="9:21" x14ac:dyDescent="0.3">
      <c r="I84" t="s">
        <v>19</v>
      </c>
      <c r="J84" t="s">
        <v>377</v>
      </c>
      <c r="K84">
        <v>52</v>
      </c>
      <c r="L84">
        <v>3175.9999999999995</v>
      </c>
      <c r="O84" t="str">
        <f t="shared" si="1"/>
        <v>California</v>
      </c>
      <c r="P84" t="str">
        <f t="shared" si="2"/>
        <v>Solano County</v>
      </c>
      <c r="Q84">
        <f t="shared" si="3"/>
        <v>52</v>
      </c>
      <c r="S84" t="str">
        <f t="shared" si="4"/>
        <v>California</v>
      </c>
      <c r="T84" t="str">
        <f t="shared" si="7"/>
        <v>Solano County</v>
      </c>
      <c r="U84">
        <f t="shared" si="6"/>
        <v>3175.9999999999995</v>
      </c>
    </row>
    <row r="85" spans="9:21" x14ac:dyDescent="0.3">
      <c r="I85" t="s">
        <v>19</v>
      </c>
      <c r="J85" t="s">
        <v>108</v>
      </c>
      <c r="K85">
        <v>295</v>
      </c>
      <c r="L85">
        <v>20939.600000000002</v>
      </c>
      <c r="O85" t="str">
        <f t="shared" si="1"/>
        <v>California</v>
      </c>
      <c r="P85" t="str">
        <f t="shared" si="2"/>
        <v>Sonoma County</v>
      </c>
      <c r="Q85">
        <f t="shared" si="3"/>
        <v>295</v>
      </c>
      <c r="S85" t="str">
        <f t="shared" si="4"/>
        <v>California</v>
      </c>
      <c r="T85" t="str">
        <f t="shared" si="7"/>
        <v>Sonoma County</v>
      </c>
      <c r="U85">
        <f t="shared" si="6"/>
        <v>20939.600000000002</v>
      </c>
    </row>
    <row r="86" spans="9:21" x14ac:dyDescent="0.3">
      <c r="I86" t="s">
        <v>19</v>
      </c>
      <c r="J86" t="s">
        <v>110</v>
      </c>
      <c r="K86">
        <v>195</v>
      </c>
      <c r="L86">
        <v>10185.899999999996</v>
      </c>
      <c r="O86" t="str">
        <f t="shared" si="1"/>
        <v>California</v>
      </c>
      <c r="P86" t="str">
        <f t="shared" si="2"/>
        <v>Stanislaus County</v>
      </c>
      <c r="Q86">
        <f t="shared" si="3"/>
        <v>195</v>
      </c>
      <c r="S86" t="str">
        <f t="shared" si="4"/>
        <v>California</v>
      </c>
      <c r="T86" t="str">
        <f t="shared" si="7"/>
        <v>Stanislaus County</v>
      </c>
      <c r="U86">
        <f t="shared" si="6"/>
        <v>10185.899999999996</v>
      </c>
    </row>
    <row r="87" spans="9:21" x14ac:dyDescent="0.3">
      <c r="I87" t="s">
        <v>19</v>
      </c>
      <c r="J87" t="s">
        <v>292</v>
      </c>
      <c r="K87">
        <v>20</v>
      </c>
      <c r="L87">
        <v>958.7</v>
      </c>
      <c r="O87" t="str">
        <f t="shared" si="1"/>
        <v>California</v>
      </c>
      <c r="P87" t="str">
        <f t="shared" si="2"/>
        <v>Sutter County</v>
      </c>
      <c r="Q87">
        <f t="shared" si="3"/>
        <v>20</v>
      </c>
      <c r="S87" t="str">
        <f t="shared" si="4"/>
        <v>California</v>
      </c>
      <c r="T87" t="str">
        <f t="shared" si="7"/>
        <v>Sutter County</v>
      </c>
      <c r="U87">
        <f t="shared" si="6"/>
        <v>958.7</v>
      </c>
    </row>
    <row r="88" spans="9:21" x14ac:dyDescent="0.3">
      <c r="I88" t="s">
        <v>19</v>
      </c>
      <c r="J88" t="s">
        <v>79</v>
      </c>
      <c r="K88">
        <v>6</v>
      </c>
      <c r="L88">
        <v>323</v>
      </c>
      <c r="O88" t="str">
        <f t="shared" si="1"/>
        <v>California</v>
      </c>
      <c r="P88" t="str">
        <f t="shared" si="2"/>
        <v>Tehama County</v>
      </c>
      <c r="Q88">
        <f t="shared" si="3"/>
        <v>6</v>
      </c>
      <c r="S88" t="str">
        <f t="shared" si="4"/>
        <v>California</v>
      </c>
      <c r="T88" t="str">
        <f t="shared" si="7"/>
        <v>Tehama County</v>
      </c>
      <c r="U88">
        <f t="shared" si="6"/>
        <v>323</v>
      </c>
    </row>
    <row r="89" spans="9:21" x14ac:dyDescent="0.3">
      <c r="I89" t="s">
        <v>19</v>
      </c>
      <c r="J89" t="s">
        <v>608</v>
      </c>
      <c r="K89">
        <v>5</v>
      </c>
      <c r="L89">
        <v>167.70000000000002</v>
      </c>
      <c r="O89" t="str">
        <f t="shared" si="1"/>
        <v>California</v>
      </c>
      <c r="P89" t="str">
        <f t="shared" si="2"/>
        <v>Trinity County</v>
      </c>
      <c r="Q89">
        <f t="shared" si="3"/>
        <v>5</v>
      </c>
      <c r="S89" t="str">
        <f t="shared" si="4"/>
        <v>California</v>
      </c>
      <c r="T89" t="str">
        <f t="shared" si="7"/>
        <v>Trinity County</v>
      </c>
      <c r="U89">
        <f t="shared" si="6"/>
        <v>167.70000000000002</v>
      </c>
    </row>
    <row r="90" spans="9:21" x14ac:dyDescent="0.3">
      <c r="I90" t="s">
        <v>19</v>
      </c>
      <c r="J90" t="s">
        <v>113</v>
      </c>
      <c r="K90">
        <v>94</v>
      </c>
      <c r="L90">
        <v>3978.5</v>
      </c>
      <c r="O90" t="str">
        <f t="shared" si="1"/>
        <v>California</v>
      </c>
      <c r="P90" t="str">
        <f t="shared" si="2"/>
        <v>Tulare County</v>
      </c>
      <c r="Q90">
        <f t="shared" si="3"/>
        <v>94</v>
      </c>
      <c r="S90" t="str">
        <f t="shared" si="4"/>
        <v>California</v>
      </c>
      <c r="T90" t="str">
        <f t="shared" si="7"/>
        <v>Tulare County</v>
      </c>
      <c r="U90">
        <f t="shared" si="6"/>
        <v>3978.5</v>
      </c>
    </row>
    <row r="91" spans="9:21" x14ac:dyDescent="0.3">
      <c r="I91" t="s">
        <v>19</v>
      </c>
      <c r="J91" t="s">
        <v>997</v>
      </c>
      <c r="K91">
        <v>28</v>
      </c>
      <c r="L91">
        <v>1405</v>
      </c>
      <c r="O91" t="str">
        <f t="shared" si="1"/>
        <v>California</v>
      </c>
      <c r="P91" t="str">
        <f t="shared" si="2"/>
        <v>Tuolumne County</v>
      </c>
      <c r="Q91">
        <f t="shared" si="3"/>
        <v>28</v>
      </c>
      <c r="S91" t="str">
        <f t="shared" si="4"/>
        <v>California</v>
      </c>
      <c r="T91" t="str">
        <f t="shared" si="7"/>
        <v>Tuolumne County</v>
      </c>
      <c r="U91">
        <f t="shared" si="6"/>
        <v>1405</v>
      </c>
    </row>
    <row r="92" spans="9:21" x14ac:dyDescent="0.3">
      <c r="I92" t="s">
        <v>19</v>
      </c>
      <c r="J92" t="s">
        <v>82</v>
      </c>
      <c r="K92">
        <v>179</v>
      </c>
      <c r="L92">
        <v>9869.0999999999985</v>
      </c>
      <c r="O92" t="str">
        <f t="shared" si="1"/>
        <v>California</v>
      </c>
      <c r="P92" t="str">
        <f t="shared" si="2"/>
        <v>Ventura County</v>
      </c>
      <c r="Q92">
        <f t="shared" si="3"/>
        <v>179</v>
      </c>
      <c r="S92" t="str">
        <f t="shared" si="4"/>
        <v>California</v>
      </c>
      <c r="T92" t="str">
        <f t="shared" si="7"/>
        <v>Ventura County</v>
      </c>
      <c r="U92">
        <f t="shared" si="6"/>
        <v>9869.0999999999985</v>
      </c>
    </row>
    <row r="93" spans="9:21" x14ac:dyDescent="0.3">
      <c r="I93" t="s">
        <v>19</v>
      </c>
      <c r="J93" t="s">
        <v>243</v>
      </c>
      <c r="K93">
        <v>15</v>
      </c>
      <c r="L93">
        <v>615.29999999999995</v>
      </c>
      <c r="O93" t="str">
        <f t="shared" si="1"/>
        <v>California</v>
      </c>
      <c r="P93" t="str">
        <f t="shared" si="2"/>
        <v>Yolo County</v>
      </c>
      <c r="Q93">
        <f t="shared" si="3"/>
        <v>15</v>
      </c>
      <c r="S93" t="str">
        <f t="shared" si="4"/>
        <v>California</v>
      </c>
      <c r="T93" t="str">
        <f t="shared" si="7"/>
        <v>Yolo County</v>
      </c>
      <c r="U93">
        <f t="shared" si="6"/>
        <v>615.29999999999995</v>
      </c>
    </row>
    <row r="94" spans="9:21" x14ac:dyDescent="0.3">
      <c r="I94" t="s">
        <v>19</v>
      </c>
      <c r="J94" t="s">
        <v>1911</v>
      </c>
      <c r="K94">
        <v>3</v>
      </c>
      <c r="L94">
        <v>285</v>
      </c>
      <c r="O94" t="str">
        <f t="shared" si="1"/>
        <v>California</v>
      </c>
      <c r="P94" t="str">
        <f t="shared" si="2"/>
        <v>Yuba County</v>
      </c>
      <c r="Q94">
        <f t="shared" si="3"/>
        <v>3</v>
      </c>
      <c r="S94" t="str">
        <f t="shared" si="4"/>
        <v>California</v>
      </c>
      <c r="T94" t="str">
        <f t="shared" si="7"/>
        <v>Yuba County</v>
      </c>
      <c r="U94">
        <f t="shared" si="6"/>
        <v>285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D3856-2D1F-4749-8B06-390E48748772}">
  <dimension ref="A2:L30"/>
  <sheetViews>
    <sheetView topLeftCell="A5" workbookViewId="0">
      <selection activeCell="A12" sqref="A12:A13"/>
    </sheetView>
  </sheetViews>
  <sheetFormatPr defaultRowHeight="14.4" x14ac:dyDescent="0.3"/>
  <cols>
    <col min="1" max="1" width="12.44140625" bestFit="1" customWidth="1"/>
    <col min="2" max="2" width="12.21875" bestFit="1" customWidth="1"/>
    <col min="3" max="3" width="7.109375" bestFit="1" customWidth="1"/>
    <col min="4" max="4" width="6.109375" bestFit="1" customWidth="1"/>
    <col min="5" max="5" width="8.5546875" bestFit="1" customWidth="1"/>
    <col min="6" max="6" width="10.5546875" bestFit="1" customWidth="1"/>
    <col min="7" max="7" width="12.21875" bestFit="1" customWidth="1"/>
    <col min="8" max="8" width="13.5546875" bestFit="1" customWidth="1"/>
    <col min="9" max="9" width="11.33203125" customWidth="1"/>
    <col min="10" max="10" width="10.21875" customWidth="1"/>
    <col min="11" max="11" width="11.88671875" customWidth="1"/>
    <col min="12" max="12" width="11.109375" customWidth="1"/>
  </cols>
  <sheetData>
    <row r="2" spans="1:12" x14ac:dyDescent="0.3">
      <c r="H2" t="s">
        <v>2560</v>
      </c>
    </row>
    <row r="3" spans="1:12" ht="15" thickBot="1" x14ac:dyDescent="0.35">
      <c r="A3" s="13" t="s">
        <v>2546</v>
      </c>
      <c r="B3" s="13" t="s">
        <v>2559</v>
      </c>
    </row>
    <row r="4" spans="1:12" ht="15.6" thickTop="1" thickBot="1" x14ac:dyDescent="0.35">
      <c r="A4" s="13" t="s">
        <v>2553</v>
      </c>
      <c r="B4" t="s">
        <v>2555</v>
      </c>
      <c r="C4" t="s">
        <v>2556</v>
      </c>
      <c r="D4" t="s">
        <v>2557</v>
      </c>
      <c r="E4" t="s">
        <v>2558</v>
      </c>
      <c r="F4" t="s">
        <v>2554</v>
      </c>
      <c r="H4" s="18"/>
      <c r="I4" s="19" t="str">
        <f>B4</f>
        <v>Female</v>
      </c>
      <c r="J4" s="19" t="str">
        <f t="shared" ref="J4:L4" si="0">C4</f>
        <v>Male</v>
      </c>
      <c r="K4" s="19" t="str">
        <f t="shared" si="0"/>
        <v>Other</v>
      </c>
      <c r="L4" s="19" t="str">
        <f t="shared" si="0"/>
        <v>Unknown</v>
      </c>
    </row>
    <row r="5" spans="1:12" ht="16.8" customHeight="1" thickTop="1" thickBot="1" x14ac:dyDescent="0.35">
      <c r="A5" s="14" t="s">
        <v>18</v>
      </c>
      <c r="B5" s="16">
        <v>0.18961825201634841</v>
      </c>
      <c r="C5" s="16">
        <v>0.12262322351336576</v>
      </c>
      <c r="D5" s="16">
        <v>1.060537752469185E-2</v>
      </c>
      <c r="E5" s="16">
        <v>3.0599220547662797E-2</v>
      </c>
      <c r="F5" s="16">
        <v>0.35344607360206881</v>
      </c>
      <c r="H5" s="18" t="str">
        <f>A5</f>
        <v>App</v>
      </c>
      <c r="I5" s="17">
        <f t="shared" ref="I5:L9" si="1">B5</f>
        <v>0.18961825201634841</v>
      </c>
      <c r="J5" s="17">
        <f t="shared" si="1"/>
        <v>0.12262322351336576</v>
      </c>
      <c r="K5" s="17">
        <f t="shared" si="1"/>
        <v>1.060537752469185E-2</v>
      </c>
      <c r="L5" s="17">
        <f t="shared" si="1"/>
        <v>3.0599220547662797E-2</v>
      </c>
    </row>
    <row r="6" spans="1:12" ht="16.8" customHeight="1" thickTop="1" thickBot="1" x14ac:dyDescent="0.35">
      <c r="A6" s="14" t="s">
        <v>51</v>
      </c>
      <c r="B6" s="16">
        <v>5.0283982091147303E-2</v>
      </c>
      <c r="C6" s="16">
        <v>4.3060781812819873E-2</v>
      </c>
      <c r="D6" s="16">
        <v>1.5320025675641944E-3</v>
      </c>
      <c r="E6" s="16">
        <v>1.7794988689097006E-2</v>
      </c>
      <c r="F6" s="16">
        <v>0.11267175516062837</v>
      </c>
      <c r="H6" s="18" t="str">
        <f t="shared" ref="H6:H9" si="2">A6</f>
        <v>Instagram</v>
      </c>
      <c r="I6" s="17">
        <f t="shared" si="1"/>
        <v>5.0283982091147303E-2</v>
      </c>
      <c r="J6" s="17">
        <f t="shared" si="1"/>
        <v>4.3060781812819873E-2</v>
      </c>
      <c r="K6" s="17">
        <f t="shared" si="1"/>
        <v>1.5320025675641944E-3</v>
      </c>
      <c r="L6" s="17">
        <f t="shared" si="1"/>
        <v>1.7794988689097006E-2</v>
      </c>
    </row>
    <row r="7" spans="1:12" ht="16.8" customHeight="1" thickTop="1" thickBot="1" x14ac:dyDescent="0.35">
      <c r="A7" s="14" t="s">
        <v>70</v>
      </c>
      <c r="B7" s="16">
        <v>6.3496059750411282E-2</v>
      </c>
      <c r="C7" s="16">
        <v>4.6071629863988765E-2</v>
      </c>
      <c r="D7" s="16">
        <v>2.306247051322625E-3</v>
      </c>
      <c r="E7" s="16">
        <v>3.8927934093844286E-3</v>
      </c>
      <c r="F7" s="16">
        <v>0.11576673007510711</v>
      </c>
      <c r="H7" s="18" t="str">
        <f t="shared" si="2"/>
        <v>Partner App</v>
      </c>
      <c r="I7" s="17">
        <f t="shared" si="1"/>
        <v>6.3496059750411282E-2</v>
      </c>
      <c r="J7" s="17">
        <f t="shared" si="1"/>
        <v>4.6071629863988765E-2</v>
      </c>
      <c r="K7" s="17">
        <f t="shared" si="1"/>
        <v>2.306247051322625E-3</v>
      </c>
      <c r="L7" s="17">
        <f t="shared" si="1"/>
        <v>3.8927934093844286E-3</v>
      </c>
    </row>
    <row r="8" spans="1:12" ht="16.8" customHeight="1" thickTop="1" thickBot="1" x14ac:dyDescent="0.35">
      <c r="A8" s="14" t="s">
        <v>40</v>
      </c>
      <c r="B8" s="16">
        <v>9.6337892927149532E-2</v>
      </c>
      <c r="C8" s="16">
        <v>6.7920115842382611E-2</v>
      </c>
      <c r="D8" s="16">
        <v>5.4979832664581261E-3</v>
      </c>
      <c r="E8" s="16">
        <v>1.2933041488102518E-2</v>
      </c>
      <c r="F8" s="16">
        <v>0.1826890335240928</v>
      </c>
      <c r="H8" s="18" t="str">
        <f t="shared" si="2"/>
        <v>Target.com</v>
      </c>
      <c r="I8" s="17">
        <f t="shared" si="1"/>
        <v>9.6337892927149532E-2</v>
      </c>
      <c r="J8" s="17">
        <f t="shared" si="1"/>
        <v>6.7920115842382611E-2</v>
      </c>
      <c r="K8" s="17">
        <f t="shared" si="1"/>
        <v>5.4979832664581261E-3</v>
      </c>
      <c r="L8" s="17">
        <f t="shared" si="1"/>
        <v>1.2933041488102518E-2</v>
      </c>
    </row>
    <row r="9" spans="1:12" ht="16.8" customHeight="1" thickTop="1" thickBot="1" x14ac:dyDescent="0.35">
      <c r="A9" s="14" t="s">
        <v>35</v>
      </c>
      <c r="B9" s="16">
        <v>0.12522098709469262</v>
      </c>
      <c r="C9" s="16">
        <v>9.1492740283116228E-2</v>
      </c>
      <c r="D9" s="16">
        <v>6.3042760790965081E-3</v>
      </c>
      <c r="E9" s="16">
        <v>1.2408404181197551E-2</v>
      </c>
      <c r="F9" s="16">
        <v>0.23542640763810288</v>
      </c>
      <c r="H9" s="18" t="str">
        <f t="shared" si="2"/>
        <v>Website</v>
      </c>
      <c r="I9" s="17">
        <f t="shared" si="1"/>
        <v>0.12522098709469262</v>
      </c>
      <c r="J9" s="17">
        <f t="shared" si="1"/>
        <v>9.1492740283116228E-2</v>
      </c>
      <c r="K9" s="17">
        <f t="shared" si="1"/>
        <v>6.3042760790965081E-3</v>
      </c>
      <c r="L9" s="17">
        <f t="shared" si="1"/>
        <v>1.2408404181197551E-2</v>
      </c>
    </row>
    <row r="10" spans="1:12" ht="15" thickTop="1" x14ac:dyDescent="0.3">
      <c r="A10" s="14" t="s">
        <v>2554</v>
      </c>
      <c r="B10" s="16">
        <v>0.52495717387974916</v>
      </c>
      <c r="C10" s="16">
        <v>0.3711684913156732</v>
      </c>
      <c r="D10" s="16">
        <v>2.6245886489133303E-2</v>
      </c>
      <c r="E10" s="16">
        <v>7.7628448315444312E-2</v>
      </c>
      <c r="F10" s="16">
        <v>1</v>
      </c>
    </row>
    <row r="12" spans="1:12" x14ac:dyDescent="0.3">
      <c r="A12" t="s">
        <v>2567</v>
      </c>
    </row>
    <row r="13" spans="1:12" x14ac:dyDescent="0.3">
      <c r="A13" t="s">
        <v>2570</v>
      </c>
      <c r="F13" t="s">
        <v>2569</v>
      </c>
    </row>
    <row r="14" spans="1:12" x14ac:dyDescent="0.3">
      <c r="A14" s="13" t="s">
        <v>2553</v>
      </c>
      <c r="B14" t="s">
        <v>2547</v>
      </c>
      <c r="F14" s="13" t="s">
        <v>2553</v>
      </c>
      <c r="G14" t="s">
        <v>2547</v>
      </c>
    </row>
    <row r="15" spans="1:12" x14ac:dyDescent="0.3">
      <c r="A15" s="14">
        <v>1</v>
      </c>
      <c r="B15">
        <v>397</v>
      </c>
      <c r="F15" s="14">
        <v>0</v>
      </c>
      <c r="G15">
        <v>175</v>
      </c>
    </row>
    <row r="16" spans="1:12" x14ac:dyDescent="0.3">
      <c r="A16" s="14">
        <v>2</v>
      </c>
      <c r="B16">
        <v>540</v>
      </c>
      <c r="F16" s="14">
        <v>1</v>
      </c>
      <c r="G16">
        <v>888</v>
      </c>
    </row>
    <row r="17" spans="1:7" x14ac:dyDescent="0.3">
      <c r="A17" s="14">
        <v>3</v>
      </c>
      <c r="B17">
        <v>375</v>
      </c>
      <c r="F17" s="14">
        <v>2</v>
      </c>
      <c r="G17">
        <v>538</v>
      </c>
    </row>
    <row r="18" spans="1:7" x14ac:dyDescent="0.3">
      <c r="A18" s="14">
        <v>4</v>
      </c>
      <c r="B18">
        <v>246</v>
      </c>
      <c r="F18" s="14">
        <v>3</v>
      </c>
      <c r="G18">
        <v>344</v>
      </c>
    </row>
    <row r="19" spans="1:7" x14ac:dyDescent="0.3">
      <c r="A19" s="14">
        <v>5</v>
      </c>
      <c r="B19">
        <v>195</v>
      </c>
      <c r="F19" s="14">
        <v>4</v>
      </c>
      <c r="G19">
        <v>200</v>
      </c>
    </row>
    <row r="20" spans="1:7" x14ac:dyDescent="0.3">
      <c r="A20" s="14" t="s">
        <v>2561</v>
      </c>
      <c r="B20">
        <v>414</v>
      </c>
      <c r="F20" s="14">
        <v>5</v>
      </c>
      <c r="G20">
        <v>94</v>
      </c>
    </row>
    <row r="21" spans="1:7" x14ac:dyDescent="0.3">
      <c r="A21" s="14" t="s">
        <v>2562</v>
      </c>
      <c r="B21">
        <v>233</v>
      </c>
      <c r="F21" s="14">
        <v>6</v>
      </c>
      <c r="G21">
        <v>51</v>
      </c>
    </row>
    <row r="22" spans="1:7" x14ac:dyDescent="0.3">
      <c r="A22" s="14" t="s">
        <v>2554</v>
      </c>
      <c r="B22">
        <v>2400</v>
      </c>
      <c r="F22" s="14">
        <v>7</v>
      </c>
      <c r="G22">
        <v>32</v>
      </c>
    </row>
    <row r="23" spans="1:7" x14ac:dyDescent="0.3">
      <c r="F23" s="14">
        <v>8</v>
      </c>
      <c r="G23">
        <v>23</v>
      </c>
    </row>
    <row r="24" spans="1:7" x14ac:dyDescent="0.3">
      <c r="F24" s="14">
        <v>9</v>
      </c>
      <c r="G24">
        <v>9</v>
      </c>
    </row>
    <row r="25" spans="1:7" x14ac:dyDescent="0.3">
      <c r="F25" s="14">
        <v>10</v>
      </c>
      <c r="G25">
        <v>8</v>
      </c>
    </row>
    <row r="26" spans="1:7" x14ac:dyDescent="0.3">
      <c r="F26" s="14">
        <v>11</v>
      </c>
      <c r="G26">
        <v>11</v>
      </c>
    </row>
    <row r="27" spans="1:7" x14ac:dyDescent="0.3">
      <c r="F27" s="14">
        <v>12</v>
      </c>
      <c r="G27">
        <v>4</v>
      </c>
    </row>
    <row r="28" spans="1:7" x14ac:dyDescent="0.3">
      <c r="F28" s="14">
        <v>13</v>
      </c>
      <c r="G28">
        <v>10</v>
      </c>
    </row>
    <row r="29" spans="1:7" x14ac:dyDescent="0.3">
      <c r="F29" s="14">
        <v>14</v>
      </c>
      <c r="G29">
        <v>13</v>
      </c>
    </row>
    <row r="30" spans="1:7" x14ac:dyDescent="0.3">
      <c r="F30" s="14" t="s">
        <v>2554</v>
      </c>
      <c r="G30">
        <v>2400</v>
      </c>
    </row>
  </sheetData>
  <conditionalFormatting sqref="H4: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D15" sqref="D15"/>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6"/>
  <sheetViews>
    <sheetView workbookViewId="0">
      <selection activeCell="B17" sqref="B17"/>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39FAD-E07A-4C5B-9CD4-1062152F55F5}">
  <dimension ref="A1"/>
  <sheetViews>
    <sheetView tabSelected="1" zoomScale="80" zoomScaleNormal="80" workbookViewId="0">
      <selection activeCell="W9" sqref="W9"/>
    </sheetView>
  </sheetViews>
  <sheetFormatPr defaultRowHeight="14.4" x14ac:dyDescent="0.3"/>
  <cols>
    <col min="1" max="1" width="4" customWidth="1"/>
    <col min="2" max="2" width="18.5546875" customWidth="1"/>
    <col min="3" max="3" width="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5:D24"/>
  <sheetViews>
    <sheetView workbookViewId="0">
      <selection activeCell="B3" sqref="B3"/>
    </sheetView>
  </sheetViews>
  <sheetFormatPr defaultRowHeight="14.4" x14ac:dyDescent="0.3"/>
  <cols>
    <col min="1" max="1" width="3.33203125" customWidth="1"/>
  </cols>
  <sheetData>
    <row r="5" spans="2:4" x14ac:dyDescent="0.3">
      <c r="B5" t="s">
        <v>2516</v>
      </c>
    </row>
    <row r="6" spans="2:4" x14ac:dyDescent="0.3">
      <c r="B6" s="5"/>
      <c r="C6" t="s">
        <v>2517</v>
      </c>
      <c r="D6" t="s">
        <v>2523</v>
      </c>
    </row>
    <row r="7" spans="2:4" x14ac:dyDescent="0.3">
      <c r="B7" s="6"/>
      <c r="C7" t="s">
        <v>2518</v>
      </c>
      <c r="D7" t="s">
        <v>2524</v>
      </c>
    </row>
    <row r="8" spans="2:4" x14ac:dyDescent="0.3">
      <c r="B8" s="7"/>
      <c r="C8" t="s">
        <v>2519</v>
      </c>
      <c r="D8" t="s">
        <v>2525</v>
      </c>
    </row>
    <row r="9" spans="2:4" x14ac:dyDescent="0.3">
      <c r="B9" s="8"/>
      <c r="C9" t="s">
        <v>2520</v>
      </c>
      <c r="D9" t="s">
        <v>2526</v>
      </c>
    </row>
    <row r="10" spans="2:4" x14ac:dyDescent="0.3">
      <c r="B10" s="9"/>
      <c r="C10" t="s">
        <v>2521</v>
      </c>
      <c r="D10" t="s">
        <v>2527</v>
      </c>
    </row>
    <row r="11" spans="2:4" x14ac:dyDescent="0.3">
      <c r="B11" s="2"/>
      <c r="C11" t="s">
        <v>2522</v>
      </c>
      <c r="D11" t="s">
        <v>2528</v>
      </c>
    </row>
    <row r="13" spans="2:4" x14ac:dyDescent="0.3">
      <c r="B13" t="s">
        <v>2529</v>
      </c>
    </row>
    <row r="14" spans="2:4" x14ac:dyDescent="0.3">
      <c r="B14" t="s">
        <v>2530</v>
      </c>
      <c r="C14" t="s">
        <v>2535</v>
      </c>
    </row>
    <row r="15" spans="2:4" x14ac:dyDescent="0.3">
      <c r="B15" t="s">
        <v>2531</v>
      </c>
      <c r="C15" t="s">
        <v>2</v>
      </c>
    </row>
    <row r="16" spans="2:4" x14ac:dyDescent="0.3">
      <c r="B16" t="s">
        <v>2532</v>
      </c>
      <c r="C16" t="s">
        <v>4</v>
      </c>
    </row>
    <row r="17" spans="2:3" x14ac:dyDescent="0.3">
      <c r="B17" t="s">
        <v>2533</v>
      </c>
      <c r="C17" t="s">
        <v>2536</v>
      </c>
    </row>
    <row r="18" spans="2:3" x14ac:dyDescent="0.3">
      <c r="B18" t="s">
        <v>2534</v>
      </c>
      <c r="C18" t="s">
        <v>2537</v>
      </c>
    </row>
    <row r="21" spans="2:3" x14ac:dyDescent="0.3">
      <c r="B21" t="s">
        <v>2538</v>
      </c>
    </row>
    <row r="22" spans="2:3" x14ac:dyDescent="0.3">
      <c r="B22" t="s">
        <v>2539</v>
      </c>
      <c r="C22" t="s">
        <v>2544</v>
      </c>
    </row>
    <row r="23" spans="2:3" x14ac:dyDescent="0.3">
      <c r="B23" t="s">
        <v>2540</v>
      </c>
      <c r="C23" t="s">
        <v>2541</v>
      </c>
    </row>
    <row r="24" spans="2:3" x14ac:dyDescent="0.3">
      <c r="B24" s="10" t="s">
        <v>2542</v>
      </c>
      <c r="C24" t="s">
        <v>2543</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vt:lpstr>
      <vt:lpstr>Sheet1</vt:lpstr>
      <vt:lpstr>Data</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Milton Mendieta Flores</cp:lastModifiedBy>
  <dcterms:created xsi:type="dcterms:W3CDTF">2025-06-13T02:42:26Z</dcterms:created>
  <dcterms:modified xsi:type="dcterms:W3CDTF">2026-10-19T06:57:59Z</dcterms:modified>
</cp:coreProperties>
</file>