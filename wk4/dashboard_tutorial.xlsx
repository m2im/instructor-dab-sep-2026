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G:\Other computers\My Laptop W11\working_folder\Personales\Upright\Data_Science\instructor-dab-sep-2026\wk4\"/>
    </mc:Choice>
  </mc:AlternateContent>
  <xr:revisionPtr revIDLastSave="0" documentId="13_ncr:1_{D79B84A5-2E5A-4066-8EFE-38EB466ED963}" xr6:coauthVersionLast="47" xr6:coauthVersionMax="47" xr10:uidLastSave="{00000000-0000-0000-0000-000000000000}"/>
  <bookViews>
    <workbookView xWindow="-108" yWindow="-108" windowWidth="23256" windowHeight="12456" activeTab="4" xr2:uid="{346724B3-1C49-40AE-AA36-C77CF5D6DD09}"/>
  </bookViews>
  <sheets>
    <sheet name="Pivots" sheetId="10" r:id="rId1"/>
    <sheet name="heatmap" sheetId="11" r:id="rId2"/>
    <sheet name="Data" sheetId="1" r:id="rId3"/>
    <sheet name="Questions &amp; KPIs" sheetId="2" r:id="rId4"/>
    <sheet name="Dashboard" sheetId="9" r:id="rId5"/>
    <sheet name="Logo &amp; Colors" sheetId="4" r:id="rId6"/>
  </sheets>
  <definedNames>
    <definedName name="_xlchart.v5.0" hidden="1">Pivots!$N$41:$O$41</definedName>
    <definedName name="_xlchart.v5.1" hidden="1">Pivots!$N$42:$O$99</definedName>
    <definedName name="_xlchart.v5.10" hidden="1">Pivots!$T$41</definedName>
    <definedName name="_xlchart.v5.11" hidden="1">Pivots!$T$42:$T$99</definedName>
    <definedName name="_xlchart.v5.2" hidden="1">Pivots!$P$41</definedName>
    <definedName name="_xlchart.v5.3" hidden="1">Pivots!$P$42:$P$99</definedName>
    <definedName name="_xlchart.v5.4" hidden="1">Pivots!$R$41:$S$41</definedName>
    <definedName name="_xlchart.v5.5" hidden="1">Pivots!$R$42:$S$99</definedName>
    <definedName name="_xlchart.v5.6" hidden="1">Pivots!$T$41</definedName>
    <definedName name="_xlchart.v5.7" hidden="1">Pivots!$T$42:$T$99</definedName>
    <definedName name="_xlchart.v5.8" hidden="1">Pivots!$R$41:$S$41</definedName>
    <definedName name="_xlchart.v5.9" hidden="1">Pivots!$R$42:$S$99</definedName>
    <definedName name="Slicer_Gender_Value">#N/A</definedName>
    <definedName name="Slicer_Order_Mode">#N/A</definedName>
  </definedNames>
  <calcPr calcId="191029"/>
  <pivotCaches>
    <pivotCache cacheId="12"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3" i="10" l="1"/>
  <c r="S43" i="10"/>
  <c r="T43" i="10"/>
  <c r="R44" i="10"/>
  <c r="S44" i="10"/>
  <c r="T44" i="10"/>
  <c r="R45" i="10"/>
  <c r="S45" i="10"/>
  <c r="T45" i="10"/>
  <c r="R46" i="10"/>
  <c r="S46" i="10"/>
  <c r="T46" i="10"/>
  <c r="R47" i="10"/>
  <c r="S47" i="10"/>
  <c r="T47" i="10"/>
  <c r="R48" i="10"/>
  <c r="S48" i="10"/>
  <c r="T48" i="10"/>
  <c r="R49" i="10"/>
  <c r="S49" i="10"/>
  <c r="T49" i="10"/>
  <c r="R50" i="10"/>
  <c r="S50" i="10"/>
  <c r="T50" i="10"/>
  <c r="R51" i="10"/>
  <c r="S51" i="10"/>
  <c r="T51" i="10"/>
  <c r="R52" i="10"/>
  <c r="S52" i="10"/>
  <c r="T52" i="10"/>
  <c r="R53" i="10"/>
  <c r="S53" i="10"/>
  <c r="T53" i="10"/>
  <c r="R54" i="10"/>
  <c r="S54" i="10"/>
  <c r="T54" i="10"/>
  <c r="R55" i="10"/>
  <c r="S55" i="10"/>
  <c r="T55" i="10"/>
  <c r="R56" i="10"/>
  <c r="S56" i="10"/>
  <c r="T56" i="10"/>
  <c r="R57" i="10"/>
  <c r="S57" i="10"/>
  <c r="T57" i="10"/>
  <c r="R58" i="10"/>
  <c r="S58" i="10"/>
  <c r="T58" i="10"/>
  <c r="R59" i="10"/>
  <c r="S59" i="10"/>
  <c r="T59" i="10"/>
  <c r="R60" i="10"/>
  <c r="S60" i="10"/>
  <c r="T60" i="10"/>
  <c r="R61" i="10"/>
  <c r="S61" i="10"/>
  <c r="T61" i="10"/>
  <c r="R62" i="10"/>
  <c r="S62" i="10"/>
  <c r="T62" i="10"/>
  <c r="R63" i="10"/>
  <c r="S63" i="10"/>
  <c r="T63" i="10"/>
  <c r="R64" i="10"/>
  <c r="S64" i="10"/>
  <c r="T64" i="10"/>
  <c r="R65" i="10"/>
  <c r="S65" i="10"/>
  <c r="T65" i="10"/>
  <c r="R66" i="10"/>
  <c r="S66" i="10"/>
  <c r="T66" i="10"/>
  <c r="R67" i="10"/>
  <c r="S67" i="10"/>
  <c r="T67" i="10"/>
  <c r="R68" i="10"/>
  <c r="S68" i="10"/>
  <c r="T68" i="10"/>
  <c r="R69" i="10"/>
  <c r="S69" i="10"/>
  <c r="T69" i="10"/>
  <c r="R70" i="10"/>
  <c r="S70" i="10"/>
  <c r="T70" i="10"/>
  <c r="R71" i="10"/>
  <c r="S71" i="10"/>
  <c r="T71" i="10"/>
  <c r="R72" i="10"/>
  <c r="S72" i="10"/>
  <c r="T72" i="10"/>
  <c r="R73" i="10"/>
  <c r="S73" i="10"/>
  <c r="T73" i="10"/>
  <c r="R74" i="10"/>
  <c r="S74" i="10"/>
  <c r="T74" i="10"/>
  <c r="R75" i="10"/>
  <c r="S75" i="10"/>
  <c r="T75" i="10"/>
  <c r="R76" i="10"/>
  <c r="S76" i="10"/>
  <c r="T76" i="10"/>
  <c r="R77" i="10"/>
  <c r="S77" i="10"/>
  <c r="T77" i="10"/>
  <c r="R78" i="10"/>
  <c r="S78" i="10"/>
  <c r="T78" i="10"/>
  <c r="R79" i="10"/>
  <c r="S79" i="10"/>
  <c r="T79" i="10"/>
  <c r="R80" i="10"/>
  <c r="S80" i="10"/>
  <c r="T80" i="10"/>
  <c r="R81" i="10"/>
  <c r="S81" i="10"/>
  <c r="T81" i="10"/>
  <c r="R82" i="10"/>
  <c r="S82" i="10"/>
  <c r="T82" i="10"/>
  <c r="R83" i="10"/>
  <c r="S83" i="10"/>
  <c r="T83" i="10"/>
  <c r="R84" i="10"/>
  <c r="S84" i="10"/>
  <c r="T84" i="10"/>
  <c r="R85" i="10"/>
  <c r="S85" i="10"/>
  <c r="T85" i="10"/>
  <c r="R86" i="10"/>
  <c r="S86" i="10"/>
  <c r="T86" i="10"/>
  <c r="R87" i="10"/>
  <c r="S87" i="10"/>
  <c r="T87" i="10"/>
  <c r="R88" i="10"/>
  <c r="S88" i="10"/>
  <c r="T88" i="10"/>
  <c r="R89" i="10"/>
  <c r="S89" i="10"/>
  <c r="T89" i="10"/>
  <c r="R90" i="10"/>
  <c r="S90" i="10"/>
  <c r="T90" i="10"/>
  <c r="R91" i="10"/>
  <c r="S91" i="10"/>
  <c r="T91" i="10"/>
  <c r="R92" i="10"/>
  <c r="S92" i="10"/>
  <c r="T92" i="10"/>
  <c r="R93" i="10"/>
  <c r="S93" i="10"/>
  <c r="T93" i="10"/>
  <c r="R94" i="10"/>
  <c r="S94" i="10"/>
  <c r="T94" i="10"/>
  <c r="R95" i="10"/>
  <c r="S95" i="10"/>
  <c r="T95" i="10"/>
  <c r="R96" i="10"/>
  <c r="S96" i="10"/>
  <c r="T96" i="10"/>
  <c r="R97" i="10"/>
  <c r="S97" i="10"/>
  <c r="T97" i="10"/>
  <c r="R98" i="10"/>
  <c r="S98" i="10"/>
  <c r="T98" i="10"/>
  <c r="R99" i="10"/>
  <c r="S99" i="10"/>
  <c r="T99" i="10"/>
  <c r="T42" i="10"/>
  <c r="S42" i="10"/>
  <c r="R42" i="10"/>
  <c r="N43" i="10"/>
  <c r="O43" i="10"/>
  <c r="P43" i="10"/>
  <c r="N44" i="10"/>
  <c r="O44" i="10"/>
  <c r="P44" i="10"/>
  <c r="N45" i="10"/>
  <c r="O45" i="10"/>
  <c r="P45" i="10"/>
  <c r="N46" i="10"/>
  <c r="O46" i="10"/>
  <c r="P46" i="10"/>
  <c r="N47" i="10"/>
  <c r="O47" i="10"/>
  <c r="P47" i="10"/>
  <c r="N48" i="10"/>
  <c r="O48" i="10"/>
  <c r="P48" i="10"/>
  <c r="N49" i="10"/>
  <c r="O49" i="10"/>
  <c r="P49" i="10"/>
  <c r="N50" i="10"/>
  <c r="O50" i="10"/>
  <c r="P50" i="10"/>
  <c r="N51" i="10"/>
  <c r="O51" i="10"/>
  <c r="P51" i="10"/>
  <c r="N52" i="10"/>
  <c r="O52" i="10"/>
  <c r="P52" i="10"/>
  <c r="N53" i="10"/>
  <c r="O53" i="10"/>
  <c r="P53" i="10"/>
  <c r="N54" i="10"/>
  <c r="O54" i="10"/>
  <c r="P54" i="10"/>
  <c r="N55" i="10"/>
  <c r="O55" i="10"/>
  <c r="P55" i="10"/>
  <c r="N56" i="10"/>
  <c r="O56" i="10"/>
  <c r="P56" i="10"/>
  <c r="N57" i="10"/>
  <c r="O57" i="10"/>
  <c r="P57" i="10"/>
  <c r="N58" i="10"/>
  <c r="O58" i="10"/>
  <c r="P58" i="10"/>
  <c r="N59" i="10"/>
  <c r="O59" i="10"/>
  <c r="P59" i="10"/>
  <c r="N60" i="10"/>
  <c r="O60" i="10"/>
  <c r="P60" i="10"/>
  <c r="N61" i="10"/>
  <c r="O61" i="10"/>
  <c r="P61" i="10"/>
  <c r="N62" i="10"/>
  <c r="O62" i="10"/>
  <c r="P62" i="10"/>
  <c r="N63" i="10"/>
  <c r="O63" i="10"/>
  <c r="P63" i="10"/>
  <c r="N64" i="10"/>
  <c r="O64" i="10"/>
  <c r="P64" i="10"/>
  <c r="N65" i="10"/>
  <c r="O65" i="10"/>
  <c r="P65" i="10"/>
  <c r="N66" i="10"/>
  <c r="O66" i="10"/>
  <c r="P66" i="10"/>
  <c r="N67" i="10"/>
  <c r="O67" i="10"/>
  <c r="P67" i="10"/>
  <c r="N68" i="10"/>
  <c r="O68" i="10"/>
  <c r="P68" i="10"/>
  <c r="N69" i="10"/>
  <c r="O69" i="10"/>
  <c r="P69" i="10"/>
  <c r="N70" i="10"/>
  <c r="O70" i="10"/>
  <c r="P70" i="10"/>
  <c r="N71" i="10"/>
  <c r="O71" i="10"/>
  <c r="P71" i="10"/>
  <c r="N72" i="10"/>
  <c r="O72" i="10"/>
  <c r="P72" i="10"/>
  <c r="N73" i="10"/>
  <c r="O73" i="10"/>
  <c r="P73" i="10"/>
  <c r="N74" i="10"/>
  <c r="O74" i="10"/>
  <c r="P74" i="10"/>
  <c r="N75" i="10"/>
  <c r="O75" i="10"/>
  <c r="P75" i="10"/>
  <c r="N76" i="10"/>
  <c r="O76" i="10"/>
  <c r="P76" i="10"/>
  <c r="N77" i="10"/>
  <c r="O77" i="10"/>
  <c r="P77" i="10"/>
  <c r="N78" i="10"/>
  <c r="O78" i="10"/>
  <c r="P78" i="10"/>
  <c r="N79" i="10"/>
  <c r="O79" i="10"/>
  <c r="P79" i="10"/>
  <c r="N80" i="10"/>
  <c r="O80" i="10"/>
  <c r="P80" i="10"/>
  <c r="N81" i="10"/>
  <c r="O81" i="10"/>
  <c r="P81" i="10"/>
  <c r="N82" i="10"/>
  <c r="O82" i="10"/>
  <c r="P82" i="10"/>
  <c r="N83" i="10"/>
  <c r="O83" i="10"/>
  <c r="P83" i="10"/>
  <c r="N84" i="10"/>
  <c r="O84" i="10"/>
  <c r="P84" i="10"/>
  <c r="N85" i="10"/>
  <c r="O85" i="10"/>
  <c r="P85" i="10"/>
  <c r="N86" i="10"/>
  <c r="O86" i="10"/>
  <c r="P86" i="10"/>
  <c r="N87" i="10"/>
  <c r="O87" i="10"/>
  <c r="P87" i="10"/>
  <c r="N88" i="10"/>
  <c r="O88" i="10"/>
  <c r="P88" i="10"/>
  <c r="N89" i="10"/>
  <c r="O89" i="10"/>
  <c r="P89" i="10"/>
  <c r="N90" i="10"/>
  <c r="O90" i="10"/>
  <c r="P90" i="10"/>
  <c r="N91" i="10"/>
  <c r="O91" i="10"/>
  <c r="P91" i="10"/>
  <c r="N92" i="10"/>
  <c r="O92" i="10"/>
  <c r="P92" i="10"/>
  <c r="N93" i="10"/>
  <c r="O93" i="10"/>
  <c r="P93" i="10"/>
  <c r="N94" i="10"/>
  <c r="O94" i="10"/>
  <c r="P94" i="10"/>
  <c r="N95" i="10"/>
  <c r="O95" i="10"/>
  <c r="P95" i="10"/>
  <c r="N96" i="10"/>
  <c r="O96" i="10"/>
  <c r="P96" i="10"/>
  <c r="N97" i="10"/>
  <c r="O97" i="10"/>
  <c r="P97" i="10"/>
  <c r="N98" i="10"/>
  <c r="O98" i="10"/>
  <c r="P98" i="10"/>
  <c r="N99" i="10"/>
  <c r="O99" i="10"/>
  <c r="P99" i="10"/>
  <c r="O42" i="10"/>
  <c r="P42" i="10"/>
  <c r="N42" i="10"/>
  <c r="K4" i="11"/>
  <c r="L4" i="11"/>
  <c r="M4" i="11"/>
  <c r="J4" i="11"/>
  <c r="J5" i="11"/>
  <c r="K5" i="11"/>
  <c r="L5" i="11"/>
  <c r="M5" i="11"/>
  <c r="J6" i="11"/>
  <c r="K6" i="11"/>
  <c r="L6" i="11"/>
  <c r="M6" i="11"/>
  <c r="J7" i="11"/>
  <c r="K7" i="11"/>
  <c r="L7" i="11"/>
  <c r="M7" i="11"/>
  <c r="J8" i="11"/>
  <c r="K8" i="11"/>
  <c r="L8" i="11"/>
  <c r="M8" i="11"/>
  <c r="J9" i="11"/>
  <c r="K9" i="11"/>
  <c r="L9" i="11"/>
  <c r="M9" i="11"/>
  <c r="I6" i="11"/>
  <c r="I7" i="11"/>
  <c r="I8" i="11"/>
  <c r="I9" i="11"/>
  <c r="I5" i="11"/>
  <c r="J4" i="10"/>
  <c r="I4" i="10"/>
  <c r="H4" i="10"/>
  <c r="K4" i="10"/>
  <c r="G4" i="10"/>
  <c r="O2" i="1" a="1"/>
  <c r="O2" i="1" s="1"/>
  <c r="N2" i="1"/>
  <c r="M2" i="1"/>
  <c r="O2401" i="1" a="1"/>
  <c r="O2401" i="1" s="1"/>
  <c r="N2401" i="1"/>
  <c r="M2401" i="1"/>
  <c r="O2400" i="1" a="1"/>
  <c r="O2400" i="1" s="1"/>
  <c r="N2400" i="1"/>
  <c r="M2400" i="1"/>
  <c r="O2399" i="1" a="1"/>
  <c r="O2399" i="1" s="1"/>
  <c r="N2399" i="1"/>
  <c r="M2399" i="1"/>
  <c r="O2398" i="1" a="1"/>
  <c r="O2398" i="1" s="1"/>
  <c r="N2398" i="1"/>
  <c r="M2398" i="1"/>
  <c r="O2397" i="1" a="1"/>
  <c r="O2397" i="1" s="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c r="O2390" i="1" a="1"/>
  <c r="N2390" i="1"/>
  <c r="M2390" i="1"/>
  <c r="O2389" i="1" a="1"/>
  <c r="O2389" i="1" s="1"/>
  <c r="N2389" i="1"/>
  <c r="M2389" i="1"/>
  <c r="O2388" i="1" a="1"/>
  <c r="O2388" i="1" s="1"/>
  <c r="N2388" i="1"/>
  <c r="M2388" i="1"/>
  <c r="O2387" i="1" a="1"/>
  <c r="O2387" i="1" s="1"/>
  <c r="N2387" i="1"/>
  <c r="M2387" i="1"/>
  <c r="O2386" i="1" a="1"/>
  <c r="O2386" i="1" s="1"/>
  <c r="N2386" i="1"/>
  <c r="M2386" i="1"/>
  <c r="O2385" i="1" a="1"/>
  <c r="O2385" i="1" s="1"/>
  <c r="N2385" i="1"/>
  <c r="M2385" i="1"/>
  <c r="O2384" i="1" a="1"/>
  <c r="O2384" i="1" s="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a="1"/>
  <c r="O2377" i="1" s="1"/>
  <c r="N2377" i="1"/>
  <c r="M2377" i="1"/>
  <c r="O2376" i="1" a="1"/>
  <c r="O2376" i="1" s="1"/>
  <c r="N2376" i="1"/>
  <c r="M2376" i="1"/>
  <c r="O2375" i="1" a="1"/>
  <c r="O2375" i="1" s="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a="1"/>
  <c r="O2368" i="1" s="1"/>
  <c r="N2368" i="1"/>
  <c r="M2368" i="1"/>
  <c r="O2367" i="1"/>
  <c r="O2367" i="1" a="1"/>
  <c r="N2367" i="1"/>
  <c r="M2367" i="1"/>
  <c r="O2366" i="1" a="1"/>
  <c r="O2366" i="1" s="1"/>
  <c r="N2366" i="1"/>
  <c r="M2366" i="1"/>
  <c r="O2365" i="1" a="1"/>
  <c r="O2365" i="1" s="1"/>
  <c r="N2365" i="1"/>
  <c r="M2365" i="1"/>
  <c r="O2364" i="1" a="1"/>
  <c r="O2364" i="1" s="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a="1"/>
  <c r="O2358" i="1" s="1"/>
  <c r="N2358" i="1"/>
  <c r="M2358" i="1"/>
  <c r="O2357" i="1" a="1"/>
  <c r="O2357" i="1" s="1"/>
  <c r="N2357" i="1"/>
  <c r="M2357" i="1"/>
  <c r="O2356" i="1"/>
  <c r="O2356" i="1" a="1"/>
  <c r="N2356" i="1"/>
  <c r="M2356" i="1"/>
  <c r="O2355" i="1" a="1"/>
  <c r="O2355" i="1" s="1"/>
  <c r="N2355" i="1"/>
  <c r="M2355" i="1"/>
  <c r="O2354" i="1" a="1"/>
  <c r="O2354" i="1" s="1"/>
  <c r="N2354" i="1"/>
  <c r="M2354" i="1"/>
  <c r="O2353" i="1" a="1"/>
  <c r="O2353" i="1" s="1"/>
  <c r="N2353" i="1"/>
  <c r="M2353" i="1"/>
  <c r="O2352" i="1" a="1"/>
  <c r="O2352" i="1" s="1"/>
  <c r="N2352" i="1"/>
  <c r="M2352" i="1"/>
  <c r="O2351" i="1" a="1"/>
  <c r="O2351" i="1" s="1"/>
  <c r="N2351" i="1"/>
  <c r="M2351" i="1"/>
  <c r="O2350" i="1" a="1"/>
  <c r="O2350" i="1" s="1"/>
  <c r="N2350" i="1"/>
  <c r="M2350" i="1"/>
  <c r="O2349" i="1"/>
  <c r="O2349" i="1" a="1"/>
  <c r="N2349" i="1"/>
  <c r="M2349" i="1"/>
  <c r="O2348" i="1" a="1"/>
  <c r="O2348" i="1" s="1"/>
  <c r="N2348" i="1"/>
  <c r="M2348" i="1"/>
  <c r="O2347" i="1" a="1"/>
  <c r="O2347" i="1" s="1"/>
  <c r="N2347" i="1"/>
  <c r="M2347" i="1"/>
  <c r="O2346" i="1" a="1"/>
  <c r="O2346" i="1" s="1"/>
  <c r="N2346" i="1"/>
  <c r="M2346" i="1"/>
  <c r="O2345" i="1" a="1"/>
  <c r="O2345" i="1" s="1"/>
  <c r="N2345" i="1"/>
  <c r="M2345" i="1"/>
  <c r="O2344" i="1" a="1"/>
  <c r="O2344" i="1" s="1"/>
  <c r="N2344" i="1"/>
  <c r="M2344" i="1"/>
  <c r="O2343" i="1" a="1"/>
  <c r="O2343" i="1" s="1"/>
  <c r="N2343" i="1"/>
  <c r="M2343" i="1"/>
  <c r="O2342" i="1" a="1"/>
  <c r="O2342" i="1" s="1"/>
  <c r="N2342" i="1"/>
  <c r="M2342" i="1"/>
  <c r="O2341" i="1" a="1"/>
  <c r="O2341" i="1" s="1"/>
  <c r="N2341" i="1"/>
  <c r="M2341" i="1"/>
  <c r="O2340" i="1" a="1"/>
  <c r="O2340" i="1" s="1"/>
  <c r="N2340" i="1"/>
  <c r="M2340" i="1"/>
  <c r="O2339" i="1" a="1"/>
  <c r="O2339" i="1" s="1"/>
  <c r="N2339" i="1"/>
  <c r="M2339" i="1"/>
  <c r="O2338" i="1" a="1"/>
  <c r="O2338" i="1" s="1"/>
  <c r="N2338" i="1"/>
  <c r="M2338" i="1"/>
  <c r="O2337" i="1" a="1"/>
  <c r="O2337" i="1" s="1"/>
  <c r="N2337" i="1"/>
  <c r="M2337" i="1"/>
  <c r="O2336" i="1" a="1"/>
  <c r="O2336" i="1" s="1"/>
  <c r="N2336" i="1"/>
  <c r="M2336" i="1"/>
  <c r="O2335" i="1" a="1"/>
  <c r="O2335" i="1" s="1"/>
  <c r="N2335" i="1"/>
  <c r="M2335" i="1"/>
  <c r="O2334" i="1" a="1"/>
  <c r="O2334" i="1" s="1"/>
  <c r="N2334" i="1"/>
  <c r="M2334" i="1"/>
  <c r="O2333" i="1" a="1"/>
  <c r="O2333" i="1" s="1"/>
  <c r="N2333" i="1"/>
  <c r="M2333" i="1"/>
  <c r="O2332" i="1"/>
  <c r="O2332" i="1" a="1"/>
  <c r="N2332" i="1"/>
  <c r="M2332" i="1"/>
  <c r="O2331" i="1" a="1"/>
  <c r="O2331" i="1" s="1"/>
  <c r="N2331" i="1"/>
  <c r="M2331" i="1"/>
  <c r="O2330" i="1" a="1"/>
  <c r="O2330" i="1" s="1"/>
  <c r="N2330" i="1"/>
  <c r="M2330" i="1"/>
  <c r="O2329" i="1" a="1"/>
  <c r="O2329" i="1" s="1"/>
  <c r="N2329" i="1"/>
  <c r="M2329" i="1"/>
  <c r="O2328" i="1" a="1"/>
  <c r="O2328" i="1" s="1"/>
  <c r="N2328" i="1"/>
  <c r="M2328" i="1"/>
  <c r="O2327" i="1" a="1"/>
  <c r="O2327" i="1" s="1"/>
  <c r="N2327" i="1"/>
  <c r="M2327" i="1"/>
  <c r="O2326" i="1" a="1"/>
  <c r="O2326" i="1" s="1"/>
  <c r="N2326" i="1"/>
  <c r="M2326" i="1"/>
  <c r="O2325" i="1" a="1"/>
  <c r="O2325" i="1" s="1"/>
  <c r="N2325" i="1"/>
  <c r="M2325" i="1"/>
  <c r="O2324" i="1" a="1"/>
  <c r="O2324" i="1" s="1"/>
  <c r="N2324" i="1"/>
  <c r="M2324" i="1"/>
  <c r="O2323" i="1" a="1"/>
  <c r="O2323" i="1" s="1"/>
  <c r="N2323" i="1"/>
  <c r="M2323" i="1"/>
  <c r="O2322" i="1" a="1"/>
  <c r="O2322" i="1" s="1"/>
  <c r="N2322" i="1"/>
  <c r="M2322" i="1"/>
  <c r="O2321" i="1" a="1"/>
  <c r="O2321" i="1" s="1"/>
  <c r="N2321" i="1"/>
  <c r="M2321" i="1"/>
  <c r="O2320" i="1" a="1"/>
  <c r="O2320" i="1" s="1"/>
  <c r="N2320" i="1"/>
  <c r="M2320" i="1"/>
  <c r="O2319" i="1" a="1"/>
  <c r="O2319" i="1" s="1"/>
  <c r="N2319" i="1"/>
  <c r="M2319" i="1"/>
  <c r="O2318" i="1" a="1"/>
  <c r="O2318" i="1" s="1"/>
  <c r="N2318" i="1"/>
  <c r="M2318" i="1"/>
  <c r="O2317" i="1" a="1"/>
  <c r="O2317" i="1" s="1"/>
  <c r="N2317" i="1"/>
  <c r="M2317" i="1"/>
  <c r="O2316" i="1" a="1"/>
  <c r="O2316" i="1" s="1"/>
  <c r="N2316" i="1"/>
  <c r="M2316" i="1"/>
  <c r="O2315" i="1" a="1"/>
  <c r="O2315" i="1" s="1"/>
  <c r="N2315" i="1"/>
  <c r="M2315" i="1"/>
  <c r="O2314" i="1" a="1"/>
  <c r="O2314" i="1" s="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a="1"/>
  <c r="O2308" i="1" s="1"/>
  <c r="N2308" i="1"/>
  <c r="M2308" i="1"/>
  <c r="O2307" i="1" a="1"/>
  <c r="O2307" i="1" s="1"/>
  <c r="N2307" i="1"/>
  <c r="M2307" i="1"/>
  <c r="O2306" i="1" a="1"/>
  <c r="O2306" i="1" s="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c r="O2300" i="1" a="1"/>
  <c r="N2300" i="1"/>
  <c r="M2300" i="1"/>
  <c r="O2299" i="1" a="1"/>
  <c r="O2299" i="1" s="1"/>
  <c r="N2299" i="1"/>
  <c r="M2299" i="1"/>
  <c r="O2298" i="1" a="1"/>
  <c r="O2298" i="1" s="1"/>
  <c r="N2298" i="1"/>
  <c r="M2298" i="1"/>
  <c r="O2297" i="1" a="1"/>
  <c r="O2297" i="1" s="1"/>
  <c r="N2297" i="1"/>
  <c r="M2297" i="1"/>
  <c r="O2296" i="1" a="1"/>
  <c r="O2296" i="1" s="1"/>
  <c r="N2296" i="1"/>
  <c r="M2296" i="1"/>
  <c r="O2295" i="1" a="1"/>
  <c r="O2295" i="1" s="1"/>
  <c r="N2295" i="1"/>
  <c r="M2295" i="1"/>
  <c r="O2294" i="1"/>
  <c r="O2294" i="1" a="1"/>
  <c r="N2294" i="1"/>
  <c r="M2294" i="1"/>
  <c r="O2293" i="1" a="1"/>
  <c r="O2293" i="1" s="1"/>
  <c r="N2293" i="1"/>
  <c r="M2293" i="1"/>
  <c r="O2292" i="1"/>
  <c r="O2292" i="1" a="1"/>
  <c r="N2292" i="1"/>
  <c r="M2292" i="1"/>
  <c r="O2291" i="1" a="1"/>
  <c r="O2291" i="1" s="1"/>
  <c r="N2291" i="1"/>
  <c r="M2291" i="1"/>
  <c r="O2290" i="1"/>
  <c r="O2290" i="1" a="1"/>
  <c r="N2290" i="1"/>
  <c r="M2290" i="1"/>
  <c r="O2289" i="1" a="1"/>
  <c r="O2289" i="1" s="1"/>
  <c r="N2289" i="1"/>
  <c r="M2289" i="1"/>
  <c r="O2288" i="1" a="1"/>
  <c r="O2288" i="1" s="1"/>
  <c r="N2288" i="1"/>
  <c r="M2288" i="1"/>
  <c r="O2287" i="1" a="1"/>
  <c r="O2287" i="1" s="1"/>
  <c r="N2287" i="1"/>
  <c r="M2287" i="1"/>
  <c r="O2286" i="1" a="1"/>
  <c r="O2286" i="1" s="1"/>
  <c r="N2286" i="1"/>
  <c r="M2286" i="1"/>
  <c r="O2285" i="1" a="1"/>
  <c r="O2285" i="1" s="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a="1"/>
  <c r="O2279" i="1" s="1"/>
  <c r="N2279" i="1"/>
  <c r="M2279" i="1"/>
  <c r="O2278" i="1" a="1"/>
  <c r="O2278" i="1" s="1"/>
  <c r="N2278" i="1"/>
  <c r="M2278" i="1"/>
  <c r="O2277" i="1" a="1"/>
  <c r="O2277" i="1" s="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c r="O2271" i="1" a="1"/>
  <c r="N2271" i="1"/>
  <c r="M2271" i="1"/>
  <c r="O2270" i="1" a="1"/>
  <c r="O2270" i="1" s="1"/>
  <c r="N2270" i="1"/>
  <c r="M2270" i="1"/>
  <c r="O2269" i="1"/>
  <c r="O2269" i="1" a="1"/>
  <c r="N2269" i="1"/>
  <c r="M2269" i="1"/>
  <c r="O2268" i="1" a="1"/>
  <c r="O2268" i="1" s="1"/>
  <c r="N2268" i="1"/>
  <c r="M2268" i="1"/>
  <c r="O2267" i="1" a="1"/>
  <c r="O2267" i="1" s="1"/>
  <c r="N2267" i="1"/>
  <c r="M2267" i="1"/>
  <c r="O2266" i="1" a="1"/>
  <c r="O2266" i="1" s="1"/>
  <c r="N2266" i="1"/>
  <c r="M2266" i="1"/>
  <c r="O2265" i="1" a="1"/>
  <c r="O2265" i="1" s="1"/>
  <c r="N2265" i="1"/>
  <c r="M2265" i="1"/>
  <c r="O2264" i="1" a="1"/>
  <c r="O2264" i="1" s="1"/>
  <c r="N2264" i="1"/>
  <c r="M2264" i="1"/>
  <c r="O2263" i="1" a="1"/>
  <c r="O2263" i="1" s="1"/>
  <c r="N2263" i="1"/>
  <c r="M2263" i="1"/>
  <c r="O2262" i="1" a="1"/>
  <c r="O2262" i="1" s="1"/>
  <c r="N2262" i="1"/>
  <c r="M2262" i="1"/>
  <c r="O2261" i="1" a="1"/>
  <c r="O2261" i="1" s="1"/>
  <c r="N2261" i="1"/>
  <c r="M2261" i="1"/>
  <c r="O2260" i="1" a="1"/>
  <c r="O2260" i="1" s="1"/>
  <c r="N2260" i="1"/>
  <c r="M2260" i="1"/>
  <c r="O2259" i="1" a="1"/>
  <c r="O2259" i="1" s="1"/>
  <c r="N2259" i="1"/>
  <c r="M2259" i="1"/>
  <c r="O2258" i="1" a="1"/>
  <c r="O2258" i="1" s="1"/>
  <c r="N2258" i="1"/>
  <c r="M2258" i="1"/>
  <c r="O2257" i="1" a="1"/>
  <c r="O2257" i="1" s="1"/>
  <c r="N2257" i="1"/>
  <c r="M2257" i="1"/>
  <c r="O2256" i="1" a="1"/>
  <c r="O2256" i="1" s="1"/>
  <c r="N2256" i="1"/>
  <c r="M2256" i="1"/>
  <c r="O2255" i="1" a="1"/>
  <c r="O2255" i="1" s="1"/>
  <c r="N2255" i="1"/>
  <c r="M2255" i="1"/>
  <c r="O2254" i="1" a="1"/>
  <c r="O2254" i="1" s="1"/>
  <c r="N2254" i="1"/>
  <c r="M2254" i="1"/>
  <c r="O2253" i="1" a="1"/>
  <c r="O2253" i="1" s="1"/>
  <c r="N2253" i="1"/>
  <c r="M2253" i="1"/>
  <c r="O2252" i="1" a="1"/>
  <c r="O2252" i="1" s="1"/>
  <c r="N2252" i="1"/>
  <c r="M2252" i="1"/>
  <c r="O2251" i="1" a="1"/>
  <c r="O2251" i="1" s="1"/>
  <c r="N2251" i="1"/>
  <c r="M2251" i="1"/>
  <c r="O2250" i="1" a="1"/>
  <c r="O2250" i="1" s="1"/>
  <c r="N2250" i="1"/>
  <c r="M2250" i="1"/>
  <c r="O2249" i="1" a="1"/>
  <c r="O2249" i="1" s="1"/>
  <c r="N2249" i="1"/>
  <c r="M2249" i="1"/>
  <c r="O2248" i="1" a="1"/>
  <c r="O2248" i="1" s="1"/>
  <c r="N2248" i="1"/>
  <c r="M2248" i="1"/>
  <c r="O2247" i="1" a="1"/>
  <c r="O2247" i="1" s="1"/>
  <c r="N2247" i="1"/>
  <c r="M2247" i="1"/>
  <c r="O2246" i="1"/>
  <c r="O2246" i="1" a="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a="1"/>
  <c r="O2239" i="1" s="1"/>
  <c r="N2239" i="1"/>
  <c r="M2239" i="1"/>
  <c r="O2238" i="1" a="1"/>
  <c r="O2238" i="1" s="1"/>
  <c r="N2238" i="1"/>
  <c r="M2238" i="1"/>
  <c r="O2237" i="1" a="1"/>
  <c r="O2237" i="1" s="1"/>
  <c r="N2237" i="1"/>
  <c r="M2237" i="1"/>
  <c r="O2236" i="1" a="1"/>
  <c r="O2236" i="1" s="1"/>
  <c r="N2236" i="1"/>
  <c r="M2236" i="1"/>
  <c r="O2235" i="1" a="1"/>
  <c r="O2235" i="1" s="1"/>
  <c r="N2235" i="1"/>
  <c r="M2235" i="1"/>
  <c r="O2234" i="1"/>
  <c r="O2234" i="1" a="1"/>
  <c r="N2234" i="1"/>
  <c r="M2234" i="1"/>
  <c r="O2233" i="1" a="1"/>
  <c r="O2233" i="1" s="1"/>
  <c r="N2233" i="1"/>
  <c r="M2233" i="1"/>
  <c r="O2232" i="1" a="1"/>
  <c r="O2232" i="1" s="1"/>
  <c r="N2232" i="1"/>
  <c r="M2232" i="1"/>
  <c r="O2231" i="1" a="1"/>
  <c r="O2231" i="1" s="1"/>
  <c r="N2231" i="1"/>
  <c r="M2231" i="1"/>
  <c r="O2230" i="1" a="1"/>
  <c r="O2230" i="1" s="1"/>
  <c r="N2230" i="1"/>
  <c r="M2230" i="1"/>
  <c r="O2229" i="1" a="1"/>
  <c r="O2229" i="1" s="1"/>
  <c r="N2229" i="1"/>
  <c r="M2229" i="1"/>
  <c r="O2228" i="1" a="1"/>
  <c r="O2228" i="1" s="1"/>
  <c r="N2228" i="1"/>
  <c r="M2228" i="1"/>
  <c r="O2227" i="1" a="1"/>
  <c r="O2227" i="1" s="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a="1"/>
  <c r="O2220" i="1" s="1"/>
  <c r="N2220" i="1"/>
  <c r="M2220" i="1"/>
  <c r="O2219" i="1" a="1"/>
  <c r="O2219" i="1" s="1"/>
  <c r="N2219" i="1"/>
  <c r="M2219" i="1"/>
  <c r="O2218" i="1" a="1"/>
  <c r="O2218" i="1" s="1"/>
  <c r="N2218" i="1"/>
  <c r="M2218" i="1"/>
  <c r="O2217" i="1" a="1"/>
  <c r="O2217" i="1" s="1"/>
  <c r="N2217" i="1"/>
  <c r="M2217" i="1"/>
  <c r="O2216" i="1" a="1"/>
  <c r="O2216" i="1" s="1"/>
  <c r="N2216" i="1"/>
  <c r="M2216" i="1"/>
  <c r="O2215" i="1" a="1"/>
  <c r="O2215" i="1" s="1"/>
  <c r="N2215" i="1"/>
  <c r="M2215" i="1"/>
  <c r="O2214" i="1" a="1"/>
  <c r="O2214" i="1" s="1"/>
  <c r="N2214" i="1"/>
  <c r="M2214" i="1"/>
  <c r="O2213" i="1" a="1"/>
  <c r="O2213" i="1" s="1"/>
  <c r="N2213" i="1"/>
  <c r="M2213" i="1"/>
  <c r="O2212" i="1" a="1"/>
  <c r="O2212" i="1" s="1"/>
  <c r="N2212" i="1"/>
  <c r="M2212" i="1"/>
  <c r="O2211" i="1" a="1"/>
  <c r="O2211" i="1" s="1"/>
  <c r="N2211" i="1"/>
  <c r="M2211" i="1"/>
  <c r="O2210" i="1" a="1"/>
  <c r="O2210" i="1" s="1"/>
  <c r="N2210" i="1"/>
  <c r="M2210" i="1"/>
  <c r="O2209" i="1"/>
  <c r="O2209" i="1" a="1"/>
  <c r="N2209" i="1"/>
  <c r="M2209" i="1"/>
  <c r="O2208" i="1" a="1"/>
  <c r="O2208" i="1" s="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c r="O2200" i="1" a="1"/>
  <c r="N2200" i="1"/>
  <c r="M2200" i="1"/>
  <c r="O2199" i="1" a="1"/>
  <c r="O2199" i="1" s="1"/>
  <c r="N2199" i="1"/>
  <c r="M2199" i="1"/>
  <c r="O2198" i="1" a="1"/>
  <c r="O2198" i="1" s="1"/>
  <c r="N2198" i="1"/>
  <c r="M2198" i="1"/>
  <c r="O2197" i="1" a="1"/>
  <c r="O2197" i="1" s="1"/>
  <c r="N2197" i="1"/>
  <c r="M2197" i="1"/>
  <c r="O2196" i="1" a="1"/>
  <c r="O2196" i="1" s="1"/>
  <c r="N2196" i="1"/>
  <c r="M2196" i="1"/>
  <c r="O2195" i="1" a="1"/>
  <c r="O2195" i="1" s="1"/>
  <c r="N2195" i="1"/>
  <c r="M2195" i="1"/>
  <c r="O2194" i="1" a="1"/>
  <c r="O2194" i="1" s="1"/>
  <c r="N2194" i="1"/>
  <c r="M2194" i="1"/>
  <c r="O2193" i="1" a="1"/>
  <c r="O2193" i="1" s="1"/>
  <c r="N2193" i="1"/>
  <c r="M2193" i="1"/>
  <c r="O2192" i="1" a="1"/>
  <c r="O2192" i="1" s="1"/>
  <c r="N2192" i="1"/>
  <c r="M2192" i="1"/>
  <c r="O2191" i="1" a="1"/>
  <c r="O2191" i="1" s="1"/>
  <c r="N2191" i="1"/>
  <c r="M2191" i="1"/>
  <c r="O2190" i="1" a="1"/>
  <c r="O2190" i="1" s="1"/>
  <c r="N2190" i="1"/>
  <c r="M2190" i="1"/>
  <c r="O2189" i="1"/>
  <c r="O2189" i="1" a="1"/>
  <c r="N2189" i="1"/>
  <c r="M2189" i="1"/>
  <c r="O2188" i="1" a="1"/>
  <c r="O2188" i="1" s="1"/>
  <c r="N2188" i="1"/>
  <c r="M2188" i="1"/>
  <c r="O2187" i="1" a="1"/>
  <c r="O2187" i="1" s="1"/>
  <c r="N2187" i="1"/>
  <c r="M2187" i="1"/>
  <c r="O2186" i="1" a="1"/>
  <c r="O2186" i="1" s="1"/>
  <c r="N2186" i="1"/>
  <c r="M2186" i="1"/>
  <c r="O2185" i="1" a="1"/>
  <c r="O2185" i="1" s="1"/>
  <c r="N2185" i="1"/>
  <c r="M2185" i="1"/>
  <c r="O2184" i="1" a="1"/>
  <c r="O2184" i="1" s="1"/>
  <c r="N2184" i="1"/>
  <c r="M2184" i="1"/>
  <c r="O2183" i="1" a="1"/>
  <c r="O2183" i="1" s="1"/>
  <c r="N2183" i="1"/>
  <c r="M2183" i="1"/>
  <c r="O2182" i="1" a="1"/>
  <c r="O2182" i="1" s="1"/>
  <c r="N2182" i="1"/>
  <c r="M2182" i="1"/>
  <c r="O2181" i="1" a="1"/>
  <c r="O2181" i="1" s="1"/>
  <c r="N2181" i="1"/>
  <c r="M2181" i="1"/>
  <c r="O2180" i="1" a="1"/>
  <c r="O2180" i="1" s="1"/>
  <c r="N2180" i="1"/>
  <c r="M2180" i="1"/>
  <c r="O2179" i="1" a="1"/>
  <c r="O2179" i="1" s="1"/>
  <c r="N2179" i="1"/>
  <c r="M2179" i="1"/>
  <c r="O2178" i="1" a="1"/>
  <c r="O2178" i="1" s="1"/>
  <c r="N2178" i="1"/>
  <c r="M2178" i="1"/>
  <c r="O2177" i="1" a="1"/>
  <c r="O2177" i="1" s="1"/>
  <c r="N2177" i="1"/>
  <c r="M2177" i="1"/>
  <c r="O2176" i="1"/>
  <c r="O2176" i="1" a="1"/>
  <c r="N2176" i="1"/>
  <c r="M2176" i="1"/>
  <c r="O2175" i="1" a="1"/>
  <c r="O2175" i="1" s="1"/>
  <c r="N2175" i="1"/>
  <c r="M2175" i="1"/>
  <c r="O2174" i="1" a="1"/>
  <c r="O2174" i="1" s="1"/>
  <c r="N2174" i="1"/>
  <c r="M2174" i="1"/>
  <c r="O2173" i="1" a="1"/>
  <c r="O2173" i="1" s="1"/>
  <c r="N2173" i="1"/>
  <c r="M2173" i="1"/>
  <c r="O2172" i="1" a="1"/>
  <c r="O2172" i="1" s="1"/>
  <c r="N2172" i="1"/>
  <c r="M2172" i="1"/>
  <c r="O2171" i="1"/>
  <c r="O2171" i="1" a="1"/>
  <c r="N2171" i="1"/>
  <c r="M2171" i="1"/>
  <c r="O2170" i="1" a="1"/>
  <c r="O2170" i="1" s="1"/>
  <c r="N2170" i="1"/>
  <c r="M2170" i="1"/>
  <c r="O2169" i="1" a="1"/>
  <c r="O2169" i="1" s="1"/>
  <c r="N2169" i="1"/>
  <c r="M2169" i="1"/>
  <c r="O2168" i="1" a="1"/>
  <c r="O2168" i="1" s="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a="1"/>
  <c r="O2159" i="1" s="1"/>
  <c r="N2159" i="1"/>
  <c r="M2159" i="1"/>
  <c r="O2158" i="1" a="1"/>
  <c r="O2158" i="1" s="1"/>
  <c r="N2158" i="1"/>
  <c r="M2158" i="1"/>
  <c r="O2157" i="1" a="1"/>
  <c r="O2157" i="1" s="1"/>
  <c r="N2157" i="1"/>
  <c r="M2157" i="1"/>
  <c r="O2156" i="1" a="1"/>
  <c r="O2156" i="1" s="1"/>
  <c r="N2156" i="1"/>
  <c r="M2156" i="1"/>
  <c r="O2155" i="1" a="1"/>
  <c r="O2155" i="1" s="1"/>
  <c r="N2155" i="1"/>
  <c r="M2155" i="1"/>
  <c r="O2154" i="1" a="1"/>
  <c r="O2154" i="1" s="1"/>
  <c r="N2154" i="1"/>
  <c r="M2154" i="1"/>
  <c r="O2153" i="1" a="1"/>
  <c r="O2153" i="1" s="1"/>
  <c r="N2153" i="1"/>
  <c r="M2153" i="1"/>
  <c r="O2152" i="1"/>
  <c r="O2152" i="1" a="1"/>
  <c r="N2152" i="1"/>
  <c r="M2152" i="1"/>
  <c r="O2151" i="1" a="1"/>
  <c r="O2151" i="1" s="1"/>
  <c r="N2151" i="1"/>
  <c r="M2151" i="1"/>
  <c r="O2150" i="1" a="1"/>
  <c r="O2150" i="1" s="1"/>
  <c r="N2150" i="1"/>
  <c r="M2150" i="1"/>
  <c r="O2149" i="1" a="1"/>
  <c r="O2149" i="1" s="1"/>
  <c r="N2149" i="1"/>
  <c r="M2149" i="1"/>
  <c r="O2148" i="1"/>
  <c r="O2148" i="1" a="1"/>
  <c r="N2148" i="1"/>
  <c r="M2148" i="1"/>
  <c r="O2147" i="1"/>
  <c r="O2147" i="1" a="1"/>
  <c r="N2147" i="1"/>
  <c r="M2147" i="1"/>
  <c r="O2146" i="1" a="1"/>
  <c r="O2146" i="1" s="1"/>
  <c r="N2146" i="1"/>
  <c r="M2146" i="1"/>
  <c r="O2145" i="1" a="1"/>
  <c r="O2145" i="1" s="1"/>
  <c r="N2145" i="1"/>
  <c r="M2145" i="1"/>
  <c r="O2144" i="1"/>
  <c r="O2144" i="1" a="1"/>
  <c r="N2144" i="1"/>
  <c r="M2144" i="1"/>
  <c r="O2143" i="1" a="1"/>
  <c r="O2143" i="1" s="1"/>
  <c r="N2143" i="1"/>
  <c r="M2143" i="1"/>
  <c r="O2142" i="1" a="1"/>
  <c r="O2142" i="1" s="1"/>
  <c r="N2142" i="1"/>
  <c r="M2142" i="1"/>
  <c r="O2141" i="1" a="1"/>
  <c r="O2141" i="1" s="1"/>
  <c r="N2141" i="1"/>
  <c r="M2141" i="1"/>
  <c r="O2140" i="1" a="1"/>
  <c r="O2140" i="1" s="1"/>
  <c r="N2140" i="1"/>
  <c r="M2140" i="1"/>
  <c r="O2139" i="1" a="1"/>
  <c r="O2139" i="1" s="1"/>
  <c r="N2139" i="1"/>
  <c r="M2139" i="1"/>
  <c r="O2138" i="1" a="1"/>
  <c r="O2138" i="1" s="1"/>
  <c r="N2138" i="1"/>
  <c r="M2138" i="1"/>
  <c r="O2137" i="1" a="1"/>
  <c r="O2137" i="1" s="1"/>
  <c r="N2137" i="1"/>
  <c r="M2137" i="1"/>
  <c r="O2136" i="1" a="1"/>
  <c r="O2136" i="1" s="1"/>
  <c r="N2136" i="1"/>
  <c r="M2136" i="1"/>
  <c r="O2135" i="1" a="1"/>
  <c r="O2135" i="1" s="1"/>
  <c r="N2135" i="1"/>
  <c r="M2135" i="1"/>
  <c r="O2134" i="1" a="1"/>
  <c r="O2134" i="1" s="1"/>
  <c r="N2134" i="1"/>
  <c r="M2134" i="1"/>
  <c r="O2133" i="1" a="1"/>
  <c r="O2133" i="1" s="1"/>
  <c r="N2133" i="1"/>
  <c r="M2133" i="1"/>
  <c r="O2132" i="1" a="1"/>
  <c r="O2132" i="1" s="1"/>
  <c r="N2132" i="1"/>
  <c r="M2132" i="1"/>
  <c r="O2131" i="1" a="1"/>
  <c r="O2131" i="1" s="1"/>
  <c r="N2131" i="1"/>
  <c r="M2131" i="1"/>
  <c r="O2130" i="1" a="1"/>
  <c r="O2130" i="1" s="1"/>
  <c r="N2130" i="1"/>
  <c r="M2130" i="1"/>
  <c r="O2129" i="1" a="1"/>
  <c r="O2129" i="1" s="1"/>
  <c r="N2129" i="1"/>
  <c r="M2129" i="1"/>
  <c r="O2128" i="1" a="1"/>
  <c r="O2128" i="1" s="1"/>
  <c r="N2128" i="1"/>
  <c r="M2128" i="1"/>
  <c r="O2127" i="1" a="1"/>
  <c r="O2127" i="1" s="1"/>
  <c r="N2127" i="1"/>
  <c r="M2127" i="1"/>
  <c r="O2126" i="1" a="1"/>
  <c r="O2126" i="1" s="1"/>
  <c r="N2126" i="1"/>
  <c r="M2126" i="1"/>
  <c r="O2125" i="1" a="1"/>
  <c r="O2125" i="1" s="1"/>
  <c r="N2125" i="1"/>
  <c r="M2125" i="1"/>
  <c r="O2124" i="1" a="1"/>
  <c r="O2124" i="1" s="1"/>
  <c r="N2124" i="1"/>
  <c r="M2124" i="1"/>
  <c r="O2123" i="1" a="1"/>
  <c r="O2123" i="1" s="1"/>
  <c r="N2123" i="1"/>
  <c r="M2123" i="1"/>
  <c r="O2122" i="1" a="1"/>
  <c r="O2122" i="1" s="1"/>
  <c r="N2122" i="1"/>
  <c r="M2122" i="1"/>
  <c r="O2121" i="1" a="1"/>
  <c r="O2121" i="1" s="1"/>
  <c r="N2121" i="1"/>
  <c r="M2121" i="1"/>
  <c r="O2120" i="1" a="1"/>
  <c r="O2120" i="1" s="1"/>
  <c r="N2120" i="1"/>
  <c r="M2120" i="1"/>
  <c r="O2119" i="1" a="1"/>
  <c r="O2119" i="1" s="1"/>
  <c r="N2119" i="1"/>
  <c r="M2119" i="1"/>
  <c r="O2118" i="1" a="1"/>
  <c r="O2118" i="1" s="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a="1"/>
  <c r="O2112" i="1" s="1"/>
  <c r="N2112" i="1"/>
  <c r="M2112" i="1"/>
  <c r="O2111" i="1" a="1"/>
  <c r="O2111" i="1" s="1"/>
  <c r="N2111" i="1"/>
  <c r="M2111" i="1"/>
  <c r="O2110" i="1"/>
  <c r="O2110" i="1" a="1"/>
  <c r="N2110" i="1"/>
  <c r="M2110" i="1"/>
  <c r="O2109" i="1" a="1"/>
  <c r="O2109" i="1" s="1"/>
  <c r="N2109" i="1"/>
  <c r="M2109" i="1"/>
  <c r="O2108" i="1" a="1"/>
  <c r="O2108" i="1" s="1"/>
  <c r="N2108" i="1"/>
  <c r="M2108" i="1"/>
  <c r="O2107" i="1" a="1"/>
  <c r="O2107" i="1" s="1"/>
  <c r="N2107" i="1"/>
  <c r="M2107" i="1"/>
  <c r="O2106" i="1" a="1"/>
  <c r="O2106" i="1" s="1"/>
  <c r="N2106" i="1"/>
  <c r="M2106" i="1"/>
  <c r="O2105" i="1" a="1"/>
  <c r="O2105" i="1" s="1"/>
  <c r="N2105" i="1"/>
  <c r="M2105" i="1"/>
  <c r="O2104" i="1"/>
  <c r="O2104" i="1" a="1"/>
  <c r="N2104" i="1"/>
  <c r="M2104" i="1"/>
  <c r="O2103" i="1" a="1"/>
  <c r="O2103" i="1" s="1"/>
  <c r="N2103" i="1"/>
  <c r="M2103" i="1"/>
  <c r="O2102" i="1" a="1"/>
  <c r="O2102" i="1" s="1"/>
  <c r="N2102" i="1"/>
  <c r="M2102" i="1"/>
  <c r="O2101" i="1" a="1"/>
  <c r="O2101" i="1" s="1"/>
  <c r="N2101" i="1"/>
  <c r="M2101" i="1"/>
  <c r="O2100" i="1" a="1"/>
  <c r="O2100" i="1" s="1"/>
  <c r="N2100" i="1"/>
  <c r="M2100" i="1"/>
  <c r="O2099" i="1" a="1"/>
  <c r="O2099" i="1" s="1"/>
  <c r="N2099" i="1"/>
  <c r="M2099" i="1"/>
  <c r="O2098" i="1"/>
  <c r="O2098" i="1" a="1"/>
  <c r="N2098" i="1"/>
  <c r="M2098" i="1"/>
  <c r="O2097" i="1" a="1"/>
  <c r="O2097" i="1" s="1"/>
  <c r="N2097" i="1"/>
  <c r="M2097" i="1"/>
  <c r="O2096" i="1" a="1"/>
  <c r="O2096" i="1" s="1"/>
  <c r="N2096" i="1"/>
  <c r="M2096" i="1"/>
  <c r="O2095" i="1" a="1"/>
  <c r="O2095" i="1" s="1"/>
  <c r="N2095" i="1"/>
  <c r="M2095" i="1"/>
  <c r="O2094" i="1" a="1"/>
  <c r="O2094" i="1" s="1"/>
  <c r="N2094" i="1"/>
  <c r="M2094" i="1"/>
  <c r="O2093" i="1" a="1"/>
  <c r="O2093" i="1" s="1"/>
  <c r="N2093" i="1"/>
  <c r="M2093" i="1"/>
  <c r="O2092" i="1" a="1"/>
  <c r="O2092" i="1" s="1"/>
  <c r="N2092" i="1"/>
  <c r="M2092" i="1"/>
  <c r="O2091" i="1" a="1"/>
  <c r="O2091" i="1" s="1"/>
  <c r="N2091" i="1"/>
  <c r="M2091" i="1"/>
  <c r="O2090" i="1" a="1"/>
  <c r="O2090" i="1" s="1"/>
  <c r="N2090" i="1"/>
  <c r="M2090" i="1"/>
  <c r="O2089" i="1" a="1"/>
  <c r="O2089" i="1" s="1"/>
  <c r="N2089" i="1"/>
  <c r="M2089" i="1"/>
  <c r="O2088" i="1" a="1"/>
  <c r="O2088" i="1" s="1"/>
  <c r="N2088" i="1"/>
  <c r="M2088" i="1"/>
  <c r="O2087" i="1" a="1"/>
  <c r="O2087" i="1" s="1"/>
  <c r="N2087" i="1"/>
  <c r="M2087" i="1"/>
  <c r="O2086" i="1" a="1"/>
  <c r="O2086" i="1" s="1"/>
  <c r="N2086" i="1"/>
  <c r="M2086" i="1"/>
  <c r="O2085" i="1"/>
  <c r="O2085" i="1" a="1"/>
  <c r="N2085" i="1"/>
  <c r="M2085" i="1"/>
  <c r="O2084" i="1" a="1"/>
  <c r="O2084" i="1" s="1"/>
  <c r="N2084" i="1"/>
  <c r="M2084" i="1"/>
  <c r="O2083" i="1"/>
  <c r="O2083" i="1" a="1"/>
  <c r="N2083" i="1"/>
  <c r="M2083" i="1"/>
  <c r="O2082" i="1" a="1"/>
  <c r="O2082" i="1" s="1"/>
  <c r="N2082" i="1"/>
  <c r="M2082" i="1"/>
  <c r="O2081" i="1" a="1"/>
  <c r="O2081" i="1" s="1"/>
  <c r="N2081" i="1"/>
  <c r="M2081" i="1"/>
  <c r="O2080" i="1"/>
  <c r="O2080" i="1" a="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a="1"/>
  <c r="O2071" i="1" s="1"/>
  <c r="N2071" i="1"/>
  <c r="M2071" i="1"/>
  <c r="O2070" i="1" a="1"/>
  <c r="O2070" i="1" s="1"/>
  <c r="N2070" i="1"/>
  <c r="M2070" i="1"/>
  <c r="O2069" i="1" a="1"/>
  <c r="O2069" i="1" s="1"/>
  <c r="N2069" i="1"/>
  <c r="M2069" i="1"/>
  <c r="O2068" i="1" a="1"/>
  <c r="O2068" i="1" s="1"/>
  <c r="N2068" i="1"/>
  <c r="M2068" i="1"/>
  <c r="O2067" i="1" a="1"/>
  <c r="O2067" i="1" s="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a="1"/>
  <c r="O2061" i="1" s="1"/>
  <c r="N2061" i="1"/>
  <c r="M2061" i="1"/>
  <c r="O2060" i="1" a="1"/>
  <c r="O2060" i="1" s="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a="1"/>
  <c r="O2053" i="1" s="1"/>
  <c r="N2053" i="1"/>
  <c r="M2053" i="1"/>
  <c r="O2052" i="1" a="1"/>
  <c r="O2052" i="1" s="1"/>
  <c r="N2052" i="1"/>
  <c r="M2052" i="1"/>
  <c r="O2051" i="1" a="1"/>
  <c r="O2051" i="1" s="1"/>
  <c r="N2051" i="1"/>
  <c r="M2051" i="1"/>
  <c r="O2050" i="1" a="1"/>
  <c r="O2050" i="1" s="1"/>
  <c r="N2050" i="1"/>
  <c r="M2050" i="1"/>
  <c r="O2049" i="1" a="1"/>
  <c r="O2049" i="1" s="1"/>
  <c r="N2049" i="1"/>
  <c r="M2049" i="1"/>
  <c r="O2048" i="1" a="1"/>
  <c r="O2048" i="1" s="1"/>
  <c r="N2048" i="1"/>
  <c r="M2048" i="1"/>
  <c r="O2047" i="1"/>
  <c r="O2047" i="1" a="1"/>
  <c r="N2047" i="1"/>
  <c r="M2047" i="1"/>
  <c r="O2046" i="1" a="1"/>
  <c r="O2046" i="1" s="1"/>
  <c r="N2046" i="1"/>
  <c r="M2046" i="1"/>
  <c r="O2045" i="1" a="1"/>
  <c r="O2045" i="1" s="1"/>
  <c r="N2045" i="1"/>
  <c r="M2045" i="1"/>
  <c r="O2044" i="1" a="1"/>
  <c r="O2044" i="1" s="1"/>
  <c r="N2044" i="1"/>
  <c r="M2044" i="1"/>
  <c r="O2043" i="1" a="1"/>
  <c r="O2043" i="1" s="1"/>
  <c r="N2043" i="1"/>
  <c r="M2043" i="1"/>
  <c r="O2042" i="1" a="1"/>
  <c r="O2042" i="1" s="1"/>
  <c r="N2042" i="1"/>
  <c r="M2042" i="1"/>
  <c r="O2041" i="1" a="1"/>
  <c r="O2041" i="1" s="1"/>
  <c r="N2041" i="1"/>
  <c r="M2041" i="1"/>
  <c r="O2040" i="1" a="1"/>
  <c r="O2040" i="1" s="1"/>
  <c r="N2040" i="1"/>
  <c r="M2040" i="1"/>
  <c r="O2039" i="1" a="1"/>
  <c r="O2039" i="1" s="1"/>
  <c r="N2039" i="1"/>
  <c r="M2039" i="1"/>
  <c r="O2038" i="1" a="1"/>
  <c r="O2038" i="1" s="1"/>
  <c r="N2038" i="1"/>
  <c r="M2038" i="1"/>
  <c r="O2037" i="1" a="1"/>
  <c r="O2037" i="1" s="1"/>
  <c r="N2037" i="1"/>
  <c r="M2037" i="1"/>
  <c r="O2036" i="1"/>
  <c r="O2036" i="1" a="1"/>
  <c r="N2036" i="1"/>
  <c r="M2036" i="1"/>
  <c r="O2035" i="1" a="1"/>
  <c r="O2035" i="1" s="1"/>
  <c r="N2035" i="1"/>
  <c r="M2035" i="1"/>
  <c r="O2034" i="1" a="1"/>
  <c r="O2034" i="1" s="1"/>
  <c r="N2034" i="1"/>
  <c r="M2034" i="1"/>
  <c r="O2033" i="1" a="1"/>
  <c r="O2033" i="1" s="1"/>
  <c r="N2033" i="1"/>
  <c r="M2033" i="1"/>
  <c r="O2032" i="1" a="1"/>
  <c r="O2032" i="1" s="1"/>
  <c r="N2032" i="1"/>
  <c r="M2032" i="1"/>
  <c r="O2031" i="1"/>
  <c r="O2031" i="1" a="1"/>
  <c r="N2031" i="1"/>
  <c r="M2031" i="1"/>
  <c r="O2030" i="1" a="1"/>
  <c r="O2030" i="1" s="1"/>
  <c r="N2030" i="1"/>
  <c r="M2030" i="1"/>
  <c r="O2029" i="1" a="1"/>
  <c r="O2029" i="1" s="1"/>
  <c r="N2029" i="1"/>
  <c r="M2029" i="1"/>
  <c r="O2028" i="1" a="1"/>
  <c r="O2028" i="1" s="1"/>
  <c r="N2028" i="1"/>
  <c r="M2028" i="1"/>
  <c r="O2027" i="1" a="1"/>
  <c r="O2027" i="1" s="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a="1"/>
  <c r="O2021" i="1" s="1"/>
  <c r="N2021" i="1"/>
  <c r="M2021" i="1"/>
  <c r="O2020" i="1" a="1"/>
  <c r="O2020" i="1" s="1"/>
  <c r="N2020" i="1"/>
  <c r="M2020" i="1"/>
  <c r="O2019" i="1" a="1"/>
  <c r="O2019" i="1" s="1"/>
  <c r="N2019" i="1"/>
  <c r="M2019" i="1"/>
  <c r="O2018" i="1" a="1"/>
  <c r="O2018" i="1" s="1"/>
  <c r="N2018" i="1"/>
  <c r="M2018" i="1"/>
  <c r="O2017" i="1" a="1"/>
  <c r="O2017" i="1" s="1"/>
  <c r="N2017" i="1"/>
  <c r="M2017" i="1"/>
  <c r="O2016" i="1" a="1"/>
  <c r="O2016" i="1" s="1"/>
  <c r="N2016" i="1"/>
  <c r="M2016" i="1"/>
  <c r="O2015" i="1" a="1"/>
  <c r="O2015" i="1" s="1"/>
  <c r="N2015" i="1"/>
  <c r="M2015" i="1"/>
  <c r="O2014" i="1" a="1"/>
  <c r="O2014" i="1" s="1"/>
  <c r="N2014" i="1"/>
  <c r="M2014" i="1"/>
  <c r="O2013" i="1" a="1"/>
  <c r="O2013" i="1" s="1"/>
  <c r="N2013" i="1"/>
  <c r="M2013" i="1"/>
  <c r="O2012" i="1"/>
  <c r="O2012" i="1" a="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c r="O2005" i="1" a="1"/>
  <c r="N2005" i="1"/>
  <c r="M2005" i="1"/>
  <c r="O2004" i="1" a="1"/>
  <c r="O2004" i="1" s="1"/>
  <c r="N2004" i="1"/>
  <c r="M2004" i="1"/>
  <c r="O2003" i="1" a="1"/>
  <c r="O2003" i="1" s="1"/>
  <c r="N2003" i="1"/>
  <c r="M2003" i="1"/>
  <c r="O2002" i="1" a="1"/>
  <c r="O2002" i="1" s="1"/>
  <c r="N2002" i="1"/>
  <c r="M2002" i="1"/>
  <c r="O2001" i="1" a="1"/>
  <c r="O2001" i="1" s="1"/>
  <c r="N2001" i="1"/>
  <c r="M2001" i="1"/>
  <c r="O2000" i="1" a="1"/>
  <c r="O2000" i="1" s="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a="1"/>
  <c r="O1992" i="1" s="1"/>
  <c r="N1992" i="1"/>
  <c r="M1992" i="1"/>
  <c r="O1991" i="1" a="1"/>
  <c r="O1991" i="1" s="1"/>
  <c r="N1991" i="1"/>
  <c r="M1991" i="1"/>
  <c r="O1990" i="1" a="1"/>
  <c r="O1990" i="1" s="1"/>
  <c r="N1990" i="1"/>
  <c r="M1990" i="1"/>
  <c r="O1989" i="1" a="1"/>
  <c r="O1989" i="1" s="1"/>
  <c r="N1989" i="1"/>
  <c r="M1989" i="1"/>
  <c r="O1988" i="1" a="1"/>
  <c r="O1988" i="1" s="1"/>
  <c r="N1988" i="1"/>
  <c r="M1988" i="1"/>
  <c r="O1987" i="1"/>
  <c r="O1987" i="1" a="1"/>
  <c r="N1987" i="1"/>
  <c r="M1987" i="1"/>
  <c r="O1986" i="1" a="1"/>
  <c r="O1986" i="1" s="1"/>
  <c r="N1986" i="1"/>
  <c r="M1986" i="1"/>
  <c r="O1985" i="1" a="1"/>
  <c r="O1985" i="1" s="1"/>
  <c r="N1985" i="1"/>
  <c r="M1985" i="1"/>
  <c r="O1984" i="1" a="1"/>
  <c r="O1984" i="1" s="1"/>
  <c r="N1984" i="1"/>
  <c r="M1984" i="1"/>
  <c r="O1983" i="1" a="1"/>
  <c r="O1983" i="1" s="1"/>
  <c r="N1983" i="1"/>
  <c r="M1983" i="1"/>
  <c r="O1982" i="1" a="1"/>
  <c r="O1982" i="1" s="1"/>
  <c r="N1982" i="1"/>
  <c r="M1982" i="1"/>
  <c r="O1981" i="1" a="1"/>
  <c r="O1981" i="1" s="1"/>
  <c r="N1981" i="1"/>
  <c r="M1981" i="1"/>
  <c r="O1980" i="1"/>
  <c r="O1980" i="1" a="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a="1"/>
  <c r="O1973" i="1" s="1"/>
  <c r="N1973" i="1"/>
  <c r="M1973" i="1"/>
  <c r="O1972" i="1" a="1"/>
  <c r="O1972" i="1" s="1"/>
  <c r="N1972" i="1"/>
  <c r="M1972" i="1"/>
  <c r="O1971" i="1" a="1"/>
  <c r="O1971" i="1" s="1"/>
  <c r="N1971" i="1"/>
  <c r="M1971" i="1"/>
  <c r="O1970" i="1" a="1"/>
  <c r="O1970" i="1" s="1"/>
  <c r="N1970" i="1"/>
  <c r="M1970" i="1"/>
  <c r="O1969" i="1" a="1"/>
  <c r="O1969" i="1" s="1"/>
  <c r="N1969" i="1"/>
  <c r="M1969" i="1"/>
  <c r="O1968" i="1" a="1"/>
  <c r="O1968" i="1" s="1"/>
  <c r="N1968" i="1"/>
  <c r="M1968" i="1"/>
  <c r="O1967" i="1" a="1"/>
  <c r="O1967" i="1" s="1"/>
  <c r="N1967" i="1"/>
  <c r="M1967" i="1"/>
  <c r="O1966" i="1" a="1"/>
  <c r="O1966" i="1" s="1"/>
  <c r="N1966" i="1"/>
  <c r="M1966" i="1"/>
  <c r="O1965" i="1" a="1"/>
  <c r="O1965" i="1" s="1"/>
  <c r="N1965" i="1"/>
  <c r="M1965" i="1"/>
  <c r="O1964" i="1" a="1"/>
  <c r="O1964" i="1" s="1"/>
  <c r="N1964" i="1"/>
  <c r="M1964" i="1"/>
  <c r="O1963" i="1"/>
  <c r="O1963" i="1" a="1"/>
  <c r="N1963" i="1"/>
  <c r="M1963" i="1"/>
  <c r="O1962" i="1" a="1"/>
  <c r="O1962" i="1" s="1"/>
  <c r="N1962" i="1"/>
  <c r="M1962" i="1"/>
  <c r="O1961" i="1" a="1"/>
  <c r="O1961" i="1" s="1"/>
  <c r="N1961" i="1"/>
  <c r="M1961" i="1"/>
  <c r="O1960" i="1" a="1"/>
  <c r="O1960" i="1" s="1"/>
  <c r="N1960" i="1"/>
  <c r="M1960" i="1"/>
  <c r="O1959" i="1" a="1"/>
  <c r="O1959" i="1" s="1"/>
  <c r="N1959" i="1"/>
  <c r="M1959" i="1"/>
  <c r="O1958" i="1" a="1"/>
  <c r="O1958" i="1" s="1"/>
  <c r="N1958" i="1"/>
  <c r="M1958" i="1"/>
  <c r="O1957" i="1" a="1"/>
  <c r="O1957" i="1" s="1"/>
  <c r="N1957" i="1"/>
  <c r="M1957" i="1"/>
  <c r="O1956" i="1"/>
  <c r="O1956" i="1" a="1"/>
  <c r="N1956" i="1"/>
  <c r="M1956" i="1"/>
  <c r="O1955" i="1" a="1"/>
  <c r="O1955" i="1" s="1"/>
  <c r="N1955" i="1"/>
  <c r="M1955" i="1"/>
  <c r="O1954" i="1"/>
  <c r="O1954" i="1" a="1"/>
  <c r="N1954" i="1"/>
  <c r="M1954" i="1"/>
  <c r="O1953" i="1" a="1"/>
  <c r="O1953" i="1" s="1"/>
  <c r="N1953" i="1"/>
  <c r="M1953" i="1"/>
  <c r="O1952" i="1" a="1"/>
  <c r="O1952" i="1" s="1"/>
  <c r="N1952" i="1"/>
  <c r="M1952" i="1"/>
  <c r="O1951" i="1" a="1"/>
  <c r="O1951" i="1" s="1"/>
  <c r="N1951" i="1"/>
  <c r="M1951" i="1"/>
  <c r="O1950" i="1" a="1"/>
  <c r="O1950" i="1" s="1"/>
  <c r="N1950" i="1"/>
  <c r="M1950" i="1"/>
  <c r="O1949" i="1" a="1"/>
  <c r="O1949" i="1" s="1"/>
  <c r="N1949" i="1"/>
  <c r="M1949" i="1"/>
  <c r="O1948" i="1" a="1"/>
  <c r="O1948" i="1" s="1"/>
  <c r="N1948" i="1"/>
  <c r="M1948" i="1"/>
  <c r="O1947" i="1" a="1"/>
  <c r="O1947" i="1" s="1"/>
  <c r="N1947" i="1"/>
  <c r="M1947" i="1"/>
  <c r="O1946" i="1" a="1"/>
  <c r="O1946" i="1" s="1"/>
  <c r="N1946" i="1"/>
  <c r="M1946" i="1"/>
  <c r="O1945" i="1" a="1"/>
  <c r="O1945" i="1" s="1"/>
  <c r="N1945" i="1"/>
  <c r="M1945" i="1"/>
  <c r="O1944" i="1" a="1"/>
  <c r="O1944" i="1" s="1"/>
  <c r="N1944" i="1"/>
  <c r="M1944" i="1"/>
  <c r="O1943" i="1" a="1"/>
  <c r="O1943" i="1" s="1"/>
  <c r="N1943" i="1"/>
  <c r="M1943" i="1"/>
  <c r="O1942" i="1" a="1"/>
  <c r="O1942" i="1" s="1"/>
  <c r="N1942" i="1"/>
  <c r="M1942" i="1"/>
  <c r="O1941" i="1" a="1"/>
  <c r="O1941" i="1" s="1"/>
  <c r="N1941" i="1"/>
  <c r="M1941" i="1"/>
  <c r="O1940" i="1" a="1"/>
  <c r="O1940" i="1" s="1"/>
  <c r="N1940" i="1"/>
  <c r="M1940" i="1"/>
  <c r="O1939" i="1" a="1"/>
  <c r="O1939" i="1" s="1"/>
  <c r="N1939" i="1"/>
  <c r="M1939" i="1"/>
  <c r="O1938" i="1"/>
  <c r="O1938" i="1" a="1"/>
  <c r="N1938" i="1"/>
  <c r="M1938" i="1"/>
  <c r="O1937" i="1"/>
  <c r="O1937" i="1" a="1"/>
  <c r="N1937" i="1"/>
  <c r="M1937" i="1"/>
  <c r="O1936" i="1" a="1"/>
  <c r="O1936" i="1" s="1"/>
  <c r="N1936" i="1"/>
  <c r="M1936" i="1"/>
  <c r="O1935" i="1" a="1"/>
  <c r="O1935" i="1" s="1"/>
  <c r="N1935" i="1"/>
  <c r="M1935" i="1"/>
  <c r="O1934" i="1"/>
  <c r="O1934" i="1" a="1"/>
  <c r="N1934" i="1"/>
  <c r="M1934" i="1"/>
  <c r="O1933" i="1" a="1"/>
  <c r="O1933" i="1" s="1"/>
  <c r="N1933" i="1"/>
  <c r="M1933" i="1"/>
  <c r="O1932" i="1" a="1"/>
  <c r="O1932" i="1" s="1"/>
  <c r="N1932" i="1"/>
  <c r="M1932" i="1"/>
  <c r="O1931" i="1" a="1"/>
  <c r="O1931" i="1" s="1"/>
  <c r="N1931" i="1"/>
  <c r="M1931" i="1"/>
  <c r="O1930" i="1" a="1"/>
  <c r="O1930" i="1" s="1"/>
  <c r="N1930" i="1"/>
  <c r="M1930" i="1"/>
  <c r="O1929" i="1" a="1"/>
  <c r="O1929" i="1" s="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a="1"/>
  <c r="O1922" i="1" s="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a="1"/>
  <c r="O1909" i="1" s="1"/>
  <c r="N1909" i="1"/>
  <c r="M1909" i="1"/>
  <c r="O1908" i="1" a="1"/>
  <c r="O1908" i="1" s="1"/>
  <c r="N1908" i="1"/>
  <c r="M1908" i="1"/>
  <c r="O1907" i="1" a="1"/>
  <c r="O1907" i="1" s="1"/>
  <c r="N1907" i="1"/>
  <c r="M1907" i="1"/>
  <c r="O1906" i="1" a="1"/>
  <c r="O1906" i="1" s="1"/>
  <c r="N1906" i="1"/>
  <c r="M1906" i="1"/>
  <c r="O1905" i="1"/>
  <c r="O1905" i="1" a="1"/>
  <c r="N1905" i="1"/>
  <c r="M1905" i="1"/>
  <c r="O1904" i="1" a="1"/>
  <c r="O1904" i="1" s="1"/>
  <c r="N1904" i="1"/>
  <c r="M1904" i="1"/>
  <c r="O1903" i="1" a="1"/>
  <c r="O1903" i="1" s="1"/>
  <c r="N1903" i="1"/>
  <c r="M1903" i="1"/>
  <c r="O1902" i="1" a="1"/>
  <c r="O1902" i="1" s="1"/>
  <c r="N1902" i="1"/>
  <c r="M1902" i="1"/>
  <c r="O1901" i="1" a="1"/>
  <c r="O1901" i="1" s="1"/>
  <c r="N1901" i="1"/>
  <c r="M1901" i="1"/>
  <c r="O1900" i="1" a="1"/>
  <c r="O1900" i="1" s="1"/>
  <c r="N1900" i="1"/>
  <c r="M1900" i="1"/>
  <c r="O1899" i="1" a="1"/>
  <c r="O1899" i="1" s="1"/>
  <c r="N1899" i="1"/>
  <c r="M1899" i="1"/>
  <c r="O1898" i="1" a="1"/>
  <c r="O1898" i="1" s="1"/>
  <c r="N1898" i="1"/>
  <c r="M1898" i="1"/>
  <c r="O1897" i="1" a="1"/>
  <c r="O1897" i="1" s="1"/>
  <c r="N1897" i="1"/>
  <c r="M1897" i="1"/>
  <c r="O1896" i="1" a="1"/>
  <c r="O1896" i="1" s="1"/>
  <c r="N1896" i="1"/>
  <c r="M1896" i="1"/>
  <c r="O1895" i="1" a="1"/>
  <c r="O1895" i="1" s="1"/>
  <c r="N1895" i="1"/>
  <c r="M1895" i="1"/>
  <c r="O1894" i="1" a="1"/>
  <c r="O1894" i="1" s="1"/>
  <c r="N1894" i="1"/>
  <c r="M1894" i="1"/>
  <c r="O1893" i="1" a="1"/>
  <c r="O1893" i="1" s="1"/>
  <c r="N1893" i="1"/>
  <c r="M1893" i="1"/>
  <c r="O1892" i="1" a="1"/>
  <c r="O1892" i="1" s="1"/>
  <c r="N1892" i="1"/>
  <c r="M1892" i="1"/>
  <c r="O1891" i="1" a="1"/>
  <c r="O1891" i="1" s="1"/>
  <c r="N1891" i="1"/>
  <c r="M1891" i="1"/>
  <c r="O1890" i="1" a="1"/>
  <c r="O1890" i="1" s="1"/>
  <c r="N1890" i="1"/>
  <c r="M1890" i="1"/>
  <c r="O1889" i="1" a="1"/>
  <c r="O1889" i="1" s="1"/>
  <c r="N1889" i="1"/>
  <c r="M1889" i="1"/>
  <c r="O1888" i="1" a="1"/>
  <c r="O1888" i="1" s="1"/>
  <c r="N1888" i="1"/>
  <c r="M1888" i="1"/>
  <c r="O1887" i="1" a="1"/>
  <c r="O1887" i="1" s="1"/>
  <c r="N1887" i="1"/>
  <c r="M1887" i="1"/>
  <c r="O1886" i="1"/>
  <c r="O1886" i="1" a="1"/>
  <c r="N1886" i="1"/>
  <c r="M1886" i="1"/>
  <c r="O1885" i="1" a="1"/>
  <c r="O1885" i="1" s="1"/>
  <c r="N1885" i="1"/>
  <c r="M1885" i="1"/>
  <c r="O1884" i="1" a="1"/>
  <c r="O1884" i="1" s="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c r="O1877" i="1" a="1"/>
  <c r="N1877" i="1"/>
  <c r="M1877" i="1"/>
  <c r="O1876" i="1" a="1"/>
  <c r="O1876" i="1" s="1"/>
  <c r="N1876" i="1"/>
  <c r="M1876" i="1"/>
  <c r="O1875" i="1" a="1"/>
  <c r="O1875" i="1" s="1"/>
  <c r="N1875" i="1"/>
  <c r="M1875" i="1"/>
  <c r="O1874" i="1" a="1"/>
  <c r="O1874" i="1" s="1"/>
  <c r="N1874" i="1"/>
  <c r="M1874" i="1"/>
  <c r="O1873" i="1" a="1"/>
  <c r="O1873" i="1" s="1"/>
  <c r="N1873" i="1"/>
  <c r="M1873" i="1"/>
  <c r="O1872" i="1" a="1"/>
  <c r="O1872" i="1" s="1"/>
  <c r="N1872" i="1"/>
  <c r="M1872" i="1"/>
  <c r="O1871" i="1" a="1"/>
  <c r="O1871" i="1" s="1"/>
  <c r="N1871" i="1"/>
  <c r="M1871" i="1"/>
  <c r="O1870" i="1" a="1"/>
  <c r="O1870" i="1" s="1"/>
  <c r="N1870" i="1"/>
  <c r="M1870" i="1"/>
  <c r="O1869" i="1" a="1"/>
  <c r="O1869" i="1" s="1"/>
  <c r="N1869" i="1"/>
  <c r="M1869" i="1"/>
  <c r="O1868" i="1"/>
  <c r="O1868" i="1" a="1"/>
  <c r="N1868" i="1"/>
  <c r="M1868" i="1"/>
  <c r="O1867" i="1" a="1"/>
  <c r="O1867" i="1" s="1"/>
  <c r="N1867" i="1"/>
  <c r="M1867" i="1"/>
  <c r="O1866" i="1" a="1"/>
  <c r="O1866" i="1" s="1"/>
  <c r="N1866" i="1"/>
  <c r="M1866" i="1"/>
  <c r="O1865" i="1" a="1"/>
  <c r="O1865" i="1" s="1"/>
  <c r="N1865" i="1"/>
  <c r="M1865" i="1"/>
  <c r="O1864" i="1" a="1"/>
  <c r="O1864" i="1" s="1"/>
  <c r="N1864" i="1"/>
  <c r="M1864" i="1"/>
  <c r="O1863" i="1" a="1"/>
  <c r="O1863" i="1" s="1"/>
  <c r="N1863" i="1"/>
  <c r="M1863" i="1"/>
  <c r="O1862" i="1" a="1"/>
  <c r="O1862" i="1" s="1"/>
  <c r="N1862" i="1"/>
  <c r="M1862" i="1"/>
  <c r="O1861" i="1" a="1"/>
  <c r="O1861" i="1" s="1"/>
  <c r="N1861" i="1"/>
  <c r="M1861" i="1"/>
  <c r="O1860" i="1"/>
  <c r="O1860" i="1" a="1"/>
  <c r="N1860" i="1"/>
  <c r="M1860" i="1"/>
  <c r="O1859" i="1" a="1"/>
  <c r="O1859" i="1" s="1"/>
  <c r="N1859" i="1"/>
  <c r="M1859" i="1"/>
  <c r="O1858" i="1" a="1"/>
  <c r="O1858" i="1" s="1"/>
  <c r="N1858" i="1"/>
  <c r="M1858" i="1"/>
  <c r="O1857" i="1" a="1"/>
  <c r="O1857" i="1" s="1"/>
  <c r="N1857" i="1"/>
  <c r="M1857" i="1"/>
  <c r="O1856" i="1"/>
  <c r="O1856" i="1" a="1"/>
  <c r="N1856" i="1"/>
  <c r="M1856" i="1"/>
  <c r="O1855" i="1" a="1"/>
  <c r="O1855" i="1" s="1"/>
  <c r="N1855" i="1"/>
  <c r="M1855" i="1"/>
  <c r="O1854" i="1" a="1"/>
  <c r="O1854" i="1" s="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a="1"/>
  <c r="O1846" i="1" s="1"/>
  <c r="N1846" i="1"/>
  <c r="M1846" i="1"/>
  <c r="O1845" i="1" a="1"/>
  <c r="O1845" i="1" s="1"/>
  <c r="N1845" i="1"/>
  <c r="M1845" i="1"/>
  <c r="O1844" i="1" a="1"/>
  <c r="O1844" i="1" s="1"/>
  <c r="N1844" i="1"/>
  <c r="M1844" i="1"/>
  <c r="O1843" i="1" a="1"/>
  <c r="O1843" i="1" s="1"/>
  <c r="N1843" i="1"/>
  <c r="M1843" i="1"/>
  <c r="O1842" i="1"/>
  <c r="O1842" i="1" a="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a="1"/>
  <c r="O1836" i="1" s="1"/>
  <c r="N1836" i="1"/>
  <c r="M1836" i="1"/>
  <c r="O1835" i="1" a="1"/>
  <c r="O1835" i="1" s="1"/>
  <c r="N1835" i="1"/>
  <c r="M1835" i="1"/>
  <c r="O1834" i="1" a="1"/>
  <c r="O1834" i="1" s="1"/>
  <c r="N1834" i="1"/>
  <c r="M1834" i="1"/>
  <c r="O1833" i="1" a="1"/>
  <c r="O1833" i="1" s="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a="1"/>
  <c r="O1825" i="1" s="1"/>
  <c r="N1825" i="1"/>
  <c r="M1825" i="1"/>
  <c r="O1824" i="1" a="1"/>
  <c r="O1824" i="1" s="1"/>
  <c r="N1824" i="1"/>
  <c r="M1824" i="1"/>
  <c r="O1823" i="1" a="1"/>
  <c r="O1823" i="1" s="1"/>
  <c r="N1823" i="1"/>
  <c r="M1823" i="1"/>
  <c r="O1822" i="1" a="1"/>
  <c r="O1822" i="1" s="1"/>
  <c r="N1822" i="1"/>
  <c r="M1822" i="1"/>
  <c r="O1821" i="1" a="1"/>
  <c r="O1821" i="1" s="1"/>
  <c r="N1821" i="1"/>
  <c r="M1821" i="1"/>
  <c r="O1820" i="1" a="1"/>
  <c r="O1820" i="1" s="1"/>
  <c r="N1820" i="1"/>
  <c r="M1820" i="1"/>
  <c r="O1819" i="1" a="1"/>
  <c r="O1819" i="1" s="1"/>
  <c r="N1819" i="1"/>
  <c r="M1819" i="1"/>
  <c r="O1818" i="1" a="1"/>
  <c r="O1818" i="1" s="1"/>
  <c r="N1818" i="1"/>
  <c r="M1818" i="1"/>
  <c r="O1817" i="1"/>
  <c r="O1817" i="1" a="1"/>
  <c r="N1817" i="1"/>
  <c r="M1817" i="1"/>
  <c r="O1816" i="1" a="1"/>
  <c r="O1816" i="1" s="1"/>
  <c r="N1816" i="1"/>
  <c r="M1816" i="1"/>
  <c r="O1815" i="1" a="1"/>
  <c r="O1815" i="1" s="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a="1"/>
  <c r="O1809" i="1" s="1"/>
  <c r="N1809" i="1"/>
  <c r="M1809" i="1"/>
  <c r="O1808" i="1" a="1"/>
  <c r="O1808" i="1" s="1"/>
  <c r="N1808" i="1"/>
  <c r="M1808" i="1"/>
  <c r="O1807" i="1" a="1"/>
  <c r="O1807" i="1" s="1"/>
  <c r="N1807" i="1"/>
  <c r="M1807" i="1"/>
  <c r="O1806" i="1" a="1"/>
  <c r="O1806" i="1" s="1"/>
  <c r="N1806" i="1"/>
  <c r="M1806" i="1"/>
  <c r="O1805" i="1" a="1"/>
  <c r="O1805" i="1" s="1"/>
  <c r="N1805" i="1"/>
  <c r="M1805" i="1"/>
  <c r="O1804" i="1" a="1"/>
  <c r="O1804" i="1" s="1"/>
  <c r="N1804" i="1"/>
  <c r="M1804" i="1"/>
  <c r="O1803" i="1"/>
  <c r="O1803" i="1" a="1"/>
  <c r="N1803" i="1"/>
  <c r="M1803" i="1"/>
  <c r="O1802" i="1" a="1"/>
  <c r="O1802" i="1" s="1"/>
  <c r="N1802" i="1"/>
  <c r="M1802" i="1"/>
  <c r="O1801" i="1" a="1"/>
  <c r="O1801" i="1" s="1"/>
  <c r="N1801" i="1"/>
  <c r="M1801" i="1"/>
  <c r="O1800" i="1" a="1"/>
  <c r="O1800" i="1" s="1"/>
  <c r="N1800" i="1"/>
  <c r="M1800" i="1"/>
  <c r="O1799" i="1"/>
  <c r="O1799" i="1" a="1"/>
  <c r="N1799" i="1"/>
  <c r="M1799" i="1"/>
  <c r="O1798" i="1" a="1"/>
  <c r="O1798" i="1" s="1"/>
  <c r="N1798" i="1"/>
  <c r="M1798" i="1"/>
  <c r="O1797" i="1" a="1"/>
  <c r="O1797" i="1" s="1"/>
  <c r="N1797" i="1"/>
  <c r="M1797" i="1"/>
  <c r="O1796" i="1" a="1"/>
  <c r="O1796" i="1" s="1"/>
  <c r="N1796" i="1"/>
  <c r="M1796" i="1"/>
  <c r="O1795" i="1" a="1"/>
  <c r="O1795" i="1" s="1"/>
  <c r="N1795" i="1"/>
  <c r="M1795" i="1"/>
  <c r="O1794" i="1" a="1"/>
  <c r="O1794" i="1" s="1"/>
  <c r="N1794" i="1"/>
  <c r="M1794" i="1"/>
  <c r="O1793" i="1" a="1"/>
  <c r="O1793" i="1" s="1"/>
  <c r="N1793" i="1"/>
  <c r="M1793" i="1"/>
  <c r="O1792" i="1" a="1"/>
  <c r="O1792" i="1" s="1"/>
  <c r="N1792" i="1"/>
  <c r="M1792" i="1"/>
  <c r="O1791" i="1" a="1"/>
  <c r="O1791" i="1" s="1"/>
  <c r="N1791" i="1"/>
  <c r="M1791" i="1"/>
  <c r="O1790" i="1" a="1"/>
  <c r="O1790" i="1" s="1"/>
  <c r="N1790" i="1"/>
  <c r="M1790" i="1"/>
  <c r="O1789" i="1" a="1"/>
  <c r="O1789" i="1" s="1"/>
  <c r="N1789" i="1"/>
  <c r="M1789" i="1"/>
  <c r="O1788" i="1" a="1"/>
  <c r="O1788" i="1" s="1"/>
  <c r="N1788" i="1"/>
  <c r="M1788" i="1"/>
  <c r="O1787" i="1" a="1"/>
  <c r="O1787" i="1" s="1"/>
  <c r="N1787" i="1"/>
  <c r="M1787" i="1"/>
  <c r="O1786" i="1" a="1"/>
  <c r="O1786" i="1" s="1"/>
  <c r="N1786" i="1"/>
  <c r="M1786" i="1"/>
  <c r="O1785" i="1"/>
  <c r="O1785" i="1" a="1"/>
  <c r="N1785" i="1"/>
  <c r="M1785" i="1"/>
  <c r="O1784" i="1" a="1"/>
  <c r="O1784" i="1" s="1"/>
  <c r="N1784" i="1"/>
  <c r="M1784" i="1"/>
  <c r="O1783" i="1"/>
  <c r="O1783" i="1" a="1"/>
  <c r="N1783" i="1"/>
  <c r="M1783" i="1"/>
  <c r="O1782" i="1" a="1"/>
  <c r="O1782" i="1" s="1"/>
  <c r="N1782" i="1"/>
  <c r="M1782" i="1"/>
  <c r="O1781" i="1" a="1"/>
  <c r="O1781" i="1" s="1"/>
  <c r="N1781" i="1"/>
  <c r="M1781" i="1"/>
  <c r="O1780" i="1" a="1"/>
  <c r="O1780" i="1" s="1"/>
  <c r="N1780" i="1"/>
  <c r="M1780" i="1"/>
  <c r="O1779" i="1" a="1"/>
  <c r="O1779" i="1" s="1"/>
  <c r="N1779" i="1"/>
  <c r="M1779" i="1"/>
  <c r="O1778" i="1" a="1"/>
  <c r="O1778" i="1" s="1"/>
  <c r="N1778" i="1"/>
  <c r="M1778" i="1"/>
  <c r="O1777" i="1" a="1"/>
  <c r="O1777" i="1" s="1"/>
  <c r="N1777" i="1"/>
  <c r="M1777" i="1"/>
  <c r="O1776" i="1" a="1"/>
  <c r="O1776" i="1" s="1"/>
  <c r="N1776" i="1"/>
  <c r="M1776" i="1"/>
  <c r="O1775" i="1" a="1"/>
  <c r="O1775" i="1" s="1"/>
  <c r="N1775" i="1"/>
  <c r="M1775" i="1"/>
  <c r="O1774" i="1"/>
  <c r="O1774" i="1" a="1"/>
  <c r="N1774" i="1"/>
  <c r="M1774" i="1"/>
  <c r="O1773" i="1" a="1"/>
  <c r="O1773" i="1" s="1"/>
  <c r="N1773" i="1"/>
  <c r="M1773" i="1"/>
  <c r="O1772" i="1" a="1"/>
  <c r="O1772" i="1" s="1"/>
  <c r="N1772" i="1"/>
  <c r="M1772" i="1"/>
  <c r="O1771" i="1" a="1"/>
  <c r="O1771" i="1" s="1"/>
  <c r="N1771" i="1"/>
  <c r="M1771" i="1"/>
  <c r="O1770" i="1" a="1"/>
  <c r="O1770" i="1" s="1"/>
  <c r="N1770" i="1"/>
  <c r="M1770" i="1"/>
  <c r="O1769" i="1" a="1"/>
  <c r="O1769" i="1" s="1"/>
  <c r="N1769" i="1"/>
  <c r="M1769" i="1"/>
  <c r="O1768" i="1" a="1"/>
  <c r="O1768" i="1" s="1"/>
  <c r="N1768" i="1"/>
  <c r="M1768" i="1"/>
  <c r="O1767" i="1" a="1"/>
  <c r="O1767" i="1" s="1"/>
  <c r="N1767" i="1"/>
  <c r="M1767" i="1"/>
  <c r="O1766" i="1" a="1"/>
  <c r="O1766" i="1" s="1"/>
  <c r="N1766" i="1"/>
  <c r="M1766" i="1"/>
  <c r="O1765" i="1"/>
  <c r="O1765" i="1" a="1"/>
  <c r="N1765" i="1"/>
  <c r="M1765" i="1"/>
  <c r="O1764" i="1" a="1"/>
  <c r="O1764" i="1" s="1"/>
  <c r="N1764" i="1"/>
  <c r="M1764" i="1"/>
  <c r="O1763" i="1" a="1"/>
  <c r="O1763" i="1" s="1"/>
  <c r="N1763" i="1"/>
  <c r="M1763" i="1"/>
  <c r="O1762" i="1" a="1"/>
  <c r="O1762" i="1" s="1"/>
  <c r="N1762" i="1"/>
  <c r="M1762" i="1"/>
  <c r="O1761" i="1" a="1"/>
  <c r="O1761" i="1" s="1"/>
  <c r="N1761" i="1"/>
  <c r="M1761" i="1"/>
  <c r="O1760" i="1" a="1"/>
  <c r="O1760" i="1" s="1"/>
  <c r="N1760" i="1"/>
  <c r="M1760" i="1"/>
  <c r="O1759" i="1" a="1"/>
  <c r="O1759" i="1" s="1"/>
  <c r="N1759" i="1"/>
  <c r="M1759" i="1"/>
  <c r="O1758" i="1" a="1"/>
  <c r="O1758" i="1" s="1"/>
  <c r="N1758" i="1"/>
  <c r="M1758" i="1"/>
  <c r="O1757" i="1" a="1"/>
  <c r="O1757" i="1" s="1"/>
  <c r="N1757" i="1"/>
  <c r="M1757" i="1"/>
  <c r="O1756" i="1" a="1"/>
  <c r="O1756" i="1" s="1"/>
  <c r="N1756" i="1"/>
  <c r="M1756" i="1"/>
  <c r="O1755" i="1" a="1"/>
  <c r="O1755" i="1" s="1"/>
  <c r="N1755" i="1"/>
  <c r="M1755" i="1"/>
  <c r="O1754" i="1"/>
  <c r="O1754" i="1" a="1"/>
  <c r="N1754" i="1"/>
  <c r="M1754" i="1"/>
  <c r="O1753" i="1" a="1"/>
  <c r="O1753" i="1" s="1"/>
  <c r="N1753" i="1"/>
  <c r="M1753" i="1"/>
  <c r="O1752" i="1" a="1"/>
  <c r="O1752" i="1" s="1"/>
  <c r="N1752" i="1"/>
  <c r="M1752" i="1"/>
  <c r="O1751" i="1" a="1"/>
  <c r="O1751" i="1" s="1"/>
  <c r="N1751" i="1"/>
  <c r="M1751" i="1"/>
  <c r="O1750" i="1"/>
  <c r="O1750" i="1" a="1"/>
  <c r="N1750" i="1"/>
  <c r="M1750" i="1"/>
  <c r="O1749" i="1" a="1"/>
  <c r="O1749" i="1" s="1"/>
  <c r="N1749" i="1"/>
  <c r="M1749" i="1"/>
  <c r="O1748" i="1" a="1"/>
  <c r="O1748" i="1" s="1"/>
  <c r="N1748" i="1"/>
  <c r="M1748" i="1"/>
  <c r="O1747" i="1"/>
  <c r="O1747" i="1" a="1"/>
  <c r="N1747" i="1"/>
  <c r="M1747" i="1"/>
  <c r="O1746" i="1" a="1"/>
  <c r="O1746" i="1" s="1"/>
  <c r="N1746" i="1"/>
  <c r="M1746" i="1"/>
  <c r="O1745" i="1" a="1"/>
  <c r="O1745" i="1" s="1"/>
  <c r="N1745" i="1"/>
  <c r="M1745" i="1"/>
  <c r="O1744" i="1" a="1"/>
  <c r="O1744" i="1" s="1"/>
  <c r="N1744" i="1"/>
  <c r="M1744" i="1"/>
  <c r="O1743" i="1" a="1"/>
  <c r="O1743" i="1" s="1"/>
  <c r="N1743" i="1"/>
  <c r="M1743" i="1"/>
  <c r="O1742" i="1" a="1"/>
  <c r="O1742" i="1" s="1"/>
  <c r="N1742" i="1"/>
  <c r="M1742" i="1"/>
  <c r="O1741" i="1" a="1"/>
  <c r="O1741" i="1" s="1"/>
  <c r="N1741" i="1"/>
  <c r="M1741" i="1"/>
  <c r="O1740" i="1" a="1"/>
  <c r="O1740" i="1" s="1"/>
  <c r="N1740" i="1"/>
  <c r="M1740" i="1"/>
  <c r="O1739" i="1"/>
  <c r="O1739" i="1" a="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a="1"/>
  <c r="O1731" i="1" s="1"/>
  <c r="N1731" i="1"/>
  <c r="M1731" i="1"/>
  <c r="O1730" i="1" a="1"/>
  <c r="O1730" i="1" s="1"/>
  <c r="N1730" i="1"/>
  <c r="M1730" i="1"/>
  <c r="O1729" i="1" a="1"/>
  <c r="O1729" i="1" s="1"/>
  <c r="N1729" i="1"/>
  <c r="M1729" i="1"/>
  <c r="O1728" i="1" a="1"/>
  <c r="O1728" i="1" s="1"/>
  <c r="N1728" i="1"/>
  <c r="M1728" i="1"/>
  <c r="O1727" i="1" a="1"/>
  <c r="O1727" i="1" s="1"/>
  <c r="N1727" i="1"/>
  <c r="M1727" i="1"/>
  <c r="O1726" i="1"/>
  <c r="O1726" i="1" a="1"/>
  <c r="N1726" i="1"/>
  <c r="M1726" i="1"/>
  <c r="O1725" i="1" a="1"/>
  <c r="O1725" i="1" s="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a="1"/>
  <c r="O1718" i="1" s="1"/>
  <c r="N1718" i="1"/>
  <c r="M1718" i="1"/>
  <c r="O1717" i="1" a="1"/>
  <c r="O1717" i="1" s="1"/>
  <c r="N1717" i="1"/>
  <c r="M1717" i="1"/>
  <c r="O1716" i="1" a="1"/>
  <c r="O1716" i="1" s="1"/>
  <c r="N1716" i="1"/>
  <c r="M1716" i="1"/>
  <c r="O1715" i="1" a="1"/>
  <c r="O1715" i="1" s="1"/>
  <c r="N1715" i="1"/>
  <c r="M1715" i="1"/>
  <c r="O1714" i="1" a="1"/>
  <c r="O1714" i="1" s="1"/>
  <c r="N1714" i="1"/>
  <c r="M1714" i="1"/>
  <c r="O1713" i="1"/>
  <c r="O1713" i="1" a="1"/>
  <c r="N1713" i="1"/>
  <c r="M1713" i="1"/>
  <c r="O1712" i="1" a="1"/>
  <c r="O1712" i="1" s="1"/>
  <c r="N1712" i="1"/>
  <c r="M1712" i="1"/>
  <c r="O1711" i="1" a="1"/>
  <c r="O1711" i="1" s="1"/>
  <c r="N1711" i="1"/>
  <c r="M1711" i="1"/>
  <c r="O1710" i="1" a="1"/>
  <c r="O1710" i="1" s="1"/>
  <c r="N1710" i="1"/>
  <c r="M1710" i="1"/>
  <c r="O1709" i="1" a="1"/>
  <c r="O1709" i="1" s="1"/>
  <c r="N1709" i="1"/>
  <c r="M1709" i="1"/>
  <c r="O1708" i="1" a="1"/>
  <c r="O1708" i="1" s="1"/>
  <c r="N1708" i="1"/>
  <c r="M1708" i="1"/>
  <c r="O1707" i="1" a="1"/>
  <c r="O1707" i="1" s="1"/>
  <c r="N1707" i="1"/>
  <c r="M1707" i="1"/>
  <c r="O1706" i="1"/>
  <c r="O1706" i="1" a="1"/>
  <c r="N1706" i="1"/>
  <c r="M1706" i="1"/>
  <c r="O1705" i="1" a="1"/>
  <c r="O1705" i="1" s="1"/>
  <c r="N1705" i="1"/>
  <c r="M1705" i="1"/>
  <c r="O1704" i="1" a="1"/>
  <c r="O1704" i="1" s="1"/>
  <c r="N1704" i="1"/>
  <c r="M1704" i="1"/>
  <c r="O1703" i="1" a="1"/>
  <c r="O1703" i="1" s="1"/>
  <c r="N1703" i="1"/>
  <c r="M1703" i="1"/>
  <c r="O1702" i="1" a="1"/>
  <c r="O1702" i="1" s="1"/>
  <c r="N1702" i="1"/>
  <c r="M1702" i="1"/>
  <c r="O1701" i="1" a="1"/>
  <c r="O1701" i="1" s="1"/>
  <c r="N1701" i="1"/>
  <c r="M1701" i="1"/>
  <c r="O1700" i="1" a="1"/>
  <c r="O1700" i="1" s="1"/>
  <c r="N1700" i="1"/>
  <c r="M1700" i="1"/>
  <c r="O1699" i="1" a="1"/>
  <c r="O1699" i="1" s="1"/>
  <c r="N1699" i="1"/>
  <c r="M1699" i="1"/>
  <c r="O1698" i="1" a="1"/>
  <c r="O1698" i="1" s="1"/>
  <c r="N1698" i="1"/>
  <c r="M1698" i="1"/>
  <c r="O1697" i="1" a="1"/>
  <c r="O1697" i="1" s="1"/>
  <c r="N1697" i="1"/>
  <c r="M1697" i="1"/>
  <c r="O1696" i="1" a="1"/>
  <c r="O1696" i="1" s="1"/>
  <c r="N1696" i="1"/>
  <c r="M1696" i="1"/>
  <c r="O1695" i="1" a="1"/>
  <c r="O1695" i="1" s="1"/>
  <c r="N1695" i="1"/>
  <c r="M1695" i="1"/>
  <c r="O1694" i="1"/>
  <c r="O1694" i="1" a="1"/>
  <c r="N1694" i="1"/>
  <c r="M1694" i="1"/>
  <c r="O1693" i="1" a="1"/>
  <c r="O1693" i="1" s="1"/>
  <c r="N1693" i="1"/>
  <c r="M1693" i="1"/>
  <c r="O1692" i="1" a="1"/>
  <c r="O1692" i="1" s="1"/>
  <c r="N1692" i="1"/>
  <c r="M1692" i="1"/>
  <c r="O1691" i="1" a="1"/>
  <c r="O1691" i="1" s="1"/>
  <c r="N1691" i="1"/>
  <c r="M1691" i="1"/>
  <c r="O1690" i="1" a="1"/>
  <c r="O1690" i="1" s="1"/>
  <c r="N1690" i="1"/>
  <c r="M1690" i="1"/>
  <c r="O1689" i="1" a="1"/>
  <c r="O1689" i="1" s="1"/>
  <c r="N1689" i="1"/>
  <c r="M1689" i="1"/>
  <c r="O1688" i="1" a="1"/>
  <c r="O1688" i="1" s="1"/>
  <c r="N1688" i="1"/>
  <c r="M1688" i="1"/>
  <c r="O1687" i="1" a="1"/>
  <c r="O1687" i="1" s="1"/>
  <c r="N1687" i="1"/>
  <c r="M1687" i="1"/>
  <c r="O1686" i="1" a="1"/>
  <c r="O1686" i="1" s="1"/>
  <c r="N1686" i="1"/>
  <c r="M1686" i="1"/>
  <c r="O1685" i="1" a="1"/>
  <c r="O1685" i="1" s="1"/>
  <c r="N1685" i="1"/>
  <c r="M1685" i="1"/>
  <c r="O1684" i="1"/>
  <c r="O1684" i="1" a="1"/>
  <c r="N1684" i="1"/>
  <c r="M1684" i="1"/>
  <c r="O1683" i="1" a="1"/>
  <c r="O1683" i="1" s="1"/>
  <c r="N1683" i="1"/>
  <c r="M1683" i="1"/>
  <c r="O1682" i="1" a="1"/>
  <c r="O1682" i="1" s="1"/>
  <c r="N1682" i="1"/>
  <c r="M1682" i="1"/>
  <c r="O1681" i="1"/>
  <c r="O1681" i="1" a="1"/>
  <c r="N1681" i="1"/>
  <c r="M1681" i="1"/>
  <c r="O1680" i="1" a="1"/>
  <c r="O1680" i="1" s="1"/>
  <c r="N1680" i="1"/>
  <c r="M1680" i="1"/>
  <c r="O1679" i="1" a="1"/>
  <c r="O1679" i="1" s="1"/>
  <c r="N1679" i="1"/>
  <c r="M1679" i="1"/>
  <c r="O1678" i="1" a="1"/>
  <c r="O1678" i="1" s="1"/>
  <c r="N1678" i="1"/>
  <c r="M1678" i="1"/>
  <c r="O1677" i="1"/>
  <c r="O1677" i="1" a="1"/>
  <c r="N1677" i="1"/>
  <c r="M1677" i="1"/>
  <c r="O1676" i="1" a="1"/>
  <c r="O1676" i="1" s="1"/>
  <c r="N1676" i="1"/>
  <c r="M1676" i="1"/>
  <c r="O1675" i="1" a="1"/>
  <c r="O1675" i="1" s="1"/>
  <c r="N1675" i="1"/>
  <c r="M1675" i="1"/>
  <c r="O1674" i="1" a="1"/>
  <c r="O1674" i="1" s="1"/>
  <c r="N1674" i="1"/>
  <c r="M1674" i="1"/>
  <c r="O1673" i="1" a="1"/>
  <c r="O1673" i="1" s="1"/>
  <c r="N1673" i="1"/>
  <c r="M1673" i="1"/>
  <c r="O1672" i="1" a="1"/>
  <c r="O1672" i="1" s="1"/>
  <c r="N1672" i="1"/>
  <c r="M1672" i="1"/>
  <c r="O1671" i="1" a="1"/>
  <c r="O1671" i="1" s="1"/>
  <c r="N1671" i="1"/>
  <c r="M1671" i="1"/>
  <c r="O1670" i="1" a="1"/>
  <c r="O1670" i="1" s="1"/>
  <c r="N1670" i="1"/>
  <c r="M1670" i="1"/>
  <c r="O1669" i="1" a="1"/>
  <c r="O1669" i="1" s="1"/>
  <c r="N1669" i="1"/>
  <c r="M1669" i="1"/>
  <c r="O1668" i="1" a="1"/>
  <c r="O1668" i="1" s="1"/>
  <c r="N1668" i="1"/>
  <c r="M1668" i="1"/>
  <c r="O1667" i="1" a="1"/>
  <c r="O1667" i="1" s="1"/>
  <c r="N1667" i="1"/>
  <c r="M1667" i="1"/>
  <c r="O1666" i="1"/>
  <c r="O1666" i="1" a="1"/>
  <c r="N1666" i="1"/>
  <c r="M1666" i="1"/>
  <c r="O1665" i="1" a="1"/>
  <c r="O1665" i="1" s="1"/>
  <c r="N1665" i="1"/>
  <c r="M1665" i="1"/>
  <c r="O1664" i="1" a="1"/>
  <c r="O1664" i="1" s="1"/>
  <c r="N1664" i="1"/>
  <c r="M1664" i="1"/>
  <c r="O1663" i="1" a="1"/>
  <c r="O1663" i="1" s="1"/>
  <c r="N1663" i="1"/>
  <c r="M1663" i="1"/>
  <c r="O1662" i="1" a="1"/>
  <c r="O1662" i="1" s="1"/>
  <c r="N1662" i="1"/>
  <c r="M1662" i="1"/>
  <c r="O1661" i="1" a="1"/>
  <c r="O1661" i="1" s="1"/>
  <c r="N1661" i="1"/>
  <c r="M1661" i="1"/>
  <c r="O1660" i="1" a="1"/>
  <c r="O1660" i="1" s="1"/>
  <c r="N1660" i="1"/>
  <c r="M1660" i="1"/>
  <c r="O1659" i="1" a="1"/>
  <c r="O1659" i="1" s="1"/>
  <c r="N1659" i="1"/>
  <c r="M1659" i="1"/>
  <c r="O1658" i="1" a="1"/>
  <c r="O1658" i="1" s="1"/>
  <c r="N1658" i="1"/>
  <c r="M1658" i="1"/>
  <c r="O1657" i="1" a="1"/>
  <c r="O1657" i="1" s="1"/>
  <c r="N1657" i="1"/>
  <c r="M1657" i="1"/>
  <c r="O1656" i="1" a="1"/>
  <c r="O1656" i="1" s="1"/>
  <c r="N1656" i="1"/>
  <c r="M1656" i="1"/>
  <c r="O1655" i="1"/>
  <c r="O1655" i="1" a="1"/>
  <c r="N1655" i="1"/>
  <c r="M1655" i="1"/>
  <c r="O1654" i="1" a="1"/>
  <c r="O1654" i="1" s="1"/>
  <c r="N1654" i="1"/>
  <c r="M1654" i="1"/>
  <c r="O1653" i="1" a="1"/>
  <c r="O1653" i="1" s="1"/>
  <c r="N1653" i="1"/>
  <c r="M1653" i="1"/>
  <c r="O1652" i="1" a="1"/>
  <c r="O1652" i="1" s="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a="1"/>
  <c r="O1645" i="1" s="1"/>
  <c r="N1645" i="1"/>
  <c r="M1645" i="1"/>
  <c r="O1644" i="1" a="1"/>
  <c r="O1644" i="1" s="1"/>
  <c r="N1644" i="1"/>
  <c r="M1644" i="1"/>
  <c r="O1643" i="1" a="1"/>
  <c r="O1643" i="1" s="1"/>
  <c r="N1643" i="1"/>
  <c r="M1643" i="1"/>
  <c r="O1642" i="1" a="1"/>
  <c r="O1642" i="1" s="1"/>
  <c r="N1642" i="1"/>
  <c r="M1642" i="1"/>
  <c r="O1641" i="1" a="1"/>
  <c r="O1641" i="1" s="1"/>
  <c r="N1641" i="1"/>
  <c r="M1641" i="1"/>
  <c r="O1640" i="1" a="1"/>
  <c r="O1640" i="1" s="1"/>
  <c r="N1640" i="1"/>
  <c r="M1640" i="1"/>
  <c r="O1639" i="1" a="1"/>
  <c r="O1639" i="1" s="1"/>
  <c r="N1639" i="1"/>
  <c r="M1639" i="1"/>
  <c r="O1638" i="1" a="1"/>
  <c r="O1638" i="1" s="1"/>
  <c r="N1638" i="1"/>
  <c r="M1638" i="1"/>
  <c r="O1637" i="1" a="1"/>
  <c r="O1637" i="1" s="1"/>
  <c r="N1637" i="1"/>
  <c r="M1637" i="1"/>
  <c r="O1636" i="1" a="1"/>
  <c r="O1636" i="1" s="1"/>
  <c r="N1636" i="1"/>
  <c r="M1636" i="1"/>
  <c r="O1635" i="1" a="1"/>
  <c r="O1635" i="1" s="1"/>
  <c r="N1635" i="1"/>
  <c r="M1635" i="1"/>
  <c r="O1634" i="1" a="1"/>
  <c r="O1634" i="1" s="1"/>
  <c r="N1634" i="1"/>
  <c r="M1634" i="1"/>
  <c r="O1633" i="1" a="1"/>
  <c r="O1633" i="1" s="1"/>
  <c r="N1633" i="1"/>
  <c r="M1633" i="1"/>
  <c r="O1632" i="1" a="1"/>
  <c r="O1632" i="1" s="1"/>
  <c r="N1632" i="1"/>
  <c r="M1632" i="1"/>
  <c r="O1631" i="1"/>
  <c r="O1631" i="1" a="1"/>
  <c r="N1631" i="1"/>
  <c r="M1631" i="1"/>
  <c r="O1630" i="1" a="1"/>
  <c r="O1630" i="1" s="1"/>
  <c r="N1630" i="1"/>
  <c r="M1630" i="1"/>
  <c r="O1629" i="1" a="1"/>
  <c r="O1629" i="1" s="1"/>
  <c r="N1629" i="1"/>
  <c r="M1629" i="1"/>
  <c r="O1628" i="1" a="1"/>
  <c r="O1628" i="1" s="1"/>
  <c r="N1628" i="1"/>
  <c r="M1628" i="1"/>
  <c r="O1627" i="1" a="1"/>
  <c r="O1627" i="1" s="1"/>
  <c r="N1627" i="1"/>
  <c r="M1627" i="1"/>
  <c r="O1626" i="1" a="1"/>
  <c r="O1626" i="1" s="1"/>
  <c r="N1626" i="1"/>
  <c r="M1626" i="1"/>
  <c r="O1625" i="1" a="1"/>
  <c r="O1625" i="1" s="1"/>
  <c r="N1625" i="1"/>
  <c r="M1625" i="1"/>
  <c r="O1624" i="1" a="1"/>
  <c r="O1624" i="1" s="1"/>
  <c r="N1624" i="1"/>
  <c r="M1624" i="1"/>
  <c r="O1623" i="1" a="1"/>
  <c r="O1623" i="1" s="1"/>
  <c r="N1623" i="1"/>
  <c r="M1623" i="1"/>
  <c r="O1622" i="1" a="1"/>
  <c r="O1622" i="1" s="1"/>
  <c r="N1622" i="1"/>
  <c r="M1622" i="1"/>
  <c r="O1621" i="1" a="1"/>
  <c r="O1621" i="1" s="1"/>
  <c r="N1621" i="1"/>
  <c r="M1621" i="1"/>
  <c r="O1620" i="1" a="1"/>
  <c r="O1620" i="1" s="1"/>
  <c r="N1620" i="1"/>
  <c r="M1620" i="1"/>
  <c r="O1619" i="1" a="1"/>
  <c r="O1619" i="1" s="1"/>
  <c r="N1619" i="1"/>
  <c r="M1619" i="1"/>
  <c r="O1618" i="1" a="1"/>
  <c r="O1618" i="1" s="1"/>
  <c r="N1618" i="1"/>
  <c r="M1618" i="1"/>
  <c r="O1617" i="1" a="1"/>
  <c r="O1617" i="1" s="1"/>
  <c r="N1617" i="1"/>
  <c r="M1617" i="1"/>
  <c r="O1616" i="1" a="1"/>
  <c r="O1616" i="1" s="1"/>
  <c r="N1616" i="1"/>
  <c r="M1616" i="1"/>
  <c r="O1615" i="1" a="1"/>
  <c r="O1615" i="1" s="1"/>
  <c r="N1615" i="1"/>
  <c r="M1615" i="1"/>
  <c r="O1614" i="1" a="1"/>
  <c r="O1614" i="1" s="1"/>
  <c r="N1614" i="1"/>
  <c r="M1614" i="1"/>
  <c r="O1613" i="1" a="1"/>
  <c r="O1613" i="1" s="1"/>
  <c r="N1613" i="1"/>
  <c r="M1613" i="1"/>
  <c r="O1612" i="1" a="1"/>
  <c r="O1612" i="1" s="1"/>
  <c r="N1612" i="1"/>
  <c r="M1612" i="1"/>
  <c r="O1611" i="1" a="1"/>
  <c r="O1611" i="1" s="1"/>
  <c r="N1611" i="1"/>
  <c r="M1611" i="1"/>
  <c r="O1610" i="1" a="1"/>
  <c r="O1610" i="1" s="1"/>
  <c r="N1610" i="1"/>
  <c r="M1610" i="1"/>
  <c r="O1609" i="1" a="1"/>
  <c r="O1609" i="1" s="1"/>
  <c r="N1609" i="1"/>
  <c r="M1609" i="1"/>
  <c r="O1608" i="1" a="1"/>
  <c r="O1608" i="1" s="1"/>
  <c r="N1608" i="1"/>
  <c r="M1608" i="1"/>
  <c r="O1607" i="1" a="1"/>
  <c r="O1607" i="1" s="1"/>
  <c r="N1607" i="1"/>
  <c r="M1607" i="1"/>
  <c r="O1606" i="1" a="1"/>
  <c r="O1606" i="1" s="1"/>
  <c r="N1606" i="1"/>
  <c r="M1606" i="1"/>
  <c r="O1605" i="1" a="1"/>
  <c r="O1605" i="1" s="1"/>
  <c r="N1605" i="1"/>
  <c r="M1605" i="1"/>
  <c r="O1604" i="1" a="1"/>
  <c r="O1604" i="1" s="1"/>
  <c r="N1604" i="1"/>
  <c r="M1604" i="1"/>
  <c r="O1603" i="1" a="1"/>
  <c r="O1603" i="1" s="1"/>
  <c r="N1603" i="1"/>
  <c r="M1603" i="1"/>
  <c r="O1602" i="1" a="1"/>
  <c r="O1602" i="1" s="1"/>
  <c r="N1602" i="1"/>
  <c r="M1602" i="1"/>
  <c r="O1601" i="1"/>
  <c r="O1601" i="1" a="1"/>
  <c r="N1601" i="1"/>
  <c r="M1601" i="1"/>
  <c r="O1600" i="1" a="1"/>
  <c r="O1600" i="1" s="1"/>
  <c r="N1600" i="1"/>
  <c r="M1600" i="1"/>
  <c r="O1599" i="1" a="1"/>
  <c r="O1599" i="1" s="1"/>
  <c r="N1599" i="1"/>
  <c r="M1599" i="1"/>
  <c r="O1598" i="1"/>
  <c r="O1598" i="1" a="1"/>
  <c r="N1598" i="1"/>
  <c r="M1598" i="1"/>
  <c r="O1597" i="1" a="1"/>
  <c r="O1597" i="1" s="1"/>
  <c r="N1597" i="1"/>
  <c r="M1597" i="1"/>
  <c r="O1596" i="1" a="1"/>
  <c r="O1596" i="1" s="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a="1"/>
  <c r="O1589" i="1" s="1"/>
  <c r="N1589" i="1"/>
  <c r="M1589" i="1"/>
  <c r="O1588" i="1" a="1"/>
  <c r="O1588" i="1" s="1"/>
  <c r="N1588" i="1"/>
  <c r="M1588" i="1"/>
  <c r="O1587" i="1" a="1"/>
  <c r="O1587" i="1" s="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a="1"/>
  <c r="O1579" i="1" s="1"/>
  <c r="N1579" i="1"/>
  <c r="M1579" i="1"/>
  <c r="O1578" i="1" a="1"/>
  <c r="O1578" i="1" s="1"/>
  <c r="N1578" i="1"/>
  <c r="M1578" i="1"/>
  <c r="O1577" i="1" a="1"/>
  <c r="O1577" i="1" s="1"/>
  <c r="N1577" i="1"/>
  <c r="M1577" i="1"/>
  <c r="O1576" i="1" a="1"/>
  <c r="O1576" i="1" s="1"/>
  <c r="N1576" i="1"/>
  <c r="M1576" i="1"/>
  <c r="O1575" i="1" a="1"/>
  <c r="O1575" i="1" s="1"/>
  <c r="N1575" i="1"/>
  <c r="M1575" i="1"/>
  <c r="O1574" i="1" a="1"/>
  <c r="O1574" i="1" s="1"/>
  <c r="N1574" i="1"/>
  <c r="M1574" i="1"/>
  <c r="O1573" i="1" a="1"/>
  <c r="O1573" i="1" s="1"/>
  <c r="N1573" i="1"/>
  <c r="M1573" i="1"/>
  <c r="O1572" i="1" a="1"/>
  <c r="O1572" i="1" s="1"/>
  <c r="N1572" i="1"/>
  <c r="M1572" i="1"/>
  <c r="O1571" i="1" a="1"/>
  <c r="O1571" i="1" s="1"/>
  <c r="N1571" i="1"/>
  <c r="M1571" i="1"/>
  <c r="O1570" i="1" a="1"/>
  <c r="O1570" i="1" s="1"/>
  <c r="N1570" i="1"/>
  <c r="M1570" i="1"/>
  <c r="O1569" i="1" a="1"/>
  <c r="O1569" i="1" s="1"/>
  <c r="N1569" i="1"/>
  <c r="M1569" i="1"/>
  <c r="O1568" i="1" a="1"/>
  <c r="O1568" i="1" s="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a="1"/>
  <c r="O1561" i="1" s="1"/>
  <c r="N1561" i="1"/>
  <c r="M1561" i="1"/>
  <c r="O1560" i="1" a="1"/>
  <c r="O1560" i="1" s="1"/>
  <c r="N1560" i="1"/>
  <c r="M1560" i="1"/>
  <c r="O1559" i="1"/>
  <c r="O1559" i="1" a="1"/>
  <c r="N1559" i="1"/>
  <c r="M1559" i="1"/>
  <c r="O1558" i="1" a="1"/>
  <c r="O1558" i="1" s="1"/>
  <c r="N1558" i="1"/>
  <c r="M1558" i="1"/>
  <c r="O1557" i="1" a="1"/>
  <c r="O1557" i="1" s="1"/>
  <c r="N1557" i="1"/>
  <c r="M1557" i="1"/>
  <c r="O1556" i="1" a="1"/>
  <c r="O1556" i="1" s="1"/>
  <c r="N1556" i="1"/>
  <c r="M1556" i="1"/>
  <c r="O1555" i="1" a="1"/>
  <c r="O1555" i="1" s="1"/>
  <c r="N1555" i="1"/>
  <c r="M1555" i="1"/>
  <c r="O1554" i="1" a="1"/>
  <c r="O1554" i="1" s="1"/>
  <c r="N1554" i="1"/>
  <c r="M1554" i="1"/>
  <c r="O1553" i="1" a="1"/>
  <c r="O1553" i="1" s="1"/>
  <c r="N1553" i="1"/>
  <c r="M1553" i="1"/>
  <c r="O1552" i="1" a="1"/>
  <c r="O1552" i="1" s="1"/>
  <c r="N1552" i="1"/>
  <c r="M1552" i="1"/>
  <c r="O1551" i="1" a="1"/>
  <c r="O1551" i="1" s="1"/>
  <c r="N1551" i="1"/>
  <c r="M1551" i="1"/>
  <c r="O1550" i="1" a="1"/>
  <c r="O1550" i="1" s="1"/>
  <c r="N1550" i="1"/>
  <c r="M1550" i="1"/>
  <c r="O1549" i="1" a="1"/>
  <c r="O1549" i="1" s="1"/>
  <c r="N1549" i="1"/>
  <c r="M1549" i="1"/>
  <c r="O1548" i="1"/>
  <c r="O1548" i="1" a="1"/>
  <c r="N1548" i="1"/>
  <c r="M1548" i="1"/>
  <c r="O1547" i="1" a="1"/>
  <c r="O1547" i="1" s="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a="1"/>
  <c r="O1540" i="1" s="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a="1"/>
  <c r="O1533" i="1" s="1"/>
  <c r="N1533" i="1"/>
  <c r="M1533" i="1"/>
  <c r="O1532" i="1" a="1"/>
  <c r="O1532" i="1" s="1"/>
  <c r="N1532" i="1"/>
  <c r="M1532" i="1"/>
  <c r="O1531" i="1" a="1"/>
  <c r="O1531" i="1" s="1"/>
  <c r="N1531" i="1"/>
  <c r="M1531" i="1"/>
  <c r="O1530" i="1" a="1"/>
  <c r="O1530" i="1" s="1"/>
  <c r="N1530" i="1"/>
  <c r="M1530" i="1"/>
  <c r="O1529" i="1" a="1"/>
  <c r="O1529" i="1" s="1"/>
  <c r="N1529" i="1"/>
  <c r="M1529" i="1"/>
  <c r="O1528" i="1" a="1"/>
  <c r="O1528" i="1" s="1"/>
  <c r="N1528" i="1"/>
  <c r="M1528" i="1"/>
  <c r="O1527" i="1" a="1"/>
  <c r="O1527" i="1" s="1"/>
  <c r="N1527" i="1"/>
  <c r="M1527" i="1"/>
  <c r="O1526" i="1" a="1"/>
  <c r="O1526" i="1" s="1"/>
  <c r="N1526" i="1"/>
  <c r="M1526" i="1"/>
  <c r="O1525" i="1" a="1"/>
  <c r="O1525" i="1" s="1"/>
  <c r="N1525" i="1"/>
  <c r="M1525" i="1"/>
  <c r="O1524" i="1" a="1"/>
  <c r="O1524" i="1" s="1"/>
  <c r="N1524" i="1"/>
  <c r="M1524" i="1"/>
  <c r="O1523" i="1" a="1"/>
  <c r="O1523" i="1" s="1"/>
  <c r="N1523" i="1"/>
  <c r="M1523" i="1"/>
  <c r="O1522" i="1" a="1"/>
  <c r="O1522" i="1" s="1"/>
  <c r="N1522" i="1"/>
  <c r="M1522" i="1"/>
  <c r="O1521" i="1" a="1"/>
  <c r="O1521" i="1" s="1"/>
  <c r="N1521" i="1"/>
  <c r="M1521" i="1"/>
  <c r="O1520" i="1"/>
  <c r="O1520" i="1" a="1"/>
  <c r="N1520" i="1"/>
  <c r="M1520" i="1"/>
  <c r="O1519" i="1" a="1"/>
  <c r="O1519" i="1" s="1"/>
  <c r="N1519" i="1"/>
  <c r="M1519" i="1"/>
  <c r="O1518" i="1" a="1"/>
  <c r="O1518" i="1" s="1"/>
  <c r="N1518" i="1"/>
  <c r="M1518" i="1"/>
  <c r="O1517" i="1" a="1"/>
  <c r="O1517" i="1" s="1"/>
  <c r="N1517" i="1"/>
  <c r="M1517" i="1"/>
  <c r="O1516" i="1" a="1"/>
  <c r="O1516" i="1" s="1"/>
  <c r="N1516" i="1"/>
  <c r="M1516" i="1"/>
  <c r="O1515" i="1" a="1"/>
  <c r="O1515" i="1" s="1"/>
  <c r="N1515" i="1"/>
  <c r="M1515" i="1"/>
  <c r="O1514" i="1" a="1"/>
  <c r="O1514" i="1" s="1"/>
  <c r="N1514" i="1"/>
  <c r="M1514" i="1"/>
  <c r="O1513" i="1" a="1"/>
  <c r="O1513" i="1" s="1"/>
  <c r="N1513" i="1"/>
  <c r="M1513" i="1"/>
  <c r="O1512" i="1" a="1"/>
  <c r="O1512" i="1" s="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a="1"/>
  <c r="O1505" i="1" s="1"/>
  <c r="N1505" i="1"/>
  <c r="M1505" i="1"/>
  <c r="O1504" i="1" a="1"/>
  <c r="O1504" i="1" s="1"/>
  <c r="N1504" i="1"/>
  <c r="M1504" i="1"/>
  <c r="O1503" i="1" a="1"/>
  <c r="O1503" i="1" s="1"/>
  <c r="N1503" i="1"/>
  <c r="M1503" i="1"/>
  <c r="O1502" i="1" a="1"/>
  <c r="O1502" i="1" s="1"/>
  <c r="N1502" i="1"/>
  <c r="M1502" i="1"/>
  <c r="O1501" i="1"/>
  <c r="O1501" i="1" a="1"/>
  <c r="N1501" i="1"/>
  <c r="M1501" i="1"/>
  <c r="O1500" i="1" a="1"/>
  <c r="O1500" i="1" s="1"/>
  <c r="N1500" i="1"/>
  <c r="M1500" i="1"/>
  <c r="O1499" i="1" a="1"/>
  <c r="O1499" i="1" s="1"/>
  <c r="N1499" i="1"/>
  <c r="M1499" i="1"/>
  <c r="O1498" i="1" a="1"/>
  <c r="O1498" i="1" s="1"/>
  <c r="N1498" i="1"/>
  <c r="M1498" i="1"/>
  <c r="O1497" i="1" a="1"/>
  <c r="O1497" i="1" s="1"/>
  <c r="N1497" i="1"/>
  <c r="M1497" i="1"/>
  <c r="O1496" i="1" a="1"/>
  <c r="O1496" i="1" s="1"/>
  <c r="N1496" i="1"/>
  <c r="M1496" i="1"/>
  <c r="O1495" i="1"/>
  <c r="O1495" i="1" a="1"/>
  <c r="N1495" i="1"/>
  <c r="M1495" i="1"/>
  <c r="O1494" i="1" a="1"/>
  <c r="O1494" i="1" s="1"/>
  <c r="N1494" i="1"/>
  <c r="M1494" i="1"/>
  <c r="O1493" i="1" a="1"/>
  <c r="O1493" i="1" s="1"/>
  <c r="N1493" i="1"/>
  <c r="M1493" i="1"/>
  <c r="O1492" i="1" a="1"/>
  <c r="O1492" i="1" s="1"/>
  <c r="N1492" i="1"/>
  <c r="M1492" i="1"/>
  <c r="O1491" i="1" a="1"/>
  <c r="O1491" i="1" s="1"/>
  <c r="N1491" i="1"/>
  <c r="M1491" i="1"/>
  <c r="O1490" i="1" a="1"/>
  <c r="O1490" i="1" s="1"/>
  <c r="N1490" i="1"/>
  <c r="M1490" i="1"/>
  <c r="O1489" i="1" a="1"/>
  <c r="O1489" i="1" s="1"/>
  <c r="N1489" i="1"/>
  <c r="M1489" i="1"/>
  <c r="O1488" i="1" a="1"/>
  <c r="O1488" i="1" s="1"/>
  <c r="N1488" i="1"/>
  <c r="M1488" i="1"/>
  <c r="O1487" i="1" a="1"/>
  <c r="O1487" i="1" s="1"/>
  <c r="N1487" i="1"/>
  <c r="M1487" i="1"/>
  <c r="O1486" i="1" a="1"/>
  <c r="O1486" i="1" s="1"/>
  <c r="N1486" i="1"/>
  <c r="M1486" i="1"/>
  <c r="O1485" i="1" a="1"/>
  <c r="O1485" i="1" s="1"/>
  <c r="N1485" i="1"/>
  <c r="M1485" i="1"/>
  <c r="O1484" i="1" a="1"/>
  <c r="O1484" i="1" s="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a="1"/>
  <c r="O1477" i="1" s="1"/>
  <c r="N1477" i="1"/>
  <c r="M1477" i="1"/>
  <c r="O1476" i="1" a="1"/>
  <c r="O1476" i="1" s="1"/>
  <c r="N1476" i="1"/>
  <c r="M1476" i="1"/>
  <c r="O1475" i="1" a="1"/>
  <c r="O1475" i="1" s="1"/>
  <c r="N1475" i="1"/>
  <c r="M1475" i="1"/>
  <c r="O1474" i="1" a="1"/>
  <c r="O1474" i="1" s="1"/>
  <c r="N1474" i="1"/>
  <c r="M1474" i="1"/>
  <c r="O1473" i="1" a="1"/>
  <c r="O1473" i="1" s="1"/>
  <c r="N1473" i="1"/>
  <c r="M1473" i="1"/>
  <c r="O1472" i="1" a="1"/>
  <c r="O1472" i="1" s="1"/>
  <c r="N1472" i="1"/>
  <c r="M1472" i="1"/>
  <c r="O1471" i="1" a="1"/>
  <c r="O1471" i="1" s="1"/>
  <c r="N1471" i="1"/>
  <c r="M1471" i="1"/>
  <c r="O1470" i="1" a="1"/>
  <c r="O1470" i="1" s="1"/>
  <c r="N1470" i="1"/>
  <c r="M1470" i="1"/>
  <c r="O1469" i="1" a="1"/>
  <c r="O1469" i="1" s="1"/>
  <c r="N1469" i="1"/>
  <c r="M1469" i="1"/>
  <c r="O1468" i="1" a="1"/>
  <c r="O1468" i="1" s="1"/>
  <c r="N1468" i="1"/>
  <c r="M1468" i="1"/>
  <c r="O1467" i="1" a="1"/>
  <c r="O1467" i="1" s="1"/>
  <c r="N1467" i="1"/>
  <c r="M1467" i="1"/>
  <c r="O1466" i="1"/>
  <c r="O1466" i="1" a="1"/>
  <c r="N1466" i="1"/>
  <c r="M1466" i="1"/>
  <c r="O1465" i="1" a="1"/>
  <c r="O1465" i="1" s="1"/>
  <c r="N1465" i="1"/>
  <c r="M1465" i="1"/>
  <c r="O1464" i="1" a="1"/>
  <c r="O1464" i="1" s="1"/>
  <c r="N1464" i="1"/>
  <c r="M1464" i="1"/>
  <c r="O1463" i="1" a="1"/>
  <c r="O1463" i="1" s="1"/>
  <c r="N1463" i="1"/>
  <c r="M1463" i="1"/>
  <c r="O1462" i="1" a="1"/>
  <c r="O1462" i="1" s="1"/>
  <c r="N1462" i="1"/>
  <c r="M1462" i="1"/>
  <c r="O1461" i="1" a="1"/>
  <c r="O1461" i="1" s="1"/>
  <c r="N1461" i="1"/>
  <c r="M1461" i="1"/>
  <c r="O1460" i="1" a="1"/>
  <c r="O1460" i="1" s="1"/>
  <c r="N1460" i="1"/>
  <c r="M1460" i="1"/>
  <c r="O1459" i="1"/>
  <c r="O1459" i="1" a="1"/>
  <c r="N1459" i="1"/>
  <c r="M1459" i="1"/>
  <c r="O1458" i="1" a="1"/>
  <c r="O1458" i="1" s="1"/>
  <c r="N1458" i="1"/>
  <c r="M1458" i="1"/>
  <c r="O1457" i="1" a="1"/>
  <c r="O1457" i="1" s="1"/>
  <c r="N1457" i="1"/>
  <c r="M1457" i="1"/>
  <c r="O1456" i="1" a="1"/>
  <c r="O1456" i="1" s="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a="1"/>
  <c r="O1449" i="1" s="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a="1"/>
  <c r="O1442" i="1" s="1"/>
  <c r="N1442" i="1"/>
  <c r="M1442" i="1"/>
  <c r="O1441" i="1" a="1"/>
  <c r="O1441" i="1" s="1"/>
  <c r="N1441" i="1"/>
  <c r="M1441" i="1"/>
  <c r="O1440" i="1" a="1"/>
  <c r="O1440" i="1" s="1"/>
  <c r="N1440" i="1"/>
  <c r="M1440" i="1"/>
  <c r="O1439" i="1" a="1"/>
  <c r="O1439" i="1" s="1"/>
  <c r="N1439" i="1"/>
  <c r="M1439" i="1"/>
  <c r="O1438" i="1" a="1"/>
  <c r="O1438" i="1" s="1"/>
  <c r="N1438" i="1"/>
  <c r="M1438" i="1"/>
  <c r="O1437" i="1" a="1"/>
  <c r="O1437" i="1" s="1"/>
  <c r="N1437" i="1"/>
  <c r="M1437" i="1"/>
  <c r="O1436" i="1" a="1"/>
  <c r="O1436" i="1" s="1"/>
  <c r="N1436" i="1"/>
  <c r="M1436" i="1"/>
  <c r="O1435" i="1" a="1"/>
  <c r="O1435" i="1" s="1"/>
  <c r="N1435" i="1"/>
  <c r="M1435" i="1"/>
  <c r="O1434" i="1" a="1"/>
  <c r="O1434" i="1" s="1"/>
  <c r="N1434" i="1"/>
  <c r="M1434" i="1"/>
  <c r="O1433" i="1" a="1"/>
  <c r="O1433" i="1" s="1"/>
  <c r="N1433" i="1"/>
  <c r="M1433" i="1"/>
  <c r="O1432" i="1" a="1"/>
  <c r="O1432" i="1" s="1"/>
  <c r="N1432" i="1"/>
  <c r="M1432" i="1"/>
  <c r="O1431" i="1" a="1"/>
  <c r="O1431" i="1" s="1"/>
  <c r="N1431" i="1"/>
  <c r="M1431" i="1"/>
  <c r="O1430" i="1" a="1"/>
  <c r="O1430" i="1" s="1"/>
  <c r="N1430" i="1"/>
  <c r="M1430" i="1"/>
  <c r="O1429" i="1" a="1"/>
  <c r="O1429" i="1" s="1"/>
  <c r="N1429" i="1"/>
  <c r="M1429" i="1"/>
  <c r="O1428" i="1" a="1"/>
  <c r="O1428" i="1" s="1"/>
  <c r="N1428" i="1"/>
  <c r="M1428" i="1"/>
  <c r="O1427" i="1" a="1"/>
  <c r="O1427" i="1" s="1"/>
  <c r="N1427" i="1"/>
  <c r="M1427" i="1"/>
  <c r="O1426" i="1" a="1"/>
  <c r="O1426" i="1" s="1"/>
  <c r="N1426" i="1"/>
  <c r="M1426" i="1"/>
  <c r="O1425" i="1" a="1"/>
  <c r="O1425" i="1" s="1"/>
  <c r="N1425" i="1"/>
  <c r="M1425" i="1"/>
  <c r="O1424" i="1" a="1"/>
  <c r="O1424" i="1" s="1"/>
  <c r="N1424" i="1"/>
  <c r="M1424" i="1"/>
  <c r="O1423" i="1" a="1"/>
  <c r="O1423" i="1" s="1"/>
  <c r="N1423" i="1"/>
  <c r="M1423" i="1"/>
  <c r="O1422" i="1" a="1"/>
  <c r="O1422" i="1" s="1"/>
  <c r="N1422" i="1"/>
  <c r="M1422" i="1"/>
  <c r="O1421" i="1" a="1"/>
  <c r="O1421" i="1" s="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a="1"/>
  <c r="O1414" i="1" s="1"/>
  <c r="N1414" i="1"/>
  <c r="M1414" i="1"/>
  <c r="O1413" i="1" a="1"/>
  <c r="O1413" i="1" s="1"/>
  <c r="N1413" i="1"/>
  <c r="M1413" i="1"/>
  <c r="O1412" i="1" a="1"/>
  <c r="O1412" i="1" s="1"/>
  <c r="N1412" i="1"/>
  <c r="M1412" i="1"/>
  <c r="O1411" i="1" a="1"/>
  <c r="O1411" i="1" s="1"/>
  <c r="N1411" i="1"/>
  <c r="M1411" i="1"/>
  <c r="O1410" i="1" a="1"/>
  <c r="O1410" i="1" s="1"/>
  <c r="N1410" i="1"/>
  <c r="M1410" i="1"/>
  <c r="O1409" i="1" a="1"/>
  <c r="O1409" i="1" s="1"/>
  <c r="N1409" i="1"/>
  <c r="M1409" i="1"/>
  <c r="O1408" i="1" a="1"/>
  <c r="O1408" i="1" s="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c r="O1401" i="1" a="1"/>
  <c r="N1401" i="1"/>
  <c r="M1401" i="1"/>
  <c r="O1400" i="1" a="1"/>
  <c r="O1400" i="1" s="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a="1"/>
  <c r="O1394" i="1" s="1"/>
  <c r="N1394" i="1"/>
  <c r="M1394" i="1"/>
  <c r="O1393" i="1" a="1"/>
  <c r="O1393" i="1" s="1"/>
  <c r="N1393" i="1"/>
  <c r="M1393" i="1"/>
  <c r="O1392" i="1" a="1"/>
  <c r="O1392" i="1" s="1"/>
  <c r="N1392" i="1"/>
  <c r="M1392" i="1"/>
  <c r="O1391" i="1" a="1"/>
  <c r="O1391" i="1" s="1"/>
  <c r="N1391" i="1"/>
  <c r="M1391" i="1"/>
  <c r="O1390" i="1" a="1"/>
  <c r="O1390" i="1" s="1"/>
  <c r="N1390" i="1"/>
  <c r="M1390" i="1"/>
  <c r="O1389" i="1" a="1"/>
  <c r="O1389" i="1" s="1"/>
  <c r="N1389" i="1"/>
  <c r="M1389" i="1"/>
  <c r="O1388" i="1"/>
  <c r="O1388" i="1" a="1"/>
  <c r="N1388" i="1"/>
  <c r="M1388" i="1"/>
  <c r="O1387" i="1" a="1"/>
  <c r="O1387" i="1" s="1"/>
  <c r="N1387" i="1"/>
  <c r="M1387" i="1"/>
  <c r="O1386" i="1" a="1"/>
  <c r="O1386" i="1" s="1"/>
  <c r="N1386" i="1"/>
  <c r="M1386" i="1"/>
  <c r="O1385" i="1" a="1"/>
  <c r="O1385" i="1" s="1"/>
  <c r="N1385" i="1"/>
  <c r="M1385" i="1"/>
  <c r="O1384" i="1"/>
  <c r="O1384" i="1" a="1"/>
  <c r="N1384" i="1"/>
  <c r="M1384" i="1"/>
  <c r="O1383" i="1" a="1"/>
  <c r="O1383" i="1" s="1"/>
  <c r="N1383" i="1"/>
  <c r="M1383" i="1"/>
  <c r="O1382" i="1"/>
  <c r="O1382" i="1" a="1"/>
  <c r="N1382" i="1"/>
  <c r="M1382" i="1"/>
  <c r="O1381" i="1" a="1"/>
  <c r="O1381" i="1" s="1"/>
  <c r="N1381" i="1"/>
  <c r="M1381" i="1"/>
  <c r="O1380" i="1" a="1"/>
  <c r="O1380" i="1" s="1"/>
  <c r="N1380" i="1"/>
  <c r="M1380" i="1"/>
  <c r="O1379" i="1" a="1"/>
  <c r="O1379" i="1" s="1"/>
  <c r="N1379" i="1"/>
  <c r="M1379" i="1"/>
  <c r="O1378" i="1" a="1"/>
  <c r="O1378" i="1" s="1"/>
  <c r="N1378" i="1"/>
  <c r="M1378" i="1"/>
  <c r="O1377" i="1" a="1"/>
  <c r="O1377" i="1" s="1"/>
  <c r="N1377" i="1"/>
  <c r="M1377" i="1"/>
  <c r="O1376" i="1" a="1"/>
  <c r="O1376" i="1" s="1"/>
  <c r="N1376" i="1"/>
  <c r="M1376" i="1"/>
  <c r="O1375" i="1" a="1"/>
  <c r="O1375" i="1" s="1"/>
  <c r="N1375" i="1"/>
  <c r="M1375" i="1"/>
  <c r="O1374" i="1" a="1"/>
  <c r="O1374" i="1" s="1"/>
  <c r="N1374" i="1"/>
  <c r="M1374" i="1"/>
  <c r="O1373" i="1" a="1"/>
  <c r="O1373" i="1" s="1"/>
  <c r="N1373" i="1"/>
  <c r="M1373" i="1"/>
  <c r="O1372" i="1" a="1"/>
  <c r="O1372" i="1" s="1"/>
  <c r="N1372" i="1"/>
  <c r="M1372" i="1"/>
  <c r="O1371" i="1" a="1"/>
  <c r="O1371" i="1" s="1"/>
  <c r="N1371" i="1"/>
  <c r="M1371" i="1"/>
  <c r="O1370" i="1" a="1"/>
  <c r="O1370" i="1" s="1"/>
  <c r="N1370" i="1"/>
  <c r="M1370" i="1"/>
  <c r="O1369" i="1" a="1"/>
  <c r="O1369" i="1" s="1"/>
  <c r="N1369" i="1"/>
  <c r="M1369" i="1"/>
  <c r="O1368" i="1" a="1"/>
  <c r="O1368" i="1" s="1"/>
  <c r="N1368" i="1"/>
  <c r="M1368" i="1"/>
  <c r="O1367" i="1" a="1"/>
  <c r="O1367" i="1" s="1"/>
  <c r="N1367" i="1"/>
  <c r="M1367" i="1"/>
  <c r="O1366" i="1" a="1"/>
  <c r="O1366" i="1" s="1"/>
  <c r="N1366" i="1"/>
  <c r="M1366" i="1"/>
  <c r="O1365" i="1" a="1"/>
  <c r="O1365" i="1" s="1"/>
  <c r="N1365" i="1"/>
  <c r="M1365" i="1"/>
  <c r="O1364" i="1" a="1"/>
  <c r="O1364" i="1" s="1"/>
  <c r="N1364" i="1"/>
  <c r="M1364" i="1"/>
  <c r="O1363" i="1" a="1"/>
  <c r="O1363" i="1" s="1"/>
  <c r="N1363" i="1"/>
  <c r="M1363" i="1"/>
  <c r="O1362" i="1" a="1"/>
  <c r="O1362" i="1" s="1"/>
  <c r="N1362" i="1"/>
  <c r="M1362" i="1"/>
  <c r="O1361" i="1" a="1"/>
  <c r="O1361" i="1" s="1"/>
  <c r="N1361" i="1"/>
  <c r="M1361" i="1"/>
  <c r="O1360" i="1" a="1"/>
  <c r="O1360" i="1" s="1"/>
  <c r="N1360" i="1"/>
  <c r="M1360" i="1"/>
  <c r="O1359" i="1" a="1"/>
  <c r="O1359" i="1" s="1"/>
  <c r="N1359" i="1"/>
  <c r="M1359" i="1"/>
  <c r="O1358" i="1" a="1"/>
  <c r="O1358" i="1" s="1"/>
  <c r="N1358" i="1"/>
  <c r="M1358" i="1"/>
  <c r="O1357" i="1" a="1"/>
  <c r="O1357" i="1" s="1"/>
  <c r="N1357" i="1"/>
  <c r="M1357" i="1"/>
  <c r="O1356" i="1" a="1"/>
  <c r="O1356" i="1" s="1"/>
  <c r="N1356" i="1"/>
  <c r="M1356" i="1"/>
  <c r="O1355" i="1" a="1"/>
  <c r="O1355" i="1" s="1"/>
  <c r="N1355" i="1"/>
  <c r="M1355" i="1"/>
  <c r="O1354" i="1" a="1"/>
  <c r="O1354" i="1" s="1"/>
  <c r="N1354" i="1"/>
  <c r="M1354" i="1"/>
  <c r="O1353" i="1" a="1"/>
  <c r="O1353" i="1" s="1"/>
  <c r="N1353" i="1"/>
  <c r="M1353" i="1"/>
  <c r="O1352" i="1" a="1"/>
  <c r="O1352" i="1" s="1"/>
  <c r="N1352" i="1"/>
  <c r="M1352" i="1"/>
  <c r="O1351" i="1" a="1"/>
  <c r="O1351" i="1" s="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a="1"/>
  <c r="O1344" i="1" s="1"/>
  <c r="N1344" i="1"/>
  <c r="M1344" i="1"/>
  <c r="O1343" i="1" a="1"/>
  <c r="O1343" i="1" s="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a="1"/>
  <c r="O1337" i="1" s="1"/>
  <c r="N1337" i="1"/>
  <c r="M1337" i="1"/>
  <c r="O1336" i="1"/>
  <c r="O1336" i="1" a="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a="1"/>
  <c r="O1330" i="1" s="1"/>
  <c r="N1330" i="1"/>
  <c r="M1330" i="1"/>
  <c r="O1329" i="1" a="1"/>
  <c r="O1329" i="1" s="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a="1"/>
  <c r="O1323" i="1" s="1"/>
  <c r="N1323" i="1"/>
  <c r="M1323" i="1"/>
  <c r="O1322" i="1" a="1"/>
  <c r="O1322" i="1" s="1"/>
  <c r="N1322" i="1"/>
  <c r="M1322" i="1"/>
  <c r="O1321" i="1" a="1"/>
  <c r="O1321" i="1" s="1"/>
  <c r="N1321" i="1"/>
  <c r="M1321" i="1"/>
  <c r="O1320" i="1" a="1"/>
  <c r="O1320" i="1" s="1"/>
  <c r="N1320" i="1"/>
  <c r="M1320" i="1"/>
  <c r="O1319" i="1" a="1"/>
  <c r="O1319" i="1" s="1"/>
  <c r="N1319" i="1"/>
  <c r="M1319" i="1"/>
  <c r="O1318" i="1" a="1"/>
  <c r="O1318" i="1" s="1"/>
  <c r="N1318" i="1"/>
  <c r="M1318" i="1"/>
  <c r="O1317" i="1" a="1"/>
  <c r="O1317" i="1" s="1"/>
  <c r="N1317" i="1"/>
  <c r="M1317" i="1"/>
  <c r="O1316" i="1"/>
  <c r="O1316" i="1" a="1"/>
  <c r="N1316" i="1"/>
  <c r="M1316" i="1"/>
  <c r="O1315" i="1"/>
  <c r="O1315" i="1" a="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a="1"/>
  <c r="O1309" i="1" s="1"/>
  <c r="N1309" i="1"/>
  <c r="M1309" i="1"/>
  <c r="O1308" i="1" a="1"/>
  <c r="O1308" i="1" s="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a="1"/>
  <c r="O1302" i="1" s="1"/>
  <c r="N1302" i="1"/>
  <c r="M1302" i="1"/>
  <c r="O1301" i="1" a="1"/>
  <c r="O1301" i="1" s="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a="1"/>
  <c r="O1295" i="1" s="1"/>
  <c r="N1295" i="1"/>
  <c r="M1295" i="1"/>
  <c r="O1294" i="1" a="1"/>
  <c r="O1294" i="1" s="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c r="O1287" i="1" a="1"/>
  <c r="N1287" i="1"/>
  <c r="M1287" i="1"/>
  <c r="O1286" i="1" a="1"/>
  <c r="O1286" i="1" s="1"/>
  <c r="N1286" i="1"/>
  <c r="M1286" i="1"/>
  <c r="O1285" i="1" a="1"/>
  <c r="O1285" i="1" s="1"/>
  <c r="N1285" i="1"/>
  <c r="M1285" i="1"/>
  <c r="O1284" i="1" a="1"/>
  <c r="O1284" i="1" s="1"/>
  <c r="N1284" i="1"/>
  <c r="M1284" i="1"/>
  <c r="O1283" i="1" a="1"/>
  <c r="O1283" i="1" s="1"/>
  <c r="N1283" i="1"/>
  <c r="M1283" i="1"/>
  <c r="O1282" i="1" a="1"/>
  <c r="O1282" i="1" s="1"/>
  <c r="N1282" i="1"/>
  <c r="M1282" i="1"/>
  <c r="O1281" i="1"/>
  <c r="O1281" i="1" a="1"/>
  <c r="N1281" i="1"/>
  <c r="M1281" i="1"/>
  <c r="O1280" i="1" a="1"/>
  <c r="O1280" i="1" s="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a="1"/>
  <c r="O1274" i="1" s="1"/>
  <c r="N1274" i="1"/>
  <c r="M1274" i="1"/>
  <c r="O1273" i="1"/>
  <c r="O1273" i="1" a="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a="1"/>
  <c r="O1267" i="1" s="1"/>
  <c r="N1267" i="1"/>
  <c r="M1267" i="1"/>
  <c r="O1266" i="1" a="1"/>
  <c r="O1266" i="1" s="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c r="O1260" i="1" a="1"/>
  <c r="N1260" i="1"/>
  <c r="M1260" i="1"/>
  <c r="O1259" i="1" a="1"/>
  <c r="O1259" i="1" s="1"/>
  <c r="N1259" i="1"/>
  <c r="M1259" i="1"/>
  <c r="O1258" i="1" a="1"/>
  <c r="O1258" i="1" s="1"/>
  <c r="N1258" i="1"/>
  <c r="M1258" i="1"/>
  <c r="O1257" i="1" a="1"/>
  <c r="O1257" i="1" s="1"/>
  <c r="N1257" i="1"/>
  <c r="M1257" i="1"/>
  <c r="O1256" i="1" a="1"/>
  <c r="O1256" i="1" s="1"/>
  <c r="N1256" i="1"/>
  <c r="M1256" i="1"/>
  <c r="O1255" i="1"/>
  <c r="O1255" i="1" a="1"/>
  <c r="N1255" i="1"/>
  <c r="M1255" i="1"/>
  <c r="O1254" i="1" a="1"/>
  <c r="O1254" i="1" s="1"/>
  <c r="N1254" i="1"/>
  <c r="M1254" i="1"/>
  <c r="O1253" i="1"/>
  <c r="O1253" i="1" a="1"/>
  <c r="N1253" i="1"/>
  <c r="M1253" i="1"/>
  <c r="O1252" i="1" a="1"/>
  <c r="O1252" i="1" s="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a="1"/>
  <c r="O1246" i="1" s="1"/>
  <c r="N1246" i="1"/>
  <c r="M1246" i="1"/>
  <c r="O1245" i="1" a="1"/>
  <c r="O1245" i="1" s="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c r="O1239" i="1" a="1"/>
  <c r="N1239" i="1"/>
  <c r="M1239" i="1"/>
  <c r="O1238" i="1" a="1"/>
  <c r="O1238" i="1" s="1"/>
  <c r="N1238" i="1"/>
  <c r="M1238" i="1"/>
  <c r="O1237" i="1" a="1"/>
  <c r="O1237" i="1" s="1"/>
  <c r="N1237" i="1"/>
  <c r="M1237" i="1"/>
  <c r="O1236" i="1" a="1"/>
  <c r="O1236" i="1" s="1"/>
  <c r="N1236" i="1"/>
  <c r="M1236" i="1"/>
  <c r="O1235" i="1" a="1"/>
  <c r="O1235" i="1" s="1"/>
  <c r="N1235" i="1"/>
  <c r="M1235" i="1"/>
  <c r="O1234" i="1" a="1"/>
  <c r="O1234" i="1" s="1"/>
  <c r="N1234" i="1"/>
  <c r="M1234" i="1"/>
  <c r="O1233" i="1"/>
  <c r="O1233" i="1" a="1"/>
  <c r="N1233" i="1"/>
  <c r="M1233" i="1"/>
  <c r="O1232" i="1" a="1"/>
  <c r="O1232" i="1" s="1"/>
  <c r="N1232" i="1"/>
  <c r="M1232" i="1"/>
  <c r="O1231" i="1" a="1"/>
  <c r="O1231" i="1" s="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a="1"/>
  <c r="O1225" i="1" s="1"/>
  <c r="N1225" i="1"/>
  <c r="M1225" i="1"/>
  <c r="O1224" i="1" a="1"/>
  <c r="O1224" i="1" s="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a="1"/>
  <c r="O1218" i="1" s="1"/>
  <c r="N1218" i="1"/>
  <c r="M1218" i="1"/>
  <c r="O1217" i="1"/>
  <c r="O1217" i="1" a="1"/>
  <c r="N1217" i="1"/>
  <c r="M1217" i="1"/>
  <c r="O1216" i="1" a="1"/>
  <c r="O1216" i="1" s="1"/>
  <c r="N1216" i="1"/>
  <c r="M1216" i="1"/>
  <c r="O1215" i="1" a="1"/>
  <c r="O1215" i="1" s="1"/>
  <c r="N1215" i="1"/>
  <c r="M1215" i="1"/>
  <c r="O1214" i="1" a="1"/>
  <c r="O1214" i="1" s="1"/>
  <c r="N1214" i="1"/>
  <c r="M1214" i="1"/>
  <c r="O1213" i="1" a="1"/>
  <c r="O1213" i="1" s="1"/>
  <c r="N1213" i="1"/>
  <c r="M1213" i="1"/>
  <c r="O1212" i="1" a="1"/>
  <c r="O1212" i="1" s="1"/>
  <c r="N1212" i="1"/>
  <c r="M1212" i="1"/>
  <c r="O1211" i="1" a="1"/>
  <c r="O1211" i="1" s="1"/>
  <c r="N1211" i="1"/>
  <c r="M1211" i="1"/>
  <c r="O1210" i="1" a="1"/>
  <c r="O1210" i="1" s="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a="1"/>
  <c r="O1204" i="1" s="1"/>
  <c r="N1204" i="1"/>
  <c r="M1204" i="1"/>
  <c r="O1203" i="1" a="1"/>
  <c r="O1203" i="1" s="1"/>
  <c r="N1203" i="1"/>
  <c r="M1203" i="1"/>
  <c r="O1202" i="1" a="1"/>
  <c r="O1202" i="1" s="1"/>
  <c r="N1202" i="1"/>
  <c r="M1202" i="1"/>
  <c r="O1201" i="1" a="1"/>
  <c r="O1201" i="1" s="1"/>
  <c r="N1201" i="1"/>
  <c r="M1201" i="1"/>
  <c r="O1200" i="1" a="1"/>
  <c r="O1200" i="1" s="1"/>
  <c r="N1200" i="1"/>
  <c r="M1200" i="1"/>
  <c r="O1199" i="1" a="1"/>
  <c r="O1199" i="1" s="1"/>
  <c r="N1199" i="1"/>
  <c r="M1199" i="1"/>
  <c r="O1198" i="1" a="1"/>
  <c r="O1198" i="1" s="1"/>
  <c r="N1198" i="1"/>
  <c r="M1198" i="1"/>
  <c r="O1197" i="1" a="1"/>
  <c r="O1197" i="1" s="1"/>
  <c r="N1197" i="1"/>
  <c r="M1197" i="1"/>
  <c r="O1196" i="1" a="1"/>
  <c r="O1196" i="1" s="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c r="O1190" i="1" a="1"/>
  <c r="N1190" i="1"/>
  <c r="M1190" i="1"/>
  <c r="O1189" i="1" a="1"/>
  <c r="O1189" i="1" s="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a="1"/>
  <c r="O1183" i="1" s="1"/>
  <c r="N1183" i="1"/>
  <c r="M1183" i="1"/>
  <c r="O1182" i="1" a="1"/>
  <c r="O1182" i="1" s="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a="1"/>
  <c r="O1176" i="1" s="1"/>
  <c r="N1176" i="1"/>
  <c r="M1176" i="1"/>
  <c r="O1175" i="1" a="1"/>
  <c r="O1175" i="1" s="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a="1"/>
  <c r="O1169" i="1" s="1"/>
  <c r="N1169" i="1"/>
  <c r="M1169" i="1"/>
  <c r="O1168" i="1" a="1"/>
  <c r="O1168" i="1" s="1"/>
  <c r="N1168" i="1"/>
  <c r="M1168" i="1"/>
  <c r="O1167" i="1" a="1"/>
  <c r="O1167" i="1" s="1"/>
  <c r="N1167" i="1"/>
  <c r="M1167" i="1"/>
  <c r="O1166" i="1" a="1"/>
  <c r="O1166" i="1" s="1"/>
  <c r="N1166" i="1"/>
  <c r="M1166" i="1"/>
  <c r="O1165" i="1" a="1"/>
  <c r="O1165" i="1" s="1"/>
  <c r="N1165" i="1"/>
  <c r="M1165" i="1"/>
  <c r="O1164" i="1" a="1"/>
  <c r="O1164" i="1" s="1"/>
  <c r="N1164" i="1"/>
  <c r="M1164" i="1"/>
  <c r="O1163" i="1" a="1"/>
  <c r="O1163" i="1" s="1"/>
  <c r="N1163" i="1"/>
  <c r="M1163" i="1"/>
  <c r="O1162" i="1" a="1"/>
  <c r="O1162" i="1" s="1"/>
  <c r="N1162" i="1"/>
  <c r="M1162" i="1"/>
  <c r="O1161" i="1" a="1"/>
  <c r="O1161" i="1" s="1"/>
  <c r="N1161" i="1"/>
  <c r="M1161" i="1"/>
  <c r="O1160" i="1" a="1"/>
  <c r="O1160" i="1" s="1"/>
  <c r="N1160" i="1"/>
  <c r="M1160" i="1"/>
  <c r="O1159" i="1" a="1"/>
  <c r="O1159" i="1" s="1"/>
  <c r="N1159" i="1"/>
  <c r="M1159" i="1"/>
  <c r="O1158" i="1" a="1"/>
  <c r="O1158" i="1" s="1"/>
  <c r="N1158" i="1"/>
  <c r="M1158" i="1"/>
  <c r="O1157" i="1" a="1"/>
  <c r="O1157" i="1" s="1"/>
  <c r="N1157" i="1"/>
  <c r="M1157" i="1"/>
  <c r="O1156" i="1" a="1"/>
  <c r="O1156" i="1" s="1"/>
  <c r="N1156" i="1"/>
  <c r="M1156" i="1"/>
  <c r="O1155" i="1" a="1"/>
  <c r="O1155" i="1" s="1"/>
  <c r="N1155" i="1"/>
  <c r="M1155" i="1"/>
  <c r="O1154" i="1" a="1"/>
  <c r="O1154" i="1" s="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c r="O1148" i="1" a="1"/>
  <c r="N1148" i="1"/>
  <c r="M1148" i="1"/>
  <c r="O1147" i="1" a="1"/>
  <c r="O1147" i="1" s="1"/>
  <c r="N1147" i="1"/>
  <c r="M1147" i="1"/>
  <c r="O1146" i="1" a="1"/>
  <c r="O1146" i="1" s="1"/>
  <c r="N1146" i="1"/>
  <c r="M1146" i="1"/>
  <c r="O1145" i="1" a="1"/>
  <c r="O1145" i="1" s="1"/>
  <c r="N1145" i="1"/>
  <c r="M1145" i="1"/>
  <c r="O1144" i="1" a="1"/>
  <c r="O1144" i="1" s="1"/>
  <c r="N1144" i="1"/>
  <c r="M1144" i="1"/>
  <c r="O1143" i="1" a="1"/>
  <c r="O1143" i="1" s="1"/>
  <c r="N1143" i="1"/>
  <c r="M1143" i="1"/>
  <c r="O1142" i="1" a="1"/>
  <c r="O1142" i="1" s="1"/>
  <c r="N1142" i="1"/>
  <c r="M1142" i="1"/>
  <c r="O1141" i="1"/>
  <c r="O1141" i="1" a="1"/>
  <c r="N1141" i="1"/>
  <c r="M1141" i="1"/>
  <c r="O1140" i="1" a="1"/>
  <c r="O1140" i="1" s="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a="1"/>
  <c r="O1134" i="1" s="1"/>
  <c r="N1134" i="1"/>
  <c r="M1134" i="1"/>
  <c r="O1133" i="1"/>
  <c r="O1133" i="1" a="1"/>
  <c r="N1133" i="1"/>
  <c r="M1133" i="1"/>
  <c r="O1132" i="1" a="1"/>
  <c r="O1132" i="1" s="1"/>
  <c r="N1132" i="1"/>
  <c r="M1132" i="1"/>
  <c r="O1131" i="1" a="1"/>
  <c r="O1131" i="1" s="1"/>
  <c r="N1131" i="1"/>
  <c r="M1131" i="1"/>
  <c r="O1130" i="1" a="1"/>
  <c r="O1130" i="1" s="1"/>
  <c r="N1130" i="1"/>
  <c r="M1130" i="1"/>
  <c r="O1129" i="1" a="1"/>
  <c r="O1129" i="1" s="1"/>
  <c r="N1129" i="1"/>
  <c r="M1129" i="1"/>
  <c r="O1128" i="1" a="1"/>
  <c r="O1128" i="1" s="1"/>
  <c r="N1128" i="1"/>
  <c r="M1128" i="1"/>
  <c r="O1127" i="1" a="1"/>
  <c r="O1127" i="1" s="1"/>
  <c r="N1127" i="1"/>
  <c r="M1127" i="1"/>
  <c r="O1126" i="1"/>
  <c r="O1126" i="1" a="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c r="O1120" i="1" a="1"/>
  <c r="N1120" i="1"/>
  <c r="M1120" i="1"/>
  <c r="O1119" i="1" a="1"/>
  <c r="O1119" i="1" s="1"/>
  <c r="N1119" i="1"/>
  <c r="M1119" i="1"/>
  <c r="O1118" i="1" a="1"/>
  <c r="O1118" i="1" s="1"/>
  <c r="N1118" i="1"/>
  <c r="M1118" i="1"/>
  <c r="O1117" i="1" a="1"/>
  <c r="O1117" i="1" s="1"/>
  <c r="N1117" i="1"/>
  <c r="M1117" i="1"/>
  <c r="O1116" i="1" a="1"/>
  <c r="O1116" i="1" s="1"/>
  <c r="N1116" i="1"/>
  <c r="M1116" i="1"/>
  <c r="O1115" i="1" a="1"/>
  <c r="O1115" i="1" s="1"/>
  <c r="N1115" i="1"/>
  <c r="M1115" i="1"/>
  <c r="O1114" i="1" a="1"/>
  <c r="O1114" i="1" s="1"/>
  <c r="N1114" i="1"/>
  <c r="M1114" i="1"/>
  <c r="O1113" i="1" a="1"/>
  <c r="O1113" i="1" s="1"/>
  <c r="N1113" i="1"/>
  <c r="M1113" i="1"/>
  <c r="O1112" i="1"/>
  <c r="O1112" i="1" a="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a="1"/>
  <c r="O1106" i="1" s="1"/>
  <c r="N1106" i="1"/>
  <c r="M1106" i="1"/>
  <c r="O1105" i="1" a="1"/>
  <c r="O1105" i="1" s="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a="1"/>
  <c r="O1099" i="1" s="1"/>
  <c r="N1099" i="1"/>
  <c r="M1099" i="1"/>
  <c r="O1098" i="1" a="1"/>
  <c r="O1098" i="1" s="1"/>
  <c r="N1098" i="1"/>
  <c r="M1098" i="1"/>
  <c r="O1097" i="1" a="1"/>
  <c r="O1097" i="1" s="1"/>
  <c r="N1097" i="1"/>
  <c r="M1097" i="1"/>
  <c r="O1096" i="1" a="1"/>
  <c r="O1096" i="1" s="1"/>
  <c r="N1096" i="1"/>
  <c r="M1096" i="1"/>
  <c r="O1095" i="1" a="1"/>
  <c r="O1095" i="1" s="1"/>
  <c r="N1095" i="1"/>
  <c r="M1095" i="1"/>
  <c r="O1094" i="1" a="1"/>
  <c r="O1094" i="1" s="1"/>
  <c r="N1094" i="1"/>
  <c r="M1094" i="1"/>
  <c r="O1093" i="1" a="1"/>
  <c r="O1093" i="1" s="1"/>
  <c r="N1093" i="1"/>
  <c r="M1093" i="1"/>
  <c r="O1092" i="1" a="1"/>
  <c r="O1092" i="1" s="1"/>
  <c r="N1092" i="1"/>
  <c r="M1092" i="1"/>
  <c r="O1091" i="1" a="1"/>
  <c r="O1091" i="1" s="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a="1"/>
  <c r="O1085" i="1" s="1"/>
  <c r="N1085" i="1"/>
  <c r="M1085" i="1"/>
  <c r="O1084" i="1"/>
  <c r="O1084" i="1" a="1"/>
  <c r="N1084" i="1"/>
  <c r="M1084" i="1"/>
  <c r="O1083" i="1" a="1"/>
  <c r="O1083" i="1" s="1"/>
  <c r="N1083" i="1"/>
  <c r="M1083" i="1"/>
  <c r="O1082" i="1" a="1"/>
  <c r="O1082" i="1" s="1"/>
  <c r="N1082" i="1"/>
  <c r="M1082" i="1"/>
  <c r="O1081" i="1" a="1"/>
  <c r="O1081" i="1" s="1"/>
  <c r="N1081" i="1"/>
  <c r="M1081" i="1"/>
  <c r="O1080" i="1" a="1"/>
  <c r="O1080" i="1" s="1"/>
  <c r="N1080" i="1"/>
  <c r="M1080" i="1"/>
  <c r="O1079" i="1" a="1"/>
  <c r="O1079" i="1" s="1"/>
  <c r="N1079" i="1"/>
  <c r="M1079" i="1"/>
  <c r="O1078" i="1" a="1"/>
  <c r="O1078" i="1" s="1"/>
  <c r="N1078" i="1"/>
  <c r="M1078" i="1"/>
  <c r="O1077" i="1"/>
  <c r="O1077" i="1" a="1"/>
  <c r="N1077" i="1"/>
  <c r="M1077" i="1"/>
  <c r="O1076" i="1" a="1"/>
  <c r="O1076" i="1" s="1"/>
  <c r="N1076" i="1"/>
  <c r="M1076" i="1"/>
  <c r="O1075" i="1" a="1"/>
  <c r="O1075" i="1" s="1"/>
  <c r="N1075" i="1"/>
  <c r="M1075" i="1"/>
  <c r="O1074" i="1" a="1"/>
  <c r="O1074" i="1" s="1"/>
  <c r="N1074" i="1"/>
  <c r="M1074" i="1"/>
  <c r="O1073" i="1" a="1"/>
  <c r="O1073" i="1" s="1"/>
  <c r="N1073" i="1"/>
  <c r="M1073" i="1"/>
  <c r="O1072" i="1" a="1"/>
  <c r="O1072" i="1" s="1"/>
  <c r="N1072" i="1"/>
  <c r="M1072" i="1"/>
  <c r="O1071" i="1"/>
  <c r="O1071" i="1" a="1"/>
  <c r="N1071" i="1"/>
  <c r="M1071" i="1"/>
  <c r="O1070" i="1" a="1"/>
  <c r="O1070" i="1" s="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a="1"/>
  <c r="O1064" i="1" s="1"/>
  <c r="N1064" i="1"/>
  <c r="M1064" i="1"/>
  <c r="O1063" i="1" a="1"/>
  <c r="O1063" i="1" s="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a="1"/>
  <c r="O1056" i="1" s="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a="1"/>
  <c r="O1049" i="1" s="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a="1"/>
  <c r="O1042" i="1" s="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c r="O1035" i="1" a="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a="1"/>
  <c r="O1028" i="1" s="1"/>
  <c r="N1028" i="1"/>
  <c r="M1028" i="1"/>
  <c r="O1027" i="1" a="1"/>
  <c r="O1027" i="1" s="1"/>
  <c r="N1027" i="1"/>
  <c r="M1027" i="1"/>
  <c r="O1026" i="1" a="1"/>
  <c r="O1026" i="1" s="1"/>
  <c r="N1026" i="1"/>
  <c r="M1026" i="1"/>
  <c r="O1025" i="1" a="1"/>
  <c r="O1025" i="1" s="1"/>
  <c r="N1025" i="1"/>
  <c r="M1025" i="1"/>
  <c r="O1024" i="1" a="1"/>
  <c r="O1024" i="1" s="1"/>
  <c r="N1024" i="1"/>
  <c r="M1024" i="1"/>
  <c r="O1023" i="1" a="1"/>
  <c r="O1023" i="1" s="1"/>
  <c r="N1023" i="1"/>
  <c r="M1023" i="1"/>
  <c r="O1022" i="1" a="1"/>
  <c r="O1022" i="1" s="1"/>
  <c r="N1022" i="1"/>
  <c r="M1022" i="1"/>
  <c r="O1021" i="1" a="1"/>
  <c r="O1021" i="1" s="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c r="O1014" i="1" a="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a="1"/>
  <c r="O1002" i="1" s="1"/>
  <c r="N1002" i="1"/>
  <c r="M1002" i="1"/>
  <c r="O1001" i="1" a="1"/>
  <c r="O1001" i="1" s="1"/>
  <c r="N1001" i="1"/>
  <c r="M1001" i="1"/>
  <c r="O1000" i="1" a="1"/>
  <c r="O1000" i="1" s="1"/>
  <c r="N1000" i="1"/>
  <c r="M1000" i="1"/>
  <c r="O999" i="1" a="1"/>
  <c r="O999" i="1" s="1"/>
  <c r="N999" i="1"/>
  <c r="M999" i="1"/>
  <c r="O998" i="1" a="1"/>
  <c r="O998" i="1" s="1"/>
  <c r="N998" i="1"/>
  <c r="M998" i="1"/>
  <c r="O997" i="1" a="1"/>
  <c r="O997" i="1" s="1"/>
  <c r="N997" i="1"/>
  <c r="M997" i="1"/>
  <c r="O996" i="1" a="1"/>
  <c r="O996" i="1" s="1"/>
  <c r="N996" i="1"/>
  <c r="M996" i="1"/>
  <c r="O995" i="1" a="1"/>
  <c r="O995" i="1" s="1"/>
  <c r="N995" i="1"/>
  <c r="M995" i="1"/>
  <c r="O994" i="1" a="1"/>
  <c r="O994" i="1" s="1"/>
  <c r="N994" i="1"/>
  <c r="M994" i="1"/>
  <c r="O993" i="1" a="1"/>
  <c r="O993" i="1" s="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a="1"/>
  <c r="O986" i="1" s="1"/>
  <c r="N986" i="1"/>
  <c r="M986" i="1"/>
  <c r="O985" i="1" a="1"/>
  <c r="O985" i="1" s="1"/>
  <c r="N985" i="1"/>
  <c r="M985" i="1"/>
  <c r="O984" i="1" a="1"/>
  <c r="O984" i="1" s="1"/>
  <c r="N984" i="1"/>
  <c r="M984" i="1"/>
  <c r="O983" i="1" a="1"/>
  <c r="O983" i="1" s="1"/>
  <c r="N983" i="1"/>
  <c r="M983" i="1"/>
  <c r="O982" i="1" a="1"/>
  <c r="O982" i="1" s="1"/>
  <c r="N982" i="1"/>
  <c r="M982" i="1"/>
  <c r="O981" i="1"/>
  <c r="O981" i="1" a="1"/>
  <c r="N981" i="1"/>
  <c r="M981" i="1"/>
  <c r="O980" i="1" a="1"/>
  <c r="O980" i="1" s="1"/>
  <c r="N980" i="1"/>
  <c r="M980" i="1"/>
  <c r="O979" i="1" a="1"/>
  <c r="O979" i="1" s="1"/>
  <c r="N979" i="1"/>
  <c r="M979" i="1"/>
  <c r="O978" i="1" a="1"/>
  <c r="O978" i="1" s="1"/>
  <c r="N978" i="1"/>
  <c r="M978" i="1"/>
  <c r="O977" i="1" a="1"/>
  <c r="O977" i="1" s="1"/>
  <c r="N977" i="1"/>
  <c r="M977" i="1"/>
  <c r="O976" i="1" a="1"/>
  <c r="O976" i="1" s="1"/>
  <c r="N976" i="1"/>
  <c r="M976" i="1"/>
  <c r="O975" i="1" a="1"/>
  <c r="O975" i="1" s="1"/>
  <c r="N975" i="1"/>
  <c r="M975" i="1"/>
  <c r="O974" i="1" a="1"/>
  <c r="O974" i="1" s="1"/>
  <c r="N974" i="1"/>
  <c r="M974" i="1"/>
  <c r="O973" i="1" a="1"/>
  <c r="O973" i="1" s="1"/>
  <c r="N973" i="1"/>
  <c r="M973" i="1"/>
  <c r="O972" i="1" a="1"/>
  <c r="O972" i="1" s="1"/>
  <c r="N972" i="1"/>
  <c r="M972" i="1"/>
  <c r="O971" i="1" a="1"/>
  <c r="O971" i="1" s="1"/>
  <c r="N971" i="1"/>
  <c r="M971" i="1"/>
  <c r="O970" i="1" a="1"/>
  <c r="O970" i="1" s="1"/>
  <c r="N970" i="1"/>
  <c r="M970" i="1"/>
  <c r="O969" i="1" a="1"/>
  <c r="O969" i="1" s="1"/>
  <c r="N969" i="1"/>
  <c r="M969" i="1"/>
  <c r="O968" i="1"/>
  <c r="O968" i="1" a="1"/>
  <c r="N968" i="1"/>
  <c r="M968" i="1"/>
  <c r="O967" i="1" a="1"/>
  <c r="O967" i="1" s="1"/>
  <c r="N967" i="1"/>
  <c r="M967" i="1"/>
  <c r="O966" i="1" a="1"/>
  <c r="O966" i="1" s="1"/>
  <c r="N966" i="1"/>
  <c r="M966" i="1"/>
  <c r="O965" i="1" a="1"/>
  <c r="O965" i="1" s="1"/>
  <c r="N965" i="1"/>
  <c r="M965" i="1"/>
  <c r="O964" i="1" a="1"/>
  <c r="O964" i="1" s="1"/>
  <c r="N964" i="1"/>
  <c r="M964" i="1"/>
  <c r="O963" i="1" a="1"/>
  <c r="O963" i="1" s="1"/>
  <c r="N963" i="1"/>
  <c r="M963" i="1"/>
  <c r="O962" i="1" a="1"/>
  <c r="O962" i="1" s="1"/>
  <c r="N962" i="1"/>
  <c r="M962" i="1"/>
  <c r="O961" i="1" a="1"/>
  <c r="O961" i="1" s="1"/>
  <c r="N961" i="1"/>
  <c r="M961" i="1"/>
  <c r="O960" i="1" a="1"/>
  <c r="O960" i="1" s="1"/>
  <c r="N960" i="1"/>
  <c r="M960" i="1"/>
  <c r="O959" i="1" a="1"/>
  <c r="O959" i="1" s="1"/>
  <c r="N959" i="1"/>
  <c r="M959" i="1"/>
  <c r="O958" i="1"/>
  <c r="O958" i="1" a="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c r="O951" i="1" a="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a="1"/>
  <c r="O944" i="1" s="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a="1"/>
  <c r="O937" i="1" s="1"/>
  <c r="N937" i="1"/>
  <c r="M937" i="1"/>
  <c r="O936" i="1" a="1"/>
  <c r="O936" i="1" s="1"/>
  <c r="N936" i="1"/>
  <c r="M936" i="1"/>
  <c r="O935" i="1" a="1"/>
  <c r="O935" i="1" s="1"/>
  <c r="N935" i="1"/>
  <c r="M935" i="1"/>
  <c r="O934" i="1" a="1"/>
  <c r="O934" i="1" s="1"/>
  <c r="N934" i="1"/>
  <c r="M934" i="1"/>
  <c r="O933" i="1" a="1"/>
  <c r="O933" i="1" s="1"/>
  <c r="N933" i="1"/>
  <c r="M933" i="1"/>
  <c r="O932" i="1" a="1"/>
  <c r="O932" i="1" s="1"/>
  <c r="N932" i="1"/>
  <c r="M932" i="1"/>
  <c r="O931" i="1" a="1"/>
  <c r="O931" i="1" s="1"/>
  <c r="N931" i="1"/>
  <c r="M931" i="1"/>
  <c r="O930" i="1" a="1"/>
  <c r="O930" i="1" s="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c r="O923" i="1" a="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a="1"/>
  <c r="O916" i="1" s="1"/>
  <c r="N916" i="1"/>
  <c r="M916" i="1"/>
  <c r="O915" i="1" a="1"/>
  <c r="O915" i="1" s="1"/>
  <c r="N915" i="1"/>
  <c r="M915" i="1"/>
  <c r="O914" i="1" a="1"/>
  <c r="O914" i="1" s="1"/>
  <c r="N914" i="1"/>
  <c r="M914" i="1"/>
  <c r="O913" i="1" a="1"/>
  <c r="O913" i="1" s="1"/>
  <c r="N913" i="1"/>
  <c r="M913" i="1"/>
  <c r="O912" i="1" a="1"/>
  <c r="O912" i="1" s="1"/>
  <c r="N912" i="1"/>
  <c r="M912" i="1"/>
  <c r="O911" i="1" a="1"/>
  <c r="O911" i="1" s="1"/>
  <c r="N911" i="1"/>
  <c r="M911" i="1"/>
  <c r="O910" i="1" a="1"/>
  <c r="O910" i="1" s="1"/>
  <c r="N910" i="1"/>
  <c r="M910" i="1"/>
  <c r="O909" i="1" a="1"/>
  <c r="O909" i="1" s="1"/>
  <c r="N909" i="1"/>
  <c r="M909" i="1"/>
  <c r="O908" i="1" a="1"/>
  <c r="O908" i="1" s="1"/>
  <c r="N908" i="1"/>
  <c r="M908" i="1"/>
  <c r="O907" i="1" a="1"/>
  <c r="O907" i="1" s="1"/>
  <c r="N907" i="1"/>
  <c r="M907" i="1"/>
  <c r="O906" i="1" a="1"/>
  <c r="O906" i="1" s="1"/>
  <c r="N906" i="1"/>
  <c r="M906" i="1"/>
  <c r="O905" i="1" a="1"/>
  <c r="O905" i="1" s="1"/>
  <c r="N905" i="1"/>
  <c r="M905" i="1"/>
  <c r="O904" i="1" a="1"/>
  <c r="O904" i="1" s="1"/>
  <c r="N904" i="1"/>
  <c r="M904" i="1"/>
  <c r="O903" i="1" a="1"/>
  <c r="O903" i="1" s="1"/>
  <c r="N903" i="1"/>
  <c r="M903" i="1"/>
  <c r="O902" i="1" a="1"/>
  <c r="O902" i="1" s="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a="1"/>
  <c r="O896" i="1" s="1"/>
  <c r="N896" i="1"/>
  <c r="M896" i="1"/>
  <c r="O895" i="1"/>
  <c r="O895" i="1" a="1"/>
  <c r="N895" i="1"/>
  <c r="M895" i="1"/>
  <c r="O894" i="1" a="1"/>
  <c r="O894" i="1" s="1"/>
  <c r="N894" i="1"/>
  <c r="M894" i="1"/>
  <c r="O893" i="1" a="1"/>
  <c r="O893" i="1" s="1"/>
  <c r="N893" i="1"/>
  <c r="M893" i="1"/>
  <c r="O892" i="1" a="1"/>
  <c r="O892" i="1" s="1"/>
  <c r="N892" i="1"/>
  <c r="M892" i="1"/>
  <c r="O891" i="1" a="1"/>
  <c r="O891" i="1" s="1"/>
  <c r="N891" i="1"/>
  <c r="M891" i="1"/>
  <c r="O890" i="1" a="1"/>
  <c r="O890" i="1" s="1"/>
  <c r="N890" i="1"/>
  <c r="M890" i="1"/>
  <c r="O889" i="1" a="1"/>
  <c r="O889" i="1" s="1"/>
  <c r="N889" i="1"/>
  <c r="M889" i="1"/>
  <c r="O888" i="1" a="1"/>
  <c r="O888" i="1" s="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a="1"/>
  <c r="O881" i="1" s="1"/>
  <c r="N881" i="1"/>
  <c r="M881" i="1"/>
  <c r="O880" i="1" a="1"/>
  <c r="O880" i="1" s="1"/>
  <c r="N880" i="1"/>
  <c r="M880" i="1"/>
  <c r="O879" i="1" a="1"/>
  <c r="O879" i="1" s="1"/>
  <c r="N879" i="1"/>
  <c r="M879" i="1"/>
  <c r="O878" i="1" a="1"/>
  <c r="O878" i="1" s="1"/>
  <c r="N878" i="1"/>
  <c r="M878" i="1"/>
  <c r="O877" i="1" a="1"/>
  <c r="O877" i="1" s="1"/>
  <c r="N877" i="1"/>
  <c r="M877" i="1"/>
  <c r="O876" i="1" a="1"/>
  <c r="O876" i="1" s="1"/>
  <c r="N876" i="1"/>
  <c r="M876" i="1"/>
  <c r="O875" i="1" a="1"/>
  <c r="O875" i="1" s="1"/>
  <c r="N875" i="1"/>
  <c r="M875" i="1"/>
  <c r="O874" i="1" a="1"/>
  <c r="O874" i="1" s="1"/>
  <c r="N874" i="1"/>
  <c r="M874" i="1"/>
  <c r="O873" i="1" a="1"/>
  <c r="O873" i="1" s="1"/>
  <c r="N873" i="1"/>
  <c r="M873" i="1"/>
  <c r="O872" i="1" a="1"/>
  <c r="O872" i="1" s="1"/>
  <c r="N872" i="1"/>
  <c r="M872" i="1"/>
  <c r="O871" i="1" a="1"/>
  <c r="O871" i="1" s="1"/>
  <c r="N871" i="1"/>
  <c r="M871" i="1"/>
  <c r="O870" i="1" a="1"/>
  <c r="O870" i="1" s="1"/>
  <c r="N870" i="1"/>
  <c r="M870" i="1"/>
  <c r="O869" i="1" a="1"/>
  <c r="O869" i="1" s="1"/>
  <c r="N869" i="1"/>
  <c r="M869" i="1"/>
  <c r="O868" i="1" a="1"/>
  <c r="O868" i="1" s="1"/>
  <c r="N868" i="1"/>
  <c r="M868" i="1"/>
  <c r="O867" i="1" a="1"/>
  <c r="O867" i="1" s="1"/>
  <c r="N867" i="1"/>
  <c r="M867" i="1"/>
  <c r="O866" i="1" a="1"/>
  <c r="O866" i="1" s="1"/>
  <c r="N866" i="1"/>
  <c r="M866" i="1"/>
  <c r="O865" i="1" a="1"/>
  <c r="O865" i="1" s="1"/>
  <c r="N865" i="1"/>
  <c r="M865" i="1"/>
  <c r="O864" i="1"/>
  <c r="O864" i="1" a="1"/>
  <c r="N864" i="1"/>
  <c r="M864" i="1"/>
  <c r="O863" i="1" a="1"/>
  <c r="O863" i="1" s="1"/>
  <c r="N863" i="1"/>
  <c r="M863" i="1"/>
  <c r="O862" i="1" a="1"/>
  <c r="O862" i="1" s="1"/>
  <c r="N862" i="1"/>
  <c r="M862" i="1"/>
  <c r="O861" i="1" a="1"/>
  <c r="O861" i="1" s="1"/>
  <c r="N861" i="1"/>
  <c r="M861" i="1"/>
  <c r="O860" i="1" a="1"/>
  <c r="O860" i="1" s="1"/>
  <c r="N860" i="1"/>
  <c r="M860" i="1"/>
  <c r="O859" i="1" a="1"/>
  <c r="O859" i="1" s="1"/>
  <c r="N859" i="1"/>
  <c r="M859" i="1"/>
  <c r="O858" i="1" a="1"/>
  <c r="O858" i="1" s="1"/>
  <c r="N858" i="1"/>
  <c r="M858" i="1"/>
  <c r="O857" i="1" a="1"/>
  <c r="O857" i="1" s="1"/>
  <c r="N857" i="1"/>
  <c r="M857" i="1"/>
  <c r="O856" i="1" a="1"/>
  <c r="O856" i="1" s="1"/>
  <c r="N856" i="1"/>
  <c r="M856" i="1"/>
  <c r="O855" i="1" a="1"/>
  <c r="O855" i="1" s="1"/>
  <c r="N855" i="1"/>
  <c r="M855" i="1"/>
  <c r="O854" i="1" a="1"/>
  <c r="O854" i="1" s="1"/>
  <c r="N854" i="1"/>
  <c r="M854" i="1"/>
  <c r="O853" i="1"/>
  <c r="O853" i="1" a="1"/>
  <c r="N853" i="1"/>
  <c r="M853" i="1"/>
  <c r="O852" i="1" a="1"/>
  <c r="O852" i="1" s="1"/>
  <c r="N852" i="1"/>
  <c r="M852" i="1"/>
  <c r="O851" i="1" a="1"/>
  <c r="O851" i="1" s="1"/>
  <c r="N851" i="1"/>
  <c r="M851" i="1"/>
  <c r="O850" i="1" a="1"/>
  <c r="O850" i="1" s="1"/>
  <c r="N850" i="1"/>
  <c r="M850" i="1"/>
  <c r="O849" i="1" a="1"/>
  <c r="O849" i="1" s="1"/>
  <c r="N849" i="1"/>
  <c r="M849" i="1"/>
  <c r="O848" i="1" a="1"/>
  <c r="O848" i="1" s="1"/>
  <c r="N848" i="1"/>
  <c r="M848" i="1"/>
  <c r="O847" i="1" a="1"/>
  <c r="O847" i="1" s="1"/>
  <c r="N847" i="1"/>
  <c r="M847" i="1"/>
  <c r="O846" i="1" a="1"/>
  <c r="O846" i="1" s="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a="1"/>
  <c r="O839" i="1" s="1"/>
  <c r="N839" i="1"/>
  <c r="M839" i="1"/>
  <c r="O838" i="1" a="1"/>
  <c r="O838" i="1" s="1"/>
  <c r="N838" i="1"/>
  <c r="M838" i="1"/>
  <c r="O837" i="1" a="1"/>
  <c r="O837" i="1" s="1"/>
  <c r="N837" i="1"/>
  <c r="M837" i="1"/>
  <c r="O836" i="1" a="1"/>
  <c r="O836" i="1" s="1"/>
  <c r="N836" i="1"/>
  <c r="M836" i="1"/>
  <c r="O835" i="1" a="1"/>
  <c r="O835" i="1" s="1"/>
  <c r="N835" i="1"/>
  <c r="M835" i="1"/>
  <c r="O834" i="1" a="1"/>
  <c r="O834" i="1" s="1"/>
  <c r="N834" i="1"/>
  <c r="M834" i="1"/>
  <c r="O833" i="1" a="1"/>
  <c r="O833" i="1" s="1"/>
  <c r="N833" i="1"/>
  <c r="M833" i="1"/>
  <c r="O832" i="1" a="1"/>
  <c r="O832" i="1" s="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a="1"/>
  <c r="O825" i="1" s="1"/>
  <c r="N825" i="1"/>
  <c r="M825" i="1"/>
  <c r="O824" i="1" a="1"/>
  <c r="O824" i="1" s="1"/>
  <c r="N824" i="1"/>
  <c r="M824" i="1"/>
  <c r="O823" i="1" a="1"/>
  <c r="O823" i="1" s="1"/>
  <c r="N823" i="1"/>
  <c r="M823" i="1"/>
  <c r="O822" i="1" a="1"/>
  <c r="O822" i="1" s="1"/>
  <c r="N822" i="1"/>
  <c r="M822" i="1"/>
  <c r="O821" i="1" a="1"/>
  <c r="O821" i="1" s="1"/>
  <c r="N821" i="1"/>
  <c r="M821" i="1"/>
  <c r="O820" i="1" a="1"/>
  <c r="O820" i="1" s="1"/>
  <c r="N820" i="1"/>
  <c r="M820" i="1"/>
  <c r="O819" i="1" a="1"/>
  <c r="O819" i="1" s="1"/>
  <c r="N819" i="1"/>
  <c r="M819" i="1"/>
  <c r="O818" i="1"/>
  <c r="O818" i="1" a="1"/>
  <c r="N818" i="1"/>
  <c r="M818" i="1"/>
  <c r="O817" i="1" a="1"/>
  <c r="O817" i="1" s="1"/>
  <c r="N817" i="1"/>
  <c r="M817" i="1"/>
  <c r="O816" i="1"/>
  <c r="O816" i="1" a="1"/>
  <c r="N816" i="1"/>
  <c r="M816" i="1"/>
  <c r="O815" i="1" a="1"/>
  <c r="O815" i="1" s="1"/>
  <c r="N815" i="1"/>
  <c r="M815" i="1"/>
  <c r="O814" i="1"/>
  <c r="O814" i="1" a="1"/>
  <c r="N814" i="1"/>
  <c r="M814" i="1"/>
  <c r="O813" i="1" a="1"/>
  <c r="O813" i="1" s="1"/>
  <c r="N813" i="1"/>
  <c r="M813" i="1"/>
  <c r="O812" i="1" a="1"/>
  <c r="O812" i="1" s="1"/>
  <c r="N812" i="1"/>
  <c r="M812" i="1"/>
  <c r="O811" i="1" a="1"/>
  <c r="O811" i="1" s="1"/>
  <c r="N811" i="1"/>
  <c r="M811" i="1"/>
  <c r="O810" i="1" a="1"/>
  <c r="O810" i="1" s="1"/>
  <c r="N810" i="1"/>
  <c r="M810" i="1"/>
  <c r="O809" i="1" a="1"/>
  <c r="O809" i="1" s="1"/>
  <c r="N809" i="1"/>
  <c r="M809" i="1"/>
  <c r="O808" i="1" a="1"/>
  <c r="O808" i="1" s="1"/>
  <c r="N808" i="1"/>
  <c r="M808" i="1"/>
  <c r="O807" i="1" a="1"/>
  <c r="O807" i="1" s="1"/>
  <c r="N807" i="1"/>
  <c r="M807" i="1"/>
  <c r="O806" i="1" a="1"/>
  <c r="O806" i="1" s="1"/>
  <c r="N806" i="1"/>
  <c r="M806" i="1"/>
  <c r="O805" i="1" a="1"/>
  <c r="O805" i="1" s="1"/>
  <c r="N805" i="1"/>
  <c r="M805" i="1"/>
  <c r="O804" i="1" a="1"/>
  <c r="O804" i="1" s="1"/>
  <c r="N804" i="1"/>
  <c r="M804" i="1"/>
  <c r="O803" i="1" a="1"/>
  <c r="O803" i="1" s="1"/>
  <c r="N803" i="1"/>
  <c r="M803" i="1"/>
  <c r="O802" i="1" a="1"/>
  <c r="O802" i="1" s="1"/>
  <c r="N802" i="1"/>
  <c r="M802" i="1"/>
  <c r="O801" i="1" a="1"/>
  <c r="O801" i="1" s="1"/>
  <c r="N801" i="1"/>
  <c r="M801" i="1"/>
  <c r="O800" i="1" a="1"/>
  <c r="O800" i="1" s="1"/>
  <c r="N800" i="1"/>
  <c r="M800" i="1"/>
  <c r="O799" i="1" a="1"/>
  <c r="O799" i="1" s="1"/>
  <c r="N799" i="1"/>
  <c r="M799" i="1"/>
  <c r="O798" i="1" a="1"/>
  <c r="O798" i="1" s="1"/>
  <c r="N798" i="1"/>
  <c r="M798" i="1"/>
  <c r="O797" i="1" a="1"/>
  <c r="O797" i="1" s="1"/>
  <c r="N797" i="1"/>
  <c r="M797" i="1"/>
  <c r="O796" i="1" a="1"/>
  <c r="O796" i="1" s="1"/>
  <c r="N796" i="1"/>
  <c r="M796" i="1"/>
  <c r="O795" i="1" a="1"/>
  <c r="O795" i="1" s="1"/>
  <c r="N795" i="1"/>
  <c r="M795" i="1"/>
  <c r="O794" i="1" a="1"/>
  <c r="O794" i="1" s="1"/>
  <c r="N794" i="1"/>
  <c r="M794" i="1"/>
  <c r="O793" i="1" a="1"/>
  <c r="O793" i="1" s="1"/>
  <c r="N793" i="1"/>
  <c r="M793" i="1"/>
  <c r="O792" i="1" a="1"/>
  <c r="O792" i="1" s="1"/>
  <c r="N792" i="1"/>
  <c r="M792" i="1"/>
  <c r="O791" i="1"/>
  <c r="O791" i="1" a="1"/>
  <c r="N791" i="1"/>
  <c r="M791" i="1"/>
  <c r="O790" i="1"/>
  <c r="O790" i="1" a="1"/>
  <c r="N790" i="1"/>
  <c r="M790" i="1"/>
  <c r="O789" i="1" a="1"/>
  <c r="O789" i="1" s="1"/>
  <c r="N789" i="1"/>
  <c r="M789" i="1"/>
  <c r="O788" i="1" a="1"/>
  <c r="O788" i="1" s="1"/>
  <c r="N788" i="1"/>
  <c r="M788" i="1"/>
  <c r="O787" i="1" a="1"/>
  <c r="O787" i="1" s="1"/>
  <c r="N787" i="1"/>
  <c r="M787" i="1"/>
  <c r="O786" i="1" a="1"/>
  <c r="O786" i="1" s="1"/>
  <c r="N786" i="1"/>
  <c r="M786" i="1"/>
  <c r="O785" i="1" a="1"/>
  <c r="O785" i="1" s="1"/>
  <c r="N785" i="1"/>
  <c r="M785" i="1"/>
  <c r="O784" i="1" a="1"/>
  <c r="O784" i="1" s="1"/>
  <c r="N784" i="1"/>
  <c r="M784" i="1"/>
  <c r="O783" i="1" a="1"/>
  <c r="O783" i="1" s="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a="1"/>
  <c r="O776" i="1" s="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c r="O770" i="1" a="1"/>
  <c r="N770" i="1"/>
  <c r="M770" i="1"/>
  <c r="O769" i="1" a="1"/>
  <c r="O769" i="1" s="1"/>
  <c r="N769" i="1"/>
  <c r="M769" i="1"/>
  <c r="O768" i="1" a="1"/>
  <c r="O768" i="1" s="1"/>
  <c r="N768" i="1"/>
  <c r="M768" i="1"/>
  <c r="O767" i="1" a="1"/>
  <c r="O767" i="1" s="1"/>
  <c r="N767" i="1"/>
  <c r="M767" i="1"/>
  <c r="O766" i="1" a="1"/>
  <c r="O766" i="1" s="1"/>
  <c r="N766" i="1"/>
  <c r="M766" i="1"/>
  <c r="O765" i="1" a="1"/>
  <c r="O765" i="1" s="1"/>
  <c r="N765" i="1"/>
  <c r="M765" i="1"/>
  <c r="O764" i="1" a="1"/>
  <c r="O764" i="1" s="1"/>
  <c r="N764" i="1"/>
  <c r="M764" i="1"/>
  <c r="O763" i="1" a="1"/>
  <c r="O763" i="1" s="1"/>
  <c r="N763" i="1"/>
  <c r="M763" i="1"/>
  <c r="O762" i="1"/>
  <c r="O762" i="1" a="1"/>
  <c r="N762" i="1"/>
  <c r="M762" i="1"/>
  <c r="O761" i="1" a="1"/>
  <c r="O761" i="1" s="1"/>
  <c r="N761" i="1"/>
  <c r="M761" i="1"/>
  <c r="O760" i="1" a="1"/>
  <c r="O760" i="1" s="1"/>
  <c r="N760" i="1"/>
  <c r="M760" i="1"/>
  <c r="O759" i="1" a="1"/>
  <c r="O759" i="1" s="1"/>
  <c r="N759" i="1"/>
  <c r="M759" i="1"/>
  <c r="O758" i="1" a="1"/>
  <c r="O758" i="1" s="1"/>
  <c r="N758" i="1"/>
  <c r="M758" i="1"/>
  <c r="O757" i="1" a="1"/>
  <c r="O757" i="1" s="1"/>
  <c r="N757" i="1"/>
  <c r="M757" i="1"/>
  <c r="O756" i="1" a="1"/>
  <c r="O756" i="1" s="1"/>
  <c r="N756" i="1"/>
  <c r="M756" i="1"/>
  <c r="O755" i="1" a="1"/>
  <c r="O755" i="1" s="1"/>
  <c r="N755" i="1"/>
  <c r="M755" i="1"/>
  <c r="O754" i="1" a="1"/>
  <c r="O754" i="1" s="1"/>
  <c r="N754" i="1"/>
  <c r="M754" i="1"/>
  <c r="O753" i="1" a="1"/>
  <c r="O753" i="1" s="1"/>
  <c r="N753" i="1"/>
  <c r="M753" i="1"/>
  <c r="O752" i="1"/>
  <c r="O752" i="1" a="1"/>
  <c r="N752" i="1"/>
  <c r="M752" i="1"/>
  <c r="O751" i="1" a="1"/>
  <c r="O751" i="1" s="1"/>
  <c r="N751" i="1"/>
  <c r="M751" i="1"/>
  <c r="O750" i="1" a="1"/>
  <c r="O750" i="1" s="1"/>
  <c r="N750" i="1"/>
  <c r="M750" i="1"/>
  <c r="O749" i="1" a="1"/>
  <c r="O749" i="1" s="1"/>
  <c r="N749" i="1"/>
  <c r="M749" i="1"/>
  <c r="O748" i="1" a="1"/>
  <c r="O748" i="1" s="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a="1"/>
  <c r="O741" i="1" s="1"/>
  <c r="N741" i="1"/>
  <c r="M741" i="1"/>
  <c r="O740" i="1" a="1"/>
  <c r="O740" i="1" s="1"/>
  <c r="N740" i="1"/>
  <c r="M740" i="1"/>
  <c r="O739" i="1" a="1"/>
  <c r="O739" i="1" s="1"/>
  <c r="N739" i="1"/>
  <c r="M739" i="1"/>
  <c r="O738" i="1" a="1"/>
  <c r="O738" i="1" s="1"/>
  <c r="N738" i="1"/>
  <c r="M738" i="1"/>
  <c r="O737" i="1"/>
  <c r="O737" i="1" a="1"/>
  <c r="N737" i="1"/>
  <c r="M737" i="1"/>
  <c r="O736" i="1" a="1"/>
  <c r="O736" i="1" s="1"/>
  <c r="N736" i="1"/>
  <c r="M736" i="1"/>
  <c r="O735" i="1"/>
  <c r="O735" i="1" a="1"/>
  <c r="N735" i="1"/>
  <c r="M735" i="1"/>
  <c r="O734" i="1"/>
  <c r="O734" i="1" a="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a="1"/>
  <c r="O727" i="1" s="1"/>
  <c r="N727" i="1"/>
  <c r="M727" i="1"/>
  <c r="O726" i="1" a="1"/>
  <c r="O726" i="1" s="1"/>
  <c r="N726" i="1"/>
  <c r="M726" i="1"/>
  <c r="O725" i="1" a="1"/>
  <c r="O725" i="1" s="1"/>
  <c r="N725" i="1"/>
  <c r="M725" i="1"/>
  <c r="O724" i="1" a="1"/>
  <c r="O724" i="1" s="1"/>
  <c r="N724" i="1"/>
  <c r="M724" i="1"/>
  <c r="O723" i="1" a="1"/>
  <c r="O723" i="1" s="1"/>
  <c r="N723" i="1"/>
  <c r="M723" i="1"/>
  <c r="O722" i="1" a="1"/>
  <c r="O722" i="1" s="1"/>
  <c r="N722" i="1"/>
  <c r="M722" i="1"/>
  <c r="O721" i="1" a="1"/>
  <c r="O721" i="1" s="1"/>
  <c r="N721" i="1"/>
  <c r="M721" i="1"/>
  <c r="O720" i="1" a="1"/>
  <c r="O720" i="1" s="1"/>
  <c r="N720" i="1"/>
  <c r="M720" i="1"/>
  <c r="O719" i="1" a="1"/>
  <c r="O719" i="1" s="1"/>
  <c r="N719" i="1"/>
  <c r="M719" i="1"/>
  <c r="O718" i="1" a="1"/>
  <c r="O718" i="1" s="1"/>
  <c r="N718" i="1"/>
  <c r="M718" i="1"/>
  <c r="O717" i="1" a="1"/>
  <c r="O717" i="1" s="1"/>
  <c r="N717" i="1"/>
  <c r="M717" i="1"/>
  <c r="O716" i="1" a="1"/>
  <c r="O716" i="1" s="1"/>
  <c r="N716" i="1"/>
  <c r="M716" i="1"/>
  <c r="O715" i="1" a="1"/>
  <c r="O715" i="1" s="1"/>
  <c r="N715" i="1"/>
  <c r="M715" i="1"/>
  <c r="O714" i="1" a="1"/>
  <c r="O714" i="1" s="1"/>
  <c r="N714" i="1"/>
  <c r="M714" i="1"/>
  <c r="O713" i="1"/>
  <c r="O713" i="1" a="1"/>
  <c r="N713" i="1"/>
  <c r="M713" i="1"/>
  <c r="O712" i="1" a="1"/>
  <c r="O712" i="1" s="1"/>
  <c r="N712" i="1"/>
  <c r="M712" i="1"/>
  <c r="O711" i="1" a="1"/>
  <c r="O711" i="1" s="1"/>
  <c r="N711" i="1"/>
  <c r="M711" i="1"/>
  <c r="O710" i="1" a="1"/>
  <c r="O710" i="1" s="1"/>
  <c r="N710" i="1"/>
  <c r="M710" i="1"/>
  <c r="O709" i="1" a="1"/>
  <c r="O709" i="1" s="1"/>
  <c r="N709" i="1"/>
  <c r="M709" i="1"/>
  <c r="O708" i="1" a="1"/>
  <c r="O708" i="1" s="1"/>
  <c r="N708" i="1"/>
  <c r="M708" i="1"/>
  <c r="O707" i="1" a="1"/>
  <c r="O707" i="1" s="1"/>
  <c r="N707" i="1"/>
  <c r="M707" i="1"/>
  <c r="O706" i="1" a="1"/>
  <c r="O706" i="1" s="1"/>
  <c r="N706" i="1"/>
  <c r="M706" i="1"/>
  <c r="O705" i="1" a="1"/>
  <c r="O705" i="1" s="1"/>
  <c r="N705" i="1"/>
  <c r="M705" i="1"/>
  <c r="O704" i="1" a="1"/>
  <c r="O704" i="1" s="1"/>
  <c r="N704" i="1"/>
  <c r="M704" i="1"/>
  <c r="O703" i="1" a="1"/>
  <c r="O703" i="1" s="1"/>
  <c r="N703" i="1"/>
  <c r="M703" i="1"/>
  <c r="O702" i="1" a="1"/>
  <c r="O702" i="1" s="1"/>
  <c r="N702" i="1"/>
  <c r="M702" i="1"/>
  <c r="O701" i="1" a="1"/>
  <c r="O701" i="1" s="1"/>
  <c r="N701" i="1"/>
  <c r="M701" i="1"/>
  <c r="O700" i="1" a="1"/>
  <c r="O700" i="1" s="1"/>
  <c r="N700" i="1"/>
  <c r="M700" i="1"/>
  <c r="O699" i="1"/>
  <c r="O699" i="1" a="1"/>
  <c r="N699" i="1"/>
  <c r="M699" i="1"/>
  <c r="O698" i="1" a="1"/>
  <c r="O698" i="1" s="1"/>
  <c r="N698" i="1"/>
  <c r="M698" i="1"/>
  <c r="O697" i="1" a="1"/>
  <c r="O697" i="1" s="1"/>
  <c r="N697" i="1"/>
  <c r="M697" i="1"/>
  <c r="O696" i="1" a="1"/>
  <c r="O696" i="1" s="1"/>
  <c r="N696" i="1"/>
  <c r="M696" i="1"/>
  <c r="O695" i="1" a="1"/>
  <c r="O695" i="1" s="1"/>
  <c r="N695" i="1"/>
  <c r="M695" i="1"/>
  <c r="O694" i="1" a="1"/>
  <c r="O694" i="1" s="1"/>
  <c r="N694" i="1"/>
  <c r="M694" i="1"/>
  <c r="O693" i="1" a="1"/>
  <c r="O693" i="1" s="1"/>
  <c r="N693" i="1"/>
  <c r="M693" i="1"/>
  <c r="O692" i="1" a="1"/>
  <c r="O692" i="1" s="1"/>
  <c r="N692" i="1"/>
  <c r="M692" i="1"/>
  <c r="O691" i="1" a="1"/>
  <c r="O691" i="1" s="1"/>
  <c r="N691" i="1"/>
  <c r="M691" i="1"/>
  <c r="O690" i="1" a="1"/>
  <c r="O690" i="1" s="1"/>
  <c r="N690" i="1"/>
  <c r="M690" i="1"/>
  <c r="O689" i="1" a="1"/>
  <c r="O689" i="1" s="1"/>
  <c r="N689" i="1"/>
  <c r="M689" i="1"/>
  <c r="O688" i="1" a="1"/>
  <c r="O688" i="1" s="1"/>
  <c r="N688" i="1"/>
  <c r="M688" i="1"/>
  <c r="O687" i="1" a="1"/>
  <c r="O687" i="1" s="1"/>
  <c r="N687" i="1"/>
  <c r="M687" i="1"/>
  <c r="O686" i="1" a="1"/>
  <c r="O686" i="1" s="1"/>
  <c r="N686" i="1"/>
  <c r="M686" i="1"/>
  <c r="O685" i="1" a="1"/>
  <c r="O685" i="1" s="1"/>
  <c r="N685" i="1"/>
  <c r="M685" i="1"/>
  <c r="O684" i="1" a="1"/>
  <c r="O684" i="1" s="1"/>
  <c r="N684" i="1"/>
  <c r="M684" i="1"/>
  <c r="O683" i="1" a="1"/>
  <c r="O683" i="1" s="1"/>
  <c r="N683" i="1"/>
  <c r="M683" i="1"/>
  <c r="O682" i="1" a="1"/>
  <c r="O682" i="1" s="1"/>
  <c r="N682" i="1"/>
  <c r="M682" i="1"/>
  <c r="O681" i="1" a="1"/>
  <c r="O681" i="1" s="1"/>
  <c r="N681" i="1"/>
  <c r="M681" i="1"/>
  <c r="O680" i="1" a="1"/>
  <c r="O680" i="1" s="1"/>
  <c r="N680" i="1"/>
  <c r="M680" i="1"/>
  <c r="O679" i="1" a="1"/>
  <c r="O679" i="1" s="1"/>
  <c r="N679" i="1"/>
  <c r="M679" i="1"/>
  <c r="O678" i="1" a="1"/>
  <c r="O678" i="1" s="1"/>
  <c r="N678" i="1"/>
  <c r="M678" i="1"/>
  <c r="O677" i="1" a="1"/>
  <c r="O677" i="1" s="1"/>
  <c r="N677" i="1"/>
  <c r="M677" i="1"/>
  <c r="O676" i="1" a="1"/>
  <c r="O676" i="1" s="1"/>
  <c r="N676" i="1"/>
  <c r="M676" i="1"/>
  <c r="O675" i="1" a="1"/>
  <c r="O675" i="1" s="1"/>
  <c r="N675" i="1"/>
  <c r="M675" i="1"/>
  <c r="O674" i="1" a="1"/>
  <c r="O674" i="1" s="1"/>
  <c r="N674" i="1"/>
  <c r="M674" i="1"/>
  <c r="O673" i="1" a="1"/>
  <c r="O673" i="1" s="1"/>
  <c r="N673" i="1"/>
  <c r="M673" i="1"/>
  <c r="O672" i="1" a="1"/>
  <c r="O672" i="1" s="1"/>
  <c r="N672" i="1"/>
  <c r="M672" i="1"/>
  <c r="O671" i="1" a="1"/>
  <c r="O671" i="1" s="1"/>
  <c r="N671" i="1"/>
  <c r="M671" i="1"/>
  <c r="O670" i="1" a="1"/>
  <c r="O670" i="1" s="1"/>
  <c r="N670" i="1"/>
  <c r="M670" i="1"/>
  <c r="O669" i="1" a="1"/>
  <c r="O669" i="1" s="1"/>
  <c r="N669" i="1"/>
  <c r="M669" i="1"/>
  <c r="O668" i="1"/>
  <c r="O668" i="1" a="1"/>
  <c r="N668" i="1"/>
  <c r="M668" i="1"/>
  <c r="O667" i="1" a="1"/>
  <c r="O667" i="1" s="1"/>
  <c r="N667" i="1"/>
  <c r="M667" i="1"/>
  <c r="O666" i="1" a="1"/>
  <c r="O666" i="1" s="1"/>
  <c r="N666" i="1"/>
  <c r="M666" i="1"/>
  <c r="O665" i="1" a="1"/>
  <c r="O665" i="1" s="1"/>
  <c r="N665" i="1"/>
  <c r="M665" i="1"/>
  <c r="O664" i="1" a="1"/>
  <c r="O664" i="1" s="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a="1"/>
  <c r="O658" i="1" s="1"/>
  <c r="N658" i="1"/>
  <c r="M658" i="1"/>
  <c r="O657" i="1"/>
  <c r="O657" i="1" a="1"/>
  <c r="N657" i="1"/>
  <c r="M657" i="1"/>
  <c r="O656" i="1" a="1"/>
  <c r="O656" i="1" s="1"/>
  <c r="N656" i="1"/>
  <c r="M656" i="1"/>
  <c r="O655" i="1" a="1"/>
  <c r="O655" i="1" s="1"/>
  <c r="N655" i="1"/>
  <c r="M655" i="1"/>
  <c r="O654" i="1" a="1"/>
  <c r="O654" i="1" s="1"/>
  <c r="N654" i="1"/>
  <c r="M654" i="1"/>
  <c r="O653" i="1" a="1"/>
  <c r="O653" i="1" s="1"/>
  <c r="N653" i="1"/>
  <c r="M653" i="1"/>
  <c r="O652" i="1"/>
  <c r="O652" i="1" a="1"/>
  <c r="N652" i="1"/>
  <c r="M652" i="1"/>
  <c r="O651" i="1" a="1"/>
  <c r="O651" i="1" s="1"/>
  <c r="N651" i="1"/>
  <c r="M651" i="1"/>
  <c r="O650" i="1" a="1"/>
  <c r="O650" i="1" s="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a="1"/>
  <c r="O643" i="1" s="1"/>
  <c r="N643" i="1"/>
  <c r="M643" i="1"/>
  <c r="O642" i="1" a="1"/>
  <c r="O642" i="1" s="1"/>
  <c r="N642" i="1"/>
  <c r="M642" i="1"/>
  <c r="O641" i="1" a="1"/>
  <c r="O641" i="1" s="1"/>
  <c r="N641" i="1"/>
  <c r="M641" i="1"/>
  <c r="O640" i="1" a="1"/>
  <c r="O640" i="1" s="1"/>
  <c r="N640" i="1"/>
  <c r="M640" i="1"/>
  <c r="O639" i="1" a="1"/>
  <c r="O639" i="1" s="1"/>
  <c r="N639" i="1"/>
  <c r="M639" i="1"/>
  <c r="O638" i="1" a="1"/>
  <c r="O638" i="1" s="1"/>
  <c r="N638" i="1"/>
  <c r="M638" i="1"/>
  <c r="O637" i="1" a="1"/>
  <c r="O637" i="1" s="1"/>
  <c r="N637" i="1"/>
  <c r="M637" i="1"/>
  <c r="O636" i="1" a="1"/>
  <c r="O636" i="1" s="1"/>
  <c r="N636" i="1"/>
  <c r="M636" i="1"/>
  <c r="O635" i="1" a="1"/>
  <c r="O635" i="1" s="1"/>
  <c r="N635" i="1"/>
  <c r="M635" i="1"/>
  <c r="O634" i="1" a="1"/>
  <c r="O634" i="1" s="1"/>
  <c r="N634" i="1"/>
  <c r="M634" i="1"/>
  <c r="O633" i="1" a="1"/>
  <c r="O633" i="1" s="1"/>
  <c r="N633" i="1"/>
  <c r="M633" i="1"/>
  <c r="O632" i="1" a="1"/>
  <c r="O632" i="1" s="1"/>
  <c r="N632" i="1"/>
  <c r="M632" i="1"/>
  <c r="O631" i="1" a="1"/>
  <c r="O631" i="1" s="1"/>
  <c r="N631" i="1"/>
  <c r="M631" i="1"/>
  <c r="O630" i="1" a="1"/>
  <c r="O630" i="1" s="1"/>
  <c r="N630" i="1"/>
  <c r="M630" i="1"/>
  <c r="O629" i="1"/>
  <c r="O629" i="1" a="1"/>
  <c r="N629" i="1"/>
  <c r="M629" i="1"/>
  <c r="O628" i="1" a="1"/>
  <c r="O628" i="1" s="1"/>
  <c r="N628" i="1"/>
  <c r="M628" i="1"/>
  <c r="O627" i="1" a="1"/>
  <c r="O627" i="1" s="1"/>
  <c r="N627" i="1"/>
  <c r="M627" i="1"/>
  <c r="O626" i="1" a="1"/>
  <c r="O626" i="1" s="1"/>
  <c r="N626" i="1"/>
  <c r="M626" i="1"/>
  <c r="O625" i="1" a="1"/>
  <c r="O625" i="1" s="1"/>
  <c r="N625" i="1"/>
  <c r="M625" i="1"/>
  <c r="O624" i="1" a="1"/>
  <c r="O624" i="1" s="1"/>
  <c r="N624" i="1"/>
  <c r="M624" i="1"/>
  <c r="O623" i="1" a="1"/>
  <c r="O623" i="1" s="1"/>
  <c r="N623" i="1"/>
  <c r="M623" i="1"/>
  <c r="O622" i="1"/>
  <c r="O622" i="1" a="1"/>
  <c r="N622" i="1"/>
  <c r="M622" i="1"/>
  <c r="O621" i="1" a="1"/>
  <c r="O621" i="1" s="1"/>
  <c r="N621" i="1"/>
  <c r="M621" i="1"/>
  <c r="O620" i="1" a="1"/>
  <c r="O620" i="1" s="1"/>
  <c r="N620" i="1"/>
  <c r="M620" i="1"/>
  <c r="O619" i="1" a="1"/>
  <c r="O619" i="1" s="1"/>
  <c r="N619" i="1"/>
  <c r="M619" i="1"/>
  <c r="O618" i="1" a="1"/>
  <c r="O618" i="1" s="1"/>
  <c r="N618" i="1"/>
  <c r="M618" i="1"/>
  <c r="O617" i="1" a="1"/>
  <c r="O617" i="1" s="1"/>
  <c r="N617" i="1"/>
  <c r="M617" i="1"/>
  <c r="O616" i="1" a="1"/>
  <c r="O616" i="1" s="1"/>
  <c r="N616" i="1"/>
  <c r="M616" i="1"/>
  <c r="O615" i="1" a="1"/>
  <c r="O615" i="1" s="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a="1"/>
  <c r="O608" i="1" s="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a="1"/>
  <c r="O601" i="1" s="1"/>
  <c r="N601" i="1"/>
  <c r="M601" i="1"/>
  <c r="O600" i="1" a="1"/>
  <c r="O600" i="1" s="1"/>
  <c r="N600" i="1"/>
  <c r="M600" i="1"/>
  <c r="O599" i="1" a="1"/>
  <c r="O599" i="1" s="1"/>
  <c r="N599" i="1"/>
  <c r="M599" i="1"/>
  <c r="O598" i="1"/>
  <c r="O598" i="1" a="1"/>
  <c r="N598" i="1"/>
  <c r="M598" i="1"/>
  <c r="O597" i="1" a="1"/>
  <c r="O597" i="1" s="1"/>
  <c r="N597" i="1"/>
  <c r="M597" i="1"/>
  <c r="O596" i="1" a="1"/>
  <c r="O596" i="1" s="1"/>
  <c r="N596" i="1"/>
  <c r="M596" i="1"/>
  <c r="O595" i="1" a="1"/>
  <c r="O595" i="1" s="1"/>
  <c r="N595" i="1"/>
  <c r="M595" i="1"/>
  <c r="O594" i="1" a="1"/>
  <c r="O594" i="1" s="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a="1"/>
  <c r="O587" i="1" s="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a="1"/>
  <c r="O581" i="1" s="1"/>
  <c r="N581" i="1"/>
  <c r="M581" i="1"/>
  <c r="O580" i="1" a="1"/>
  <c r="O580" i="1" s="1"/>
  <c r="N580" i="1"/>
  <c r="M580" i="1"/>
  <c r="O579" i="1" a="1"/>
  <c r="O579" i="1" s="1"/>
  <c r="N579" i="1"/>
  <c r="M579" i="1"/>
  <c r="O578" i="1" a="1"/>
  <c r="O578" i="1" s="1"/>
  <c r="N578" i="1"/>
  <c r="M578" i="1"/>
  <c r="O577" i="1" a="1"/>
  <c r="O577" i="1" s="1"/>
  <c r="N577" i="1"/>
  <c r="M577" i="1"/>
  <c r="O576" i="1" a="1"/>
  <c r="O576" i="1" s="1"/>
  <c r="N576" i="1"/>
  <c r="M576" i="1"/>
  <c r="O575" i="1" a="1"/>
  <c r="O575" i="1" s="1"/>
  <c r="N575" i="1"/>
  <c r="M575" i="1"/>
  <c r="O574" i="1" a="1"/>
  <c r="O574" i="1" s="1"/>
  <c r="N574" i="1"/>
  <c r="M574" i="1"/>
  <c r="O573" i="1" a="1"/>
  <c r="O573" i="1" s="1"/>
  <c r="N573" i="1"/>
  <c r="M573" i="1"/>
  <c r="O572" i="1" a="1"/>
  <c r="O572" i="1" s="1"/>
  <c r="N572" i="1"/>
  <c r="M572" i="1"/>
  <c r="O571" i="1" a="1"/>
  <c r="O571" i="1" s="1"/>
  <c r="N571" i="1"/>
  <c r="M571" i="1"/>
  <c r="O570" i="1" a="1"/>
  <c r="O570" i="1" s="1"/>
  <c r="N570" i="1"/>
  <c r="M570" i="1"/>
  <c r="O569" i="1" a="1"/>
  <c r="O569" i="1" s="1"/>
  <c r="N569" i="1"/>
  <c r="M569" i="1"/>
  <c r="O568" i="1" a="1"/>
  <c r="O568" i="1" s="1"/>
  <c r="N568" i="1"/>
  <c r="M568" i="1"/>
  <c r="O567" i="1" a="1"/>
  <c r="O567" i="1" s="1"/>
  <c r="N567" i="1"/>
  <c r="M567" i="1"/>
  <c r="O566" i="1" a="1"/>
  <c r="O566" i="1" s="1"/>
  <c r="N566" i="1"/>
  <c r="M566" i="1"/>
  <c r="O565" i="1" a="1"/>
  <c r="O565" i="1" s="1"/>
  <c r="N565" i="1"/>
  <c r="M565" i="1"/>
  <c r="O564" i="1" a="1"/>
  <c r="O564" i="1" s="1"/>
  <c r="N564" i="1"/>
  <c r="M564" i="1"/>
  <c r="O563" i="1" a="1"/>
  <c r="O563" i="1" s="1"/>
  <c r="N563" i="1"/>
  <c r="M563" i="1"/>
  <c r="O562" i="1" a="1"/>
  <c r="O562" i="1" s="1"/>
  <c r="N562" i="1"/>
  <c r="M562" i="1"/>
  <c r="O561" i="1" a="1"/>
  <c r="O561" i="1" s="1"/>
  <c r="N561" i="1"/>
  <c r="M561" i="1"/>
  <c r="O560" i="1" a="1"/>
  <c r="O560" i="1" s="1"/>
  <c r="N560" i="1"/>
  <c r="M560" i="1"/>
  <c r="O559" i="1" a="1"/>
  <c r="O559" i="1" s="1"/>
  <c r="N559" i="1"/>
  <c r="M559" i="1"/>
  <c r="O558" i="1" a="1"/>
  <c r="O558" i="1" s="1"/>
  <c r="N558" i="1"/>
  <c r="M558" i="1"/>
  <c r="O557" i="1" a="1"/>
  <c r="O557" i="1" s="1"/>
  <c r="N557" i="1"/>
  <c r="M557" i="1"/>
  <c r="O556" i="1" a="1"/>
  <c r="O556" i="1" s="1"/>
  <c r="N556" i="1"/>
  <c r="M556" i="1"/>
  <c r="O555" i="1" a="1"/>
  <c r="O555" i="1" s="1"/>
  <c r="N555" i="1"/>
  <c r="M555" i="1"/>
  <c r="O554" i="1" a="1"/>
  <c r="O554" i="1" s="1"/>
  <c r="N554" i="1"/>
  <c r="M554" i="1"/>
  <c r="O553" i="1" a="1"/>
  <c r="O553" i="1" s="1"/>
  <c r="N553" i="1"/>
  <c r="M553" i="1"/>
  <c r="O552" i="1" a="1"/>
  <c r="O552" i="1" s="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a="1"/>
  <c r="O545" i="1" s="1"/>
  <c r="N545" i="1"/>
  <c r="M545" i="1"/>
  <c r="O544" i="1" a="1"/>
  <c r="O544" i="1" s="1"/>
  <c r="N544" i="1"/>
  <c r="M544" i="1"/>
  <c r="O543" i="1" a="1"/>
  <c r="O543" i="1" s="1"/>
  <c r="N543" i="1"/>
  <c r="M543" i="1"/>
  <c r="O542" i="1" a="1"/>
  <c r="O542" i="1" s="1"/>
  <c r="N542" i="1"/>
  <c r="M542" i="1"/>
  <c r="O541" i="1" a="1"/>
  <c r="O541" i="1" s="1"/>
  <c r="N541" i="1"/>
  <c r="M541" i="1"/>
  <c r="O540" i="1" a="1"/>
  <c r="O540" i="1" s="1"/>
  <c r="N540" i="1"/>
  <c r="M540" i="1"/>
  <c r="O539" i="1" a="1"/>
  <c r="O539" i="1" s="1"/>
  <c r="N539" i="1"/>
  <c r="M539" i="1"/>
  <c r="O538" i="1" a="1"/>
  <c r="O538" i="1" s="1"/>
  <c r="N538" i="1"/>
  <c r="M538" i="1"/>
  <c r="O537" i="1" a="1"/>
  <c r="O537" i="1" s="1"/>
  <c r="N537" i="1"/>
  <c r="M537" i="1"/>
  <c r="O536" i="1" a="1"/>
  <c r="O536" i="1" s="1"/>
  <c r="N536" i="1"/>
  <c r="M536" i="1"/>
  <c r="O535" i="1" a="1"/>
  <c r="O535" i="1" s="1"/>
  <c r="N535" i="1"/>
  <c r="M535" i="1"/>
  <c r="O534" i="1" a="1"/>
  <c r="O534" i="1" s="1"/>
  <c r="N534" i="1"/>
  <c r="M534" i="1"/>
  <c r="O533" i="1" a="1"/>
  <c r="O533" i="1" s="1"/>
  <c r="N533" i="1"/>
  <c r="M533" i="1"/>
  <c r="O532" i="1" a="1"/>
  <c r="O532" i="1" s="1"/>
  <c r="N532" i="1"/>
  <c r="M532" i="1"/>
  <c r="O531" i="1" a="1"/>
  <c r="O531" i="1" s="1"/>
  <c r="N531" i="1"/>
  <c r="M531" i="1"/>
  <c r="O530" i="1" a="1"/>
  <c r="O530" i="1" s="1"/>
  <c r="N530" i="1"/>
  <c r="M530" i="1"/>
  <c r="O529" i="1" a="1"/>
  <c r="O529" i="1" s="1"/>
  <c r="N529" i="1"/>
  <c r="M529" i="1"/>
  <c r="O528" i="1" a="1"/>
  <c r="O528" i="1" s="1"/>
  <c r="N528" i="1"/>
  <c r="M528" i="1"/>
  <c r="O527" i="1" a="1"/>
  <c r="O527" i="1" s="1"/>
  <c r="N527" i="1"/>
  <c r="M527" i="1"/>
  <c r="O526" i="1"/>
  <c r="O526" i="1" a="1"/>
  <c r="N526" i="1"/>
  <c r="M526" i="1"/>
  <c r="O525" i="1" a="1"/>
  <c r="O525" i="1" s="1"/>
  <c r="N525" i="1"/>
  <c r="M525" i="1"/>
  <c r="O524" i="1" a="1"/>
  <c r="O524" i="1" s="1"/>
  <c r="N524" i="1"/>
  <c r="M524" i="1"/>
  <c r="O523" i="1" a="1"/>
  <c r="O523" i="1" s="1"/>
  <c r="N523" i="1"/>
  <c r="M523" i="1"/>
  <c r="O522" i="1" a="1"/>
  <c r="O522" i="1" s="1"/>
  <c r="N522" i="1"/>
  <c r="M522" i="1"/>
  <c r="O521" i="1" a="1"/>
  <c r="O521" i="1" s="1"/>
  <c r="N521" i="1"/>
  <c r="M521" i="1"/>
  <c r="O520" i="1" a="1"/>
  <c r="O520" i="1" s="1"/>
  <c r="N520" i="1"/>
  <c r="M520" i="1"/>
  <c r="O519" i="1" a="1"/>
  <c r="O519" i="1" s="1"/>
  <c r="N519" i="1"/>
  <c r="M519" i="1"/>
  <c r="O518" i="1" a="1"/>
  <c r="O518" i="1" s="1"/>
  <c r="N518" i="1"/>
  <c r="M518" i="1"/>
  <c r="O517" i="1" a="1"/>
  <c r="O517" i="1" s="1"/>
  <c r="N517" i="1"/>
  <c r="M517" i="1"/>
  <c r="O516" i="1" a="1"/>
  <c r="O516" i="1" s="1"/>
  <c r="N516" i="1"/>
  <c r="M516" i="1"/>
  <c r="O515" i="1" a="1"/>
  <c r="O515" i="1" s="1"/>
  <c r="N515" i="1"/>
  <c r="M515" i="1"/>
  <c r="O514" i="1" a="1"/>
  <c r="O514" i="1" s="1"/>
  <c r="N514" i="1"/>
  <c r="M514" i="1"/>
  <c r="O513" i="1" a="1"/>
  <c r="O513" i="1" s="1"/>
  <c r="N513" i="1"/>
  <c r="M513" i="1"/>
  <c r="O512" i="1" a="1"/>
  <c r="O512" i="1" s="1"/>
  <c r="N512" i="1"/>
  <c r="M512" i="1"/>
  <c r="O511" i="1" a="1"/>
  <c r="O511" i="1" s="1"/>
  <c r="N511" i="1"/>
  <c r="M511" i="1"/>
  <c r="O510" i="1" a="1"/>
  <c r="O510" i="1" s="1"/>
  <c r="N510" i="1"/>
  <c r="M510" i="1"/>
  <c r="O509" i="1" a="1"/>
  <c r="O509" i="1" s="1"/>
  <c r="N509" i="1"/>
  <c r="M509" i="1"/>
  <c r="O508" i="1" a="1"/>
  <c r="O508" i="1" s="1"/>
  <c r="N508" i="1"/>
  <c r="M508" i="1"/>
  <c r="O507" i="1" a="1"/>
  <c r="O507" i="1" s="1"/>
  <c r="N507" i="1"/>
  <c r="M507" i="1"/>
  <c r="O506" i="1" a="1"/>
  <c r="O506" i="1" s="1"/>
  <c r="N506" i="1"/>
  <c r="M506" i="1"/>
  <c r="O505" i="1" a="1"/>
  <c r="O505" i="1" s="1"/>
  <c r="N505" i="1"/>
  <c r="M505" i="1"/>
  <c r="O504" i="1" a="1"/>
  <c r="O504" i="1" s="1"/>
  <c r="N504" i="1"/>
  <c r="M504" i="1"/>
  <c r="O503" i="1" a="1"/>
  <c r="O503" i="1" s="1"/>
  <c r="N503" i="1"/>
  <c r="M503" i="1"/>
  <c r="O502" i="1" a="1"/>
  <c r="O502" i="1" s="1"/>
  <c r="N502" i="1"/>
  <c r="M502" i="1"/>
  <c r="O501" i="1" a="1"/>
  <c r="O501" i="1" s="1"/>
  <c r="N501" i="1"/>
  <c r="M501" i="1"/>
  <c r="O500" i="1" a="1"/>
  <c r="O500" i="1" s="1"/>
  <c r="N500" i="1"/>
  <c r="M500" i="1"/>
  <c r="O499" i="1" a="1"/>
  <c r="O499" i="1" s="1"/>
  <c r="N499" i="1"/>
  <c r="M499" i="1"/>
  <c r="O498" i="1" a="1"/>
  <c r="O498" i="1" s="1"/>
  <c r="N498" i="1"/>
  <c r="M498" i="1"/>
  <c r="O497" i="1" a="1"/>
  <c r="O497" i="1" s="1"/>
  <c r="N497" i="1"/>
  <c r="M497" i="1"/>
  <c r="O496" i="1" a="1"/>
  <c r="O496" i="1" s="1"/>
  <c r="N496" i="1"/>
  <c r="M496" i="1"/>
  <c r="O495" i="1" a="1"/>
  <c r="O495" i="1" s="1"/>
  <c r="N495" i="1"/>
  <c r="M495" i="1"/>
  <c r="O494" i="1" a="1"/>
  <c r="O494" i="1" s="1"/>
  <c r="N494" i="1"/>
  <c r="M494" i="1"/>
  <c r="O493" i="1" a="1"/>
  <c r="O493" i="1" s="1"/>
  <c r="N493" i="1"/>
  <c r="M493" i="1"/>
  <c r="O492" i="1" a="1"/>
  <c r="O492" i="1" s="1"/>
  <c r="N492" i="1"/>
  <c r="M492" i="1"/>
  <c r="O491" i="1" a="1"/>
  <c r="O491" i="1" s="1"/>
  <c r="N491" i="1"/>
  <c r="M491" i="1"/>
  <c r="O490" i="1" a="1"/>
  <c r="O490" i="1" s="1"/>
  <c r="N490" i="1"/>
  <c r="M490" i="1"/>
  <c r="O489" i="1" a="1"/>
  <c r="O489" i="1" s="1"/>
  <c r="N489" i="1"/>
  <c r="M489" i="1"/>
  <c r="O488" i="1" a="1"/>
  <c r="O488" i="1" s="1"/>
  <c r="N488" i="1"/>
  <c r="M488" i="1"/>
  <c r="O487" i="1" a="1"/>
  <c r="O487" i="1" s="1"/>
  <c r="N487" i="1"/>
  <c r="M487" i="1"/>
  <c r="O486" i="1" a="1"/>
  <c r="O486" i="1" s="1"/>
  <c r="N486" i="1"/>
  <c r="M486" i="1"/>
  <c r="O485" i="1" a="1"/>
  <c r="O485" i="1" s="1"/>
  <c r="N485" i="1"/>
  <c r="M485" i="1"/>
  <c r="O484" i="1" a="1"/>
  <c r="O484" i="1" s="1"/>
  <c r="N484" i="1"/>
  <c r="M484" i="1"/>
  <c r="O483" i="1"/>
  <c r="O483" i="1" a="1"/>
  <c r="N483" i="1"/>
  <c r="M483" i="1"/>
  <c r="O482" i="1" a="1"/>
  <c r="O482" i="1" s="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a="1"/>
  <c r="O476" i="1" s="1"/>
  <c r="N476" i="1"/>
  <c r="M476" i="1"/>
  <c r="O475" i="1" a="1"/>
  <c r="O475" i="1" s="1"/>
  <c r="N475" i="1"/>
  <c r="M475" i="1"/>
  <c r="O474" i="1" a="1"/>
  <c r="O474" i="1" s="1"/>
  <c r="N474" i="1"/>
  <c r="M474" i="1"/>
  <c r="O473" i="1" a="1"/>
  <c r="O473" i="1" s="1"/>
  <c r="N473" i="1"/>
  <c r="M473" i="1"/>
  <c r="O472" i="1"/>
  <c r="O472" i="1" a="1"/>
  <c r="N472" i="1"/>
  <c r="M472" i="1"/>
  <c r="O471" i="1" a="1"/>
  <c r="O471" i="1" s="1"/>
  <c r="N471" i="1"/>
  <c r="M471" i="1"/>
  <c r="O470" i="1" a="1"/>
  <c r="O470" i="1" s="1"/>
  <c r="N470" i="1"/>
  <c r="M470" i="1"/>
  <c r="O469" i="1" a="1"/>
  <c r="O469" i="1" s="1"/>
  <c r="N469" i="1"/>
  <c r="M469" i="1"/>
  <c r="O468" i="1" a="1"/>
  <c r="O468" i="1" s="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a="1"/>
  <c r="O461" i="1" s="1"/>
  <c r="N461" i="1"/>
  <c r="M461" i="1"/>
  <c r="O460" i="1" a="1"/>
  <c r="O460" i="1" s="1"/>
  <c r="N460" i="1"/>
  <c r="M460" i="1"/>
  <c r="O459" i="1" a="1"/>
  <c r="O459" i="1" s="1"/>
  <c r="N459" i="1"/>
  <c r="M459" i="1"/>
  <c r="O458" i="1" a="1"/>
  <c r="O458" i="1" s="1"/>
  <c r="N458" i="1"/>
  <c r="M458" i="1"/>
  <c r="O457" i="1" a="1"/>
  <c r="O457" i="1" s="1"/>
  <c r="N457" i="1"/>
  <c r="M457" i="1"/>
  <c r="O456" i="1" a="1"/>
  <c r="O456" i="1" s="1"/>
  <c r="N456" i="1"/>
  <c r="M456" i="1"/>
  <c r="O455" i="1" a="1"/>
  <c r="O455" i="1" s="1"/>
  <c r="N455" i="1"/>
  <c r="M455" i="1"/>
  <c r="O454" i="1" a="1"/>
  <c r="O454" i="1" s="1"/>
  <c r="N454" i="1"/>
  <c r="M454" i="1"/>
  <c r="O453" i="1" a="1"/>
  <c r="O453" i="1" s="1"/>
  <c r="N453" i="1"/>
  <c r="M453" i="1"/>
  <c r="O452" i="1" a="1"/>
  <c r="O452" i="1" s="1"/>
  <c r="N452" i="1"/>
  <c r="M452" i="1"/>
  <c r="O451" i="1" a="1"/>
  <c r="O451" i="1" s="1"/>
  <c r="N451" i="1"/>
  <c r="M451" i="1"/>
  <c r="O450" i="1" a="1"/>
  <c r="O450" i="1" s="1"/>
  <c r="N450" i="1"/>
  <c r="M450" i="1"/>
  <c r="O449" i="1" a="1"/>
  <c r="O449" i="1" s="1"/>
  <c r="N449" i="1"/>
  <c r="M449" i="1"/>
  <c r="O448" i="1" a="1"/>
  <c r="O448" i="1" s="1"/>
  <c r="N448" i="1"/>
  <c r="M448" i="1"/>
  <c r="O447" i="1" a="1"/>
  <c r="O447" i="1" s="1"/>
  <c r="N447" i="1"/>
  <c r="M447" i="1"/>
  <c r="O446" i="1" a="1"/>
  <c r="O446" i="1" s="1"/>
  <c r="N446" i="1"/>
  <c r="M446" i="1"/>
  <c r="O445" i="1" a="1"/>
  <c r="O445" i="1" s="1"/>
  <c r="N445" i="1"/>
  <c r="M445" i="1"/>
  <c r="O444" i="1" a="1"/>
  <c r="O444" i="1" s="1"/>
  <c r="N444" i="1"/>
  <c r="M444" i="1"/>
  <c r="O443" i="1" a="1"/>
  <c r="O443" i="1" s="1"/>
  <c r="N443" i="1"/>
  <c r="M443" i="1"/>
  <c r="O442" i="1" a="1"/>
  <c r="O442" i="1" s="1"/>
  <c r="N442" i="1"/>
  <c r="M442" i="1"/>
  <c r="O441" i="1" a="1"/>
  <c r="O441" i="1" s="1"/>
  <c r="N441" i="1"/>
  <c r="M441" i="1"/>
  <c r="O440" i="1" a="1"/>
  <c r="O440" i="1" s="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a="1"/>
  <c r="O433" i="1" s="1"/>
  <c r="N433" i="1"/>
  <c r="M433" i="1"/>
  <c r="O432" i="1" a="1"/>
  <c r="O432" i="1" s="1"/>
  <c r="N432" i="1"/>
  <c r="M432" i="1"/>
  <c r="O431" i="1" a="1"/>
  <c r="O431" i="1" s="1"/>
  <c r="N431" i="1"/>
  <c r="M431" i="1"/>
  <c r="O430" i="1" a="1"/>
  <c r="O430" i="1" s="1"/>
  <c r="N430" i="1"/>
  <c r="M430" i="1"/>
  <c r="O429" i="1" a="1"/>
  <c r="O429" i="1" s="1"/>
  <c r="N429" i="1"/>
  <c r="M429" i="1"/>
  <c r="O428" i="1" a="1"/>
  <c r="O428" i="1" s="1"/>
  <c r="N428" i="1"/>
  <c r="M428" i="1"/>
  <c r="O427" i="1" a="1"/>
  <c r="O427" i="1" s="1"/>
  <c r="N427" i="1"/>
  <c r="M427" i="1"/>
  <c r="O426" i="1" a="1"/>
  <c r="O426" i="1" s="1"/>
  <c r="N426" i="1"/>
  <c r="M426" i="1"/>
  <c r="O425" i="1" a="1"/>
  <c r="O425" i="1" s="1"/>
  <c r="N425" i="1"/>
  <c r="M425" i="1"/>
  <c r="O424" i="1" a="1"/>
  <c r="O424" i="1" s="1"/>
  <c r="N424" i="1"/>
  <c r="M424" i="1"/>
  <c r="O423" i="1" a="1"/>
  <c r="O423" i="1" s="1"/>
  <c r="N423" i="1"/>
  <c r="M423" i="1"/>
  <c r="O422" i="1" a="1"/>
  <c r="O422" i="1" s="1"/>
  <c r="N422" i="1"/>
  <c r="M422" i="1"/>
  <c r="O421" i="1" a="1"/>
  <c r="O421" i="1" s="1"/>
  <c r="N421" i="1"/>
  <c r="M421" i="1"/>
  <c r="O420" i="1"/>
  <c r="O420" i="1" a="1"/>
  <c r="N420" i="1"/>
  <c r="M420" i="1"/>
  <c r="O419" i="1"/>
  <c r="O419" i="1" a="1"/>
  <c r="N419" i="1"/>
  <c r="M419" i="1"/>
  <c r="O418" i="1" a="1"/>
  <c r="O418" i="1" s="1"/>
  <c r="N418" i="1"/>
  <c r="M418" i="1"/>
  <c r="O417" i="1" a="1"/>
  <c r="O417" i="1" s="1"/>
  <c r="N417" i="1"/>
  <c r="M417" i="1"/>
  <c r="O416" i="1" a="1"/>
  <c r="O416" i="1" s="1"/>
  <c r="N416" i="1"/>
  <c r="M416" i="1"/>
  <c r="O415" i="1" a="1"/>
  <c r="O415" i="1" s="1"/>
  <c r="N415" i="1"/>
  <c r="M415" i="1"/>
  <c r="O414" i="1" a="1"/>
  <c r="O414" i="1" s="1"/>
  <c r="N414" i="1"/>
  <c r="M414" i="1"/>
  <c r="O413" i="1" a="1"/>
  <c r="O413" i="1" s="1"/>
  <c r="N413" i="1"/>
  <c r="M413" i="1"/>
  <c r="O412" i="1" a="1"/>
  <c r="O412" i="1" s="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a="1"/>
  <c r="O405" i="1" s="1"/>
  <c r="N405" i="1"/>
  <c r="M405" i="1"/>
  <c r="O404" i="1" a="1"/>
  <c r="O404" i="1" s="1"/>
  <c r="N404" i="1"/>
  <c r="M404" i="1"/>
  <c r="O403" i="1" a="1"/>
  <c r="O403" i="1" s="1"/>
  <c r="N403" i="1"/>
  <c r="M403" i="1"/>
  <c r="O402" i="1" a="1"/>
  <c r="O402" i="1" s="1"/>
  <c r="N402" i="1"/>
  <c r="M402" i="1"/>
  <c r="O401" i="1" a="1"/>
  <c r="O401" i="1" s="1"/>
  <c r="N401" i="1"/>
  <c r="M401" i="1"/>
  <c r="O400" i="1" a="1"/>
  <c r="O400" i="1" s="1"/>
  <c r="N400" i="1"/>
  <c r="M400" i="1"/>
  <c r="O399" i="1" a="1"/>
  <c r="O399" i="1" s="1"/>
  <c r="N399" i="1"/>
  <c r="M399" i="1"/>
  <c r="O398" i="1" a="1"/>
  <c r="O398" i="1" s="1"/>
  <c r="N398" i="1"/>
  <c r="M398" i="1"/>
  <c r="O397" i="1" a="1"/>
  <c r="O397" i="1" s="1"/>
  <c r="N397" i="1"/>
  <c r="M397" i="1"/>
  <c r="O396" i="1" a="1"/>
  <c r="O396" i="1" s="1"/>
  <c r="N396" i="1"/>
  <c r="M396" i="1"/>
  <c r="O395" i="1" a="1"/>
  <c r="O395" i="1" s="1"/>
  <c r="N395" i="1"/>
  <c r="M395" i="1"/>
  <c r="O394" i="1" a="1"/>
  <c r="O394" i="1" s="1"/>
  <c r="N394" i="1"/>
  <c r="M394" i="1"/>
  <c r="O393" i="1" a="1"/>
  <c r="O393" i="1" s="1"/>
  <c r="N393" i="1"/>
  <c r="M393" i="1"/>
  <c r="O392" i="1" a="1"/>
  <c r="O392" i="1" s="1"/>
  <c r="N392" i="1"/>
  <c r="M392" i="1"/>
  <c r="O391" i="1"/>
  <c r="O391" i="1" a="1"/>
  <c r="N391" i="1"/>
  <c r="M391" i="1"/>
  <c r="O390" i="1" a="1"/>
  <c r="O390" i="1" s="1"/>
  <c r="N390" i="1"/>
  <c r="M390" i="1"/>
  <c r="O389" i="1" a="1"/>
  <c r="O389" i="1" s="1"/>
  <c r="N389" i="1"/>
  <c r="M389" i="1"/>
  <c r="O388" i="1" a="1"/>
  <c r="O388" i="1" s="1"/>
  <c r="N388" i="1"/>
  <c r="M388" i="1"/>
  <c r="O387" i="1" a="1"/>
  <c r="O387" i="1" s="1"/>
  <c r="N387" i="1"/>
  <c r="M387" i="1"/>
  <c r="O386" i="1" a="1"/>
  <c r="O386" i="1" s="1"/>
  <c r="N386" i="1"/>
  <c r="M386" i="1"/>
  <c r="O385" i="1" a="1"/>
  <c r="O385" i="1" s="1"/>
  <c r="N385" i="1"/>
  <c r="M385" i="1"/>
  <c r="O384" i="1" a="1"/>
  <c r="O384" i="1" s="1"/>
  <c r="N384" i="1"/>
  <c r="M384" i="1"/>
  <c r="O383" i="1" a="1"/>
  <c r="O383" i="1" s="1"/>
  <c r="N383" i="1"/>
  <c r="M383" i="1"/>
  <c r="O382" i="1" a="1"/>
  <c r="O382" i="1" s="1"/>
  <c r="N382" i="1"/>
  <c r="M382" i="1"/>
  <c r="O381" i="1" a="1"/>
  <c r="O381" i="1" s="1"/>
  <c r="N381" i="1"/>
  <c r="M381" i="1"/>
  <c r="O380" i="1" a="1"/>
  <c r="O380" i="1" s="1"/>
  <c r="N380" i="1"/>
  <c r="M380" i="1"/>
  <c r="O379" i="1" a="1"/>
  <c r="O379" i="1" s="1"/>
  <c r="N379" i="1"/>
  <c r="M379" i="1"/>
  <c r="O378" i="1" a="1"/>
  <c r="O378" i="1" s="1"/>
  <c r="N378" i="1"/>
  <c r="M378" i="1"/>
  <c r="O377" i="1" a="1"/>
  <c r="O377" i="1" s="1"/>
  <c r="N377" i="1"/>
  <c r="M377" i="1"/>
  <c r="O376" i="1" a="1"/>
  <c r="O376" i="1" s="1"/>
  <c r="N376" i="1"/>
  <c r="M376" i="1"/>
  <c r="O375" i="1" a="1"/>
  <c r="O375" i="1" s="1"/>
  <c r="N375" i="1"/>
  <c r="M375" i="1"/>
  <c r="O374" i="1" a="1"/>
  <c r="O374" i="1" s="1"/>
  <c r="N374" i="1"/>
  <c r="M374" i="1"/>
  <c r="O373" i="1" a="1"/>
  <c r="O373" i="1" s="1"/>
  <c r="N373" i="1"/>
  <c r="M373" i="1"/>
  <c r="O372" i="1" a="1"/>
  <c r="O372" i="1" s="1"/>
  <c r="N372" i="1"/>
  <c r="M372" i="1"/>
  <c r="O371" i="1" a="1"/>
  <c r="O371" i="1" s="1"/>
  <c r="N371" i="1"/>
  <c r="M371" i="1"/>
  <c r="O370" i="1" a="1"/>
  <c r="O370" i="1" s="1"/>
  <c r="N370" i="1"/>
  <c r="M370" i="1"/>
  <c r="O369" i="1" a="1"/>
  <c r="O369" i="1" s="1"/>
  <c r="N369" i="1"/>
  <c r="M369" i="1"/>
  <c r="O368" i="1" a="1"/>
  <c r="O368" i="1" s="1"/>
  <c r="N368" i="1"/>
  <c r="M368" i="1"/>
  <c r="O367" i="1" a="1"/>
  <c r="O367" i="1" s="1"/>
  <c r="N367" i="1"/>
  <c r="M367" i="1"/>
  <c r="O366" i="1" a="1"/>
  <c r="O366" i="1" s="1"/>
  <c r="N366" i="1"/>
  <c r="M366" i="1"/>
  <c r="O365" i="1" a="1"/>
  <c r="O365" i="1" s="1"/>
  <c r="N365" i="1"/>
  <c r="M365" i="1"/>
  <c r="O364" i="1" a="1"/>
  <c r="O364" i="1" s="1"/>
  <c r="N364" i="1"/>
  <c r="M364" i="1"/>
  <c r="O363" i="1"/>
  <c r="O363" i="1" a="1"/>
  <c r="N363" i="1"/>
  <c r="M363" i="1"/>
  <c r="O362" i="1" a="1"/>
  <c r="O362" i="1" s="1"/>
  <c r="N362" i="1"/>
  <c r="M362" i="1"/>
  <c r="O361" i="1" a="1"/>
  <c r="O361" i="1" s="1"/>
  <c r="N361" i="1"/>
  <c r="M361" i="1"/>
  <c r="O360" i="1" a="1"/>
  <c r="O360" i="1" s="1"/>
  <c r="N360" i="1"/>
  <c r="M360" i="1"/>
  <c r="O359" i="1" a="1"/>
  <c r="O359" i="1" s="1"/>
  <c r="N359" i="1"/>
  <c r="M359" i="1"/>
  <c r="O358" i="1" a="1"/>
  <c r="O358" i="1" s="1"/>
  <c r="N358" i="1"/>
  <c r="M358" i="1"/>
  <c r="O357" i="1" a="1"/>
  <c r="O357" i="1" s="1"/>
  <c r="N357" i="1"/>
  <c r="M357" i="1"/>
  <c r="O356" i="1" a="1"/>
  <c r="O356" i="1" s="1"/>
  <c r="N356" i="1"/>
  <c r="M356" i="1"/>
  <c r="O355" i="1" a="1"/>
  <c r="O355" i="1" s="1"/>
  <c r="N355" i="1"/>
  <c r="M355" i="1"/>
  <c r="O354" i="1" a="1"/>
  <c r="O354" i="1" s="1"/>
  <c r="N354" i="1"/>
  <c r="M354" i="1"/>
  <c r="O353" i="1" a="1"/>
  <c r="O353" i="1" s="1"/>
  <c r="N353" i="1"/>
  <c r="M353" i="1"/>
  <c r="O352" i="1" a="1"/>
  <c r="O352" i="1" s="1"/>
  <c r="N352" i="1"/>
  <c r="M352" i="1"/>
  <c r="O351" i="1" a="1"/>
  <c r="O351" i="1" s="1"/>
  <c r="N351" i="1"/>
  <c r="M351" i="1"/>
  <c r="O350" i="1" a="1"/>
  <c r="O350" i="1" s="1"/>
  <c r="N350" i="1"/>
  <c r="M350" i="1"/>
  <c r="O349" i="1" a="1"/>
  <c r="O349" i="1" s="1"/>
  <c r="N349" i="1"/>
  <c r="M349" i="1"/>
  <c r="O348" i="1" a="1"/>
  <c r="O348" i="1" s="1"/>
  <c r="N348" i="1"/>
  <c r="M348" i="1"/>
  <c r="O347" i="1" a="1"/>
  <c r="O347" i="1" s="1"/>
  <c r="N347" i="1"/>
  <c r="M347" i="1"/>
  <c r="O346" i="1" a="1"/>
  <c r="O346" i="1" s="1"/>
  <c r="N346" i="1"/>
  <c r="M346" i="1"/>
  <c r="O345" i="1" a="1"/>
  <c r="O345" i="1" s="1"/>
  <c r="N345" i="1"/>
  <c r="M345" i="1"/>
  <c r="O344" i="1" a="1"/>
  <c r="O344" i="1" s="1"/>
  <c r="N344" i="1"/>
  <c r="M344" i="1"/>
  <c r="O343" i="1" a="1"/>
  <c r="O343" i="1" s="1"/>
  <c r="N343" i="1"/>
  <c r="M343" i="1"/>
  <c r="O342" i="1" a="1"/>
  <c r="O342" i="1" s="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a="1"/>
  <c r="O336" i="1" s="1"/>
  <c r="N336" i="1"/>
  <c r="M336" i="1"/>
  <c r="O335" i="1" a="1"/>
  <c r="O335" i="1" s="1"/>
  <c r="N335" i="1"/>
  <c r="M335" i="1"/>
  <c r="O334" i="1" a="1"/>
  <c r="O334" i="1" s="1"/>
  <c r="N334" i="1"/>
  <c r="M334" i="1"/>
  <c r="O333" i="1" a="1"/>
  <c r="O333" i="1" s="1"/>
  <c r="N333" i="1"/>
  <c r="M333" i="1"/>
  <c r="O332" i="1" a="1"/>
  <c r="O332" i="1" s="1"/>
  <c r="N332" i="1"/>
  <c r="M332" i="1"/>
  <c r="O331" i="1" a="1"/>
  <c r="O331" i="1" s="1"/>
  <c r="N331" i="1"/>
  <c r="M331" i="1"/>
  <c r="O330" i="1" a="1"/>
  <c r="O330" i="1" s="1"/>
  <c r="N330" i="1"/>
  <c r="M330" i="1"/>
  <c r="O329" i="1" a="1"/>
  <c r="O329" i="1" s="1"/>
  <c r="N329" i="1"/>
  <c r="M329" i="1"/>
  <c r="O328" i="1" a="1"/>
  <c r="O328" i="1" s="1"/>
  <c r="N328" i="1"/>
  <c r="M328" i="1"/>
  <c r="O327" i="1" a="1"/>
  <c r="O327" i="1" s="1"/>
  <c r="N327" i="1"/>
  <c r="M327" i="1"/>
  <c r="O326" i="1" a="1"/>
  <c r="O326" i="1" s="1"/>
  <c r="N326" i="1"/>
  <c r="M326" i="1"/>
  <c r="O325" i="1" a="1"/>
  <c r="O325" i="1" s="1"/>
  <c r="N325" i="1"/>
  <c r="M325" i="1"/>
  <c r="O324" i="1" a="1"/>
  <c r="O324" i="1" s="1"/>
  <c r="N324" i="1"/>
  <c r="M324" i="1"/>
  <c r="O323" i="1" a="1"/>
  <c r="O323" i="1" s="1"/>
  <c r="N323" i="1"/>
  <c r="M323" i="1"/>
  <c r="O322" i="1" a="1"/>
  <c r="O322" i="1" s="1"/>
  <c r="N322" i="1"/>
  <c r="M322" i="1"/>
  <c r="O321" i="1" a="1"/>
  <c r="O321" i="1" s="1"/>
  <c r="N321" i="1"/>
  <c r="M321" i="1"/>
  <c r="O320" i="1"/>
  <c r="O320" i="1" a="1"/>
  <c r="N320" i="1"/>
  <c r="M320" i="1"/>
  <c r="O319" i="1" a="1"/>
  <c r="O319" i="1" s="1"/>
  <c r="N319" i="1"/>
  <c r="M319" i="1"/>
  <c r="O318" i="1" a="1"/>
  <c r="O318" i="1" s="1"/>
  <c r="N318" i="1"/>
  <c r="M318" i="1"/>
  <c r="O317" i="1" a="1"/>
  <c r="O317" i="1" s="1"/>
  <c r="N317" i="1"/>
  <c r="M317" i="1"/>
  <c r="O316" i="1" a="1"/>
  <c r="O316" i="1" s="1"/>
  <c r="N316" i="1"/>
  <c r="M316" i="1"/>
  <c r="O315" i="1" a="1"/>
  <c r="O315" i="1" s="1"/>
  <c r="N315" i="1"/>
  <c r="M315" i="1"/>
  <c r="O314" i="1" a="1"/>
  <c r="O314" i="1" s="1"/>
  <c r="N314" i="1"/>
  <c r="M314" i="1"/>
  <c r="O313" i="1" a="1"/>
  <c r="O313" i="1" s="1"/>
  <c r="N313" i="1"/>
  <c r="M313" i="1"/>
  <c r="O312" i="1" a="1"/>
  <c r="O312" i="1" s="1"/>
  <c r="N312" i="1"/>
  <c r="M312" i="1"/>
  <c r="O311" i="1" a="1"/>
  <c r="O311" i="1" s="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a="1"/>
  <c r="O304" i="1" s="1"/>
  <c r="N304" i="1"/>
  <c r="M304" i="1"/>
  <c r="O303" i="1" a="1"/>
  <c r="O303" i="1" s="1"/>
  <c r="N303" i="1"/>
  <c r="M303" i="1"/>
  <c r="O302" i="1" a="1"/>
  <c r="O302" i="1" s="1"/>
  <c r="N302" i="1"/>
  <c r="M302" i="1"/>
  <c r="O301" i="1" a="1"/>
  <c r="O301" i="1" s="1"/>
  <c r="N301" i="1"/>
  <c r="M301" i="1"/>
  <c r="O300" i="1" a="1"/>
  <c r="O300" i="1" s="1"/>
  <c r="N300" i="1"/>
  <c r="M300" i="1"/>
  <c r="O299" i="1" a="1"/>
  <c r="O299" i="1" s="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a="1"/>
  <c r="O293" i="1" s="1"/>
  <c r="N293" i="1"/>
  <c r="M293" i="1"/>
  <c r="O292" i="1" a="1"/>
  <c r="O292" i="1" s="1"/>
  <c r="N292" i="1"/>
  <c r="M292" i="1"/>
  <c r="O291" i="1" a="1"/>
  <c r="O291" i="1" s="1"/>
  <c r="N291" i="1"/>
  <c r="M291" i="1"/>
  <c r="O290" i="1" a="1"/>
  <c r="O290" i="1" s="1"/>
  <c r="N290" i="1"/>
  <c r="M290" i="1"/>
  <c r="O289" i="1" a="1"/>
  <c r="O289" i="1" s="1"/>
  <c r="N289" i="1"/>
  <c r="M289" i="1"/>
  <c r="O288" i="1" a="1"/>
  <c r="O288" i="1" s="1"/>
  <c r="N288" i="1"/>
  <c r="M288" i="1"/>
  <c r="O287" i="1" a="1"/>
  <c r="O287" i="1" s="1"/>
  <c r="N287" i="1"/>
  <c r="M287" i="1"/>
  <c r="O286" i="1" a="1"/>
  <c r="O286" i="1" s="1"/>
  <c r="N286" i="1"/>
  <c r="M286" i="1"/>
  <c r="O285" i="1" a="1"/>
  <c r="O285" i="1" s="1"/>
  <c r="N285" i="1"/>
  <c r="M285" i="1"/>
  <c r="O284" i="1" a="1"/>
  <c r="O284" i="1" s="1"/>
  <c r="N284" i="1"/>
  <c r="M284" i="1"/>
  <c r="O283" i="1" a="1"/>
  <c r="O283" i="1" s="1"/>
  <c r="N283" i="1"/>
  <c r="M283" i="1"/>
  <c r="O282" i="1" a="1"/>
  <c r="O282" i="1" s="1"/>
  <c r="N282" i="1"/>
  <c r="M282" i="1"/>
  <c r="O281" i="1" a="1"/>
  <c r="O281" i="1" s="1"/>
  <c r="N281" i="1"/>
  <c r="M281" i="1"/>
  <c r="O280" i="1" a="1"/>
  <c r="O280" i="1" s="1"/>
  <c r="N280" i="1"/>
  <c r="M280" i="1"/>
  <c r="O279" i="1" a="1"/>
  <c r="O279" i="1" s="1"/>
  <c r="N279" i="1"/>
  <c r="M279" i="1"/>
  <c r="O278" i="1" a="1"/>
  <c r="O278" i="1" s="1"/>
  <c r="N278" i="1"/>
  <c r="M278" i="1"/>
  <c r="O277" i="1" a="1"/>
  <c r="O277" i="1" s="1"/>
  <c r="N277" i="1"/>
  <c r="M277" i="1"/>
  <c r="O276" i="1" a="1"/>
  <c r="O276" i="1" s="1"/>
  <c r="N276" i="1"/>
  <c r="M276" i="1"/>
  <c r="O275" i="1" a="1"/>
  <c r="O275" i="1" s="1"/>
  <c r="N275" i="1"/>
  <c r="M275" i="1"/>
  <c r="O274" i="1" a="1"/>
  <c r="O274" i="1" s="1"/>
  <c r="N274" i="1"/>
  <c r="M274" i="1"/>
  <c r="O273" i="1" a="1"/>
  <c r="O273" i="1" s="1"/>
  <c r="N273" i="1"/>
  <c r="M273" i="1"/>
  <c r="O272" i="1" a="1"/>
  <c r="O272" i="1" s="1"/>
  <c r="N272" i="1"/>
  <c r="M272" i="1"/>
  <c r="O271" i="1" a="1"/>
  <c r="O271" i="1" s="1"/>
  <c r="N271" i="1"/>
  <c r="M271" i="1"/>
  <c r="O270" i="1" a="1"/>
  <c r="O270" i="1" s="1"/>
  <c r="N270" i="1"/>
  <c r="M270" i="1"/>
  <c r="O269" i="1" a="1"/>
  <c r="O269" i="1" s="1"/>
  <c r="N269" i="1"/>
  <c r="M269" i="1"/>
  <c r="O268" i="1" a="1"/>
  <c r="O268" i="1" s="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a="1"/>
  <c r="O262" i="1" s="1"/>
  <c r="N262" i="1"/>
  <c r="M262" i="1"/>
  <c r="O261" i="1" a="1"/>
  <c r="O261" i="1" s="1"/>
  <c r="N261" i="1"/>
  <c r="M261" i="1"/>
  <c r="O260" i="1" a="1"/>
  <c r="O260" i="1" s="1"/>
  <c r="N260" i="1"/>
  <c r="M260" i="1"/>
  <c r="O259" i="1" a="1"/>
  <c r="O259" i="1" s="1"/>
  <c r="N259" i="1"/>
  <c r="M259" i="1"/>
  <c r="O258" i="1" a="1"/>
  <c r="O258" i="1" s="1"/>
  <c r="N258" i="1"/>
  <c r="M258" i="1"/>
  <c r="O257" i="1" a="1"/>
  <c r="O257" i="1" s="1"/>
  <c r="N257" i="1"/>
  <c r="M257" i="1"/>
  <c r="O256" i="1" a="1"/>
  <c r="O256" i="1" s="1"/>
  <c r="N256" i="1"/>
  <c r="M256" i="1"/>
  <c r="O255" i="1" a="1"/>
  <c r="O255" i="1" s="1"/>
  <c r="N255" i="1"/>
  <c r="M255" i="1"/>
  <c r="O254" i="1" a="1"/>
  <c r="O254" i="1" s="1"/>
  <c r="N254" i="1"/>
  <c r="M254" i="1"/>
  <c r="O253" i="1" a="1"/>
  <c r="O253" i="1" s="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a="1"/>
  <c r="O237" i="1" s="1"/>
  <c r="N237" i="1"/>
  <c r="M237" i="1"/>
  <c r="O236" i="1" a="1"/>
  <c r="O236" i="1" s="1"/>
  <c r="N236" i="1"/>
  <c r="M236" i="1"/>
  <c r="O235" i="1" a="1"/>
  <c r="O235" i="1" s="1"/>
  <c r="N235" i="1"/>
  <c r="M235" i="1"/>
  <c r="O234" i="1" a="1"/>
  <c r="O234" i="1" s="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a="1"/>
  <c r="O220" i="1" s="1"/>
  <c r="N220" i="1"/>
  <c r="M220" i="1"/>
  <c r="O219" i="1" a="1"/>
  <c r="O219" i="1" s="1"/>
  <c r="N219" i="1"/>
  <c r="M219" i="1"/>
  <c r="O218" i="1" a="1"/>
  <c r="O218" i="1" s="1"/>
  <c r="N218" i="1"/>
  <c r="M218" i="1"/>
  <c r="O217" i="1" a="1"/>
  <c r="O217" i="1" s="1"/>
  <c r="N217" i="1"/>
  <c r="M217" i="1"/>
  <c r="O216" i="1" a="1"/>
  <c r="O216" i="1" s="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a="1"/>
  <c r="O205" i="1" s="1"/>
  <c r="N205" i="1"/>
  <c r="M205" i="1"/>
  <c r="O204" i="1"/>
  <c r="O204" i="1" a="1"/>
  <c r="N204" i="1"/>
  <c r="M204" i="1"/>
  <c r="O203" i="1" a="1"/>
  <c r="O203" i="1" s="1"/>
  <c r="N203" i="1"/>
  <c r="M203" i="1"/>
  <c r="O202" i="1" a="1"/>
  <c r="O202" i="1" s="1"/>
  <c r="N202" i="1"/>
  <c r="M202" i="1"/>
  <c r="O201" i="1" a="1"/>
  <c r="O201" i="1" s="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a="1"/>
  <c r="O195" i="1" s="1"/>
  <c r="N195" i="1"/>
  <c r="M195" i="1"/>
  <c r="O194" i="1" a="1"/>
  <c r="O194" i="1" s="1"/>
  <c r="N194" i="1"/>
  <c r="M194" i="1"/>
  <c r="O193" i="1" a="1"/>
  <c r="O193" i="1" s="1"/>
  <c r="N193" i="1"/>
  <c r="M193" i="1"/>
  <c r="O192" i="1" a="1"/>
  <c r="O192" i="1" s="1"/>
  <c r="N192" i="1"/>
  <c r="M192" i="1"/>
  <c r="O191" i="1" a="1"/>
  <c r="O191" i="1" s="1"/>
  <c r="N191" i="1"/>
  <c r="M191" i="1"/>
  <c r="O190" i="1" a="1"/>
  <c r="O190" i="1" s="1"/>
  <c r="N190" i="1"/>
  <c r="M190" i="1"/>
  <c r="O189" i="1" a="1"/>
  <c r="O189" i="1" s="1"/>
  <c r="N189" i="1"/>
  <c r="M189" i="1"/>
  <c r="O188" i="1" a="1"/>
  <c r="O188" i="1" s="1"/>
  <c r="N188" i="1"/>
  <c r="M188" i="1"/>
  <c r="O187" i="1" a="1"/>
  <c r="O187" i="1" s="1"/>
  <c r="N187" i="1"/>
  <c r="M187" i="1"/>
  <c r="O186" i="1" a="1"/>
  <c r="O186" i="1" s="1"/>
  <c r="N186" i="1"/>
  <c r="M186" i="1"/>
  <c r="O185" i="1" a="1"/>
  <c r="O185" i="1" s="1"/>
  <c r="N185" i="1"/>
  <c r="M185" i="1"/>
  <c r="O184" i="1" a="1"/>
  <c r="O184" i="1" s="1"/>
  <c r="N184" i="1"/>
  <c r="M184" i="1"/>
  <c r="O183" i="1" a="1"/>
  <c r="O183" i="1" s="1"/>
  <c r="N183" i="1"/>
  <c r="M183" i="1"/>
  <c r="O182" i="1" a="1"/>
  <c r="O182" i="1" s="1"/>
  <c r="N182" i="1"/>
  <c r="M182" i="1"/>
  <c r="O181" i="1" a="1"/>
  <c r="O181" i="1" s="1"/>
  <c r="N181" i="1"/>
  <c r="M181" i="1"/>
  <c r="O180" i="1" a="1"/>
  <c r="O180" i="1" s="1"/>
  <c r="N180" i="1"/>
  <c r="M180" i="1"/>
  <c r="O179" i="1" a="1"/>
  <c r="O179" i="1" s="1"/>
  <c r="N179" i="1"/>
  <c r="M179" i="1"/>
  <c r="O178" i="1" a="1"/>
  <c r="O178" i="1" s="1"/>
  <c r="N178" i="1"/>
  <c r="M178" i="1"/>
  <c r="O177" i="1"/>
  <c r="O177" i="1" a="1"/>
  <c r="N177" i="1"/>
  <c r="M177" i="1"/>
  <c r="O176" i="1" a="1"/>
  <c r="O176" i="1" s="1"/>
  <c r="N176" i="1"/>
  <c r="M176" i="1"/>
  <c r="O175" i="1" a="1"/>
  <c r="O175" i="1" s="1"/>
  <c r="N175" i="1"/>
  <c r="M175" i="1"/>
  <c r="O174" i="1" a="1"/>
  <c r="O174" i="1" s="1"/>
  <c r="N174" i="1"/>
  <c r="M174" i="1"/>
  <c r="O173" i="1" a="1"/>
  <c r="O173" i="1" s="1"/>
  <c r="N173" i="1"/>
  <c r="M173" i="1"/>
  <c r="O172" i="1" a="1"/>
  <c r="O172" i="1" s="1"/>
  <c r="N172" i="1"/>
  <c r="M172" i="1"/>
  <c r="O171" i="1" a="1"/>
  <c r="O171" i="1" s="1"/>
  <c r="N171" i="1"/>
  <c r="M171" i="1"/>
  <c r="O170" i="1" a="1"/>
  <c r="O170" i="1" s="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a="1"/>
  <c r="O162" i="1" s="1"/>
  <c r="N162" i="1"/>
  <c r="M162" i="1"/>
  <c r="O161" i="1" a="1"/>
  <c r="O161" i="1" s="1"/>
  <c r="N161" i="1"/>
  <c r="M161" i="1"/>
  <c r="O160" i="1" a="1"/>
  <c r="O160" i="1" s="1"/>
  <c r="N160" i="1"/>
  <c r="M160" i="1"/>
  <c r="O159" i="1" a="1"/>
  <c r="O159" i="1" s="1"/>
  <c r="N159" i="1"/>
  <c r="M159" i="1"/>
  <c r="O158" i="1" a="1"/>
  <c r="O158" i="1" s="1"/>
  <c r="N158" i="1"/>
  <c r="M158" i="1"/>
  <c r="O157" i="1" a="1"/>
  <c r="O157" i="1" s="1"/>
  <c r="N157" i="1"/>
  <c r="M157" i="1"/>
  <c r="O156" i="1" a="1"/>
  <c r="O156" i="1" s="1"/>
  <c r="N156" i="1"/>
  <c r="M156" i="1"/>
  <c r="O155" i="1" a="1"/>
  <c r="O155" i="1" s="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c r="O142" i="1" a="1"/>
  <c r="N142" i="1"/>
  <c r="M142" i="1"/>
  <c r="O141" i="1" a="1"/>
  <c r="O141" i="1" s="1"/>
  <c r="N141" i="1"/>
  <c r="M141" i="1"/>
  <c r="O140" i="1" a="1"/>
  <c r="O140" i="1" s="1"/>
  <c r="N140" i="1"/>
  <c r="M140" i="1"/>
  <c r="O139" i="1"/>
  <c r="O139" i="1" a="1"/>
  <c r="N139" i="1"/>
  <c r="M139" i="1"/>
  <c r="O138" i="1" a="1"/>
  <c r="O138" i="1" s="1"/>
  <c r="N138" i="1"/>
  <c r="M138" i="1"/>
  <c r="O137" i="1" a="1"/>
  <c r="O137" i="1" s="1"/>
  <c r="N137" i="1"/>
  <c r="M137" i="1"/>
  <c r="O136" i="1" a="1"/>
  <c r="O136" i="1" s="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c r="O127" i="1" a="1"/>
  <c r="N127" i="1"/>
  <c r="M127" i="1"/>
  <c r="O126" i="1" a="1"/>
  <c r="O126" i="1" s="1"/>
  <c r="N126" i="1"/>
  <c r="M126" i="1"/>
  <c r="O125" i="1" a="1"/>
  <c r="O125" i="1" s="1"/>
  <c r="N125" i="1"/>
  <c r="M125" i="1"/>
  <c r="O124" i="1"/>
  <c r="O124" i="1" a="1"/>
  <c r="N124" i="1"/>
  <c r="M124" i="1"/>
  <c r="O123" i="1" a="1"/>
  <c r="O123" i="1" s="1"/>
  <c r="N123" i="1"/>
  <c r="M123" i="1"/>
  <c r="O122" i="1" a="1"/>
  <c r="O122" i="1" s="1"/>
  <c r="N122" i="1"/>
  <c r="M122" i="1"/>
  <c r="O121" i="1" a="1"/>
  <c r="O121" i="1" s="1"/>
  <c r="N121" i="1"/>
  <c r="M121" i="1"/>
  <c r="O120" i="1" a="1"/>
  <c r="O120" i="1" s="1"/>
  <c r="N120" i="1"/>
  <c r="M120" i="1"/>
  <c r="O119" i="1" a="1"/>
  <c r="O119" i="1" s="1"/>
  <c r="N119" i="1"/>
  <c r="M119" i="1"/>
  <c r="O118" i="1" a="1"/>
  <c r="O118" i="1" s="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a="1"/>
  <c r="O107" i="1" s="1"/>
  <c r="N107" i="1"/>
  <c r="M107" i="1"/>
  <c r="O106" i="1" a="1"/>
  <c r="O106" i="1" s="1"/>
  <c r="N106" i="1"/>
  <c r="M106" i="1"/>
  <c r="O105" i="1" a="1"/>
  <c r="O105" i="1" s="1"/>
  <c r="N105" i="1"/>
  <c r="M105" i="1"/>
  <c r="O104" i="1" a="1"/>
  <c r="O104" i="1" s="1"/>
  <c r="N104" i="1"/>
  <c r="M104" i="1"/>
  <c r="O103" i="1" a="1"/>
  <c r="O103" i="1" s="1"/>
  <c r="N103" i="1"/>
  <c r="M103" i="1"/>
  <c r="O102" i="1" a="1"/>
  <c r="O102" i="1" s="1"/>
  <c r="N102" i="1"/>
  <c r="M102" i="1"/>
  <c r="O101" i="1" a="1"/>
  <c r="O101" i="1" s="1"/>
  <c r="N101" i="1"/>
  <c r="M101" i="1"/>
  <c r="O100" i="1" a="1"/>
  <c r="O100" i="1" s="1"/>
  <c r="N100" i="1"/>
  <c r="M100" i="1"/>
  <c r="O99" i="1" a="1"/>
  <c r="O99" i="1" s="1"/>
  <c r="N99" i="1"/>
  <c r="M99" i="1"/>
  <c r="O98" i="1" a="1"/>
  <c r="O98" i="1" s="1"/>
  <c r="N98" i="1"/>
  <c r="M98" i="1"/>
  <c r="O97" i="1" a="1"/>
  <c r="O97" i="1" s="1"/>
  <c r="N97" i="1"/>
  <c r="M97" i="1"/>
  <c r="O96" i="1" a="1"/>
  <c r="O96" i="1" s="1"/>
  <c r="N96" i="1"/>
  <c r="M96" i="1"/>
  <c r="O95" i="1" a="1"/>
  <c r="O95" i="1" s="1"/>
  <c r="N95" i="1"/>
  <c r="M95" i="1"/>
  <c r="O94" i="1" a="1"/>
  <c r="O94" i="1" s="1"/>
  <c r="N94" i="1"/>
  <c r="M94" i="1"/>
  <c r="O93" i="1" a="1"/>
  <c r="O93" i="1" s="1"/>
  <c r="N93" i="1"/>
  <c r="M93" i="1"/>
  <c r="O92" i="1" a="1"/>
  <c r="O92" i="1" s="1"/>
  <c r="N92" i="1"/>
  <c r="M92" i="1"/>
  <c r="O91" i="1" a="1"/>
  <c r="O91" i="1" s="1"/>
  <c r="N91" i="1"/>
  <c r="M91" i="1"/>
  <c r="O90" i="1" a="1"/>
  <c r="O90" i="1" s="1"/>
  <c r="N90" i="1"/>
  <c r="M90" i="1"/>
  <c r="O89" i="1" a="1"/>
  <c r="O89" i="1" s="1"/>
  <c r="N89" i="1"/>
  <c r="M89" i="1"/>
  <c r="O88" i="1" a="1"/>
  <c r="O88" i="1" s="1"/>
  <c r="N88" i="1"/>
  <c r="M88" i="1"/>
  <c r="O87" i="1" a="1"/>
  <c r="O87" i="1" s="1"/>
  <c r="N87" i="1"/>
  <c r="M87" i="1"/>
  <c r="O86" i="1" a="1"/>
  <c r="O86" i="1" s="1"/>
  <c r="N86" i="1"/>
  <c r="M86" i="1"/>
  <c r="O85" i="1" a="1"/>
  <c r="O85" i="1" s="1"/>
  <c r="N85" i="1"/>
  <c r="M85" i="1"/>
  <c r="O84" i="1" a="1"/>
  <c r="O84" i="1" s="1"/>
  <c r="N84" i="1"/>
  <c r="M84" i="1"/>
  <c r="O83" i="1" a="1"/>
  <c r="O83" i="1" s="1"/>
  <c r="N83" i="1"/>
  <c r="M83" i="1"/>
  <c r="O82" i="1" a="1"/>
  <c r="O82" i="1" s="1"/>
  <c r="N82" i="1"/>
  <c r="M82" i="1"/>
  <c r="O81" i="1" a="1"/>
  <c r="O81" i="1" s="1"/>
  <c r="N81" i="1"/>
  <c r="M81" i="1"/>
  <c r="O80" i="1" a="1"/>
  <c r="O80" i="1" s="1"/>
  <c r="N80" i="1"/>
  <c r="M80" i="1"/>
  <c r="O79" i="1" a="1"/>
  <c r="O79" i="1" s="1"/>
  <c r="N79" i="1"/>
  <c r="M79" i="1"/>
  <c r="O78" i="1" a="1"/>
  <c r="O78" i="1" s="1"/>
  <c r="N78" i="1"/>
  <c r="M78" i="1"/>
  <c r="O77" i="1" a="1"/>
  <c r="O77" i="1" s="1"/>
  <c r="N77" i="1"/>
  <c r="M77" i="1"/>
  <c r="O76" i="1" a="1"/>
  <c r="O76" i="1" s="1"/>
  <c r="N76" i="1"/>
  <c r="M76" i="1"/>
  <c r="O75" i="1" a="1"/>
  <c r="O75" i="1" s="1"/>
  <c r="N75" i="1"/>
  <c r="M75" i="1"/>
  <c r="O74" i="1" a="1"/>
  <c r="O74" i="1" s="1"/>
  <c r="N74" i="1"/>
  <c r="M74" i="1"/>
  <c r="O73" i="1" a="1"/>
  <c r="O73" i="1" s="1"/>
  <c r="N73" i="1"/>
  <c r="M73" i="1"/>
  <c r="O72" i="1"/>
  <c r="O72" i="1" a="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a="1"/>
  <c r="O64" i="1" s="1"/>
  <c r="N64" i="1"/>
  <c r="M64" i="1"/>
  <c r="O63" i="1" a="1"/>
  <c r="O63" i="1" s="1"/>
  <c r="N63" i="1"/>
  <c r="M63" i="1"/>
  <c r="O62" i="1" a="1"/>
  <c r="O62" i="1" s="1"/>
  <c r="N62" i="1"/>
  <c r="M62" i="1"/>
  <c r="O61" i="1" a="1"/>
  <c r="O61" i="1" s="1"/>
  <c r="N61" i="1"/>
  <c r="M61" i="1"/>
  <c r="O60" i="1" a="1"/>
  <c r="O60" i="1" s="1"/>
  <c r="N60" i="1"/>
  <c r="M60" i="1"/>
  <c r="O59" i="1" a="1"/>
  <c r="O59" i="1" s="1"/>
  <c r="N59" i="1"/>
  <c r="M59" i="1"/>
  <c r="O58" i="1" a="1"/>
  <c r="O58" i="1" s="1"/>
  <c r="N58" i="1"/>
  <c r="M58" i="1"/>
  <c r="O57" i="1" a="1"/>
  <c r="O57" i="1" s="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a="1"/>
  <c r="O44" i="1" s="1"/>
  <c r="N44" i="1"/>
  <c r="M44" i="1"/>
  <c r="O43" i="1" a="1"/>
  <c r="O43" i="1" s="1"/>
  <c r="N43" i="1"/>
  <c r="M43" i="1"/>
  <c r="O42" i="1" a="1"/>
  <c r="O42" i="1" s="1"/>
  <c r="N42" i="1"/>
  <c r="M42" i="1"/>
  <c r="O41" i="1" a="1"/>
  <c r="O41" i="1" s="1"/>
  <c r="N41" i="1"/>
  <c r="M41" i="1"/>
  <c r="O40" i="1" a="1"/>
  <c r="O40" i="1" s="1"/>
  <c r="N40" i="1"/>
  <c r="M40" i="1"/>
  <c r="O39" i="1" a="1"/>
  <c r="O39" i="1" s="1"/>
  <c r="N39" i="1"/>
  <c r="M39" i="1"/>
  <c r="O38" i="1" a="1"/>
  <c r="O38" i="1" s="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a="1"/>
  <c r="O29" i="1" s="1"/>
  <c r="N29" i="1"/>
  <c r="M29" i="1"/>
  <c r="O28" i="1" a="1"/>
  <c r="O28" i="1" s="1"/>
  <c r="N28" i="1"/>
  <c r="M28" i="1"/>
  <c r="O27" i="1" a="1"/>
  <c r="O27" i="1" s="1"/>
  <c r="N27" i="1"/>
  <c r="M27" i="1"/>
  <c r="O26" i="1" a="1"/>
  <c r="O26" i="1" s="1"/>
  <c r="N26" i="1"/>
  <c r="M26" i="1"/>
  <c r="O25" i="1" a="1"/>
  <c r="O25" i="1" s="1"/>
  <c r="N25" i="1"/>
  <c r="M25" i="1"/>
  <c r="O24" i="1" a="1"/>
  <c r="O24" i="1" s="1"/>
  <c r="N24" i="1"/>
  <c r="M24" i="1"/>
  <c r="O23" i="1" a="1"/>
  <c r="O23" i="1" s="1"/>
  <c r="N23" i="1"/>
  <c r="M23" i="1"/>
  <c r="O22" i="1" a="1"/>
  <c r="O22" i="1" s="1"/>
  <c r="N22" i="1"/>
  <c r="M22" i="1"/>
  <c r="O21" i="1" a="1"/>
  <c r="O21" i="1" s="1"/>
  <c r="N21" i="1"/>
  <c r="M21" i="1"/>
  <c r="O20" i="1" a="1"/>
  <c r="O20" i="1" s="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a="1"/>
  <c r="O9" i="1" s="1"/>
  <c r="N9" i="1"/>
  <c r="M9" i="1"/>
  <c r="O8" i="1" a="1"/>
  <c r="O8" i="1" s="1"/>
  <c r="N8" i="1"/>
  <c r="M8" i="1"/>
  <c r="O7" i="1" a="1"/>
  <c r="O7" i="1" s="1"/>
  <c r="N7" i="1"/>
  <c r="M7" i="1"/>
  <c r="O6" i="1" a="1"/>
  <c r="O6" i="1" s="1"/>
  <c r="N6" i="1"/>
  <c r="M6" i="1"/>
  <c r="O5" i="1" a="1"/>
  <c r="O5" i="1" s="1"/>
  <c r="N5" i="1"/>
  <c r="M5" i="1"/>
  <c r="O4" i="1" a="1"/>
  <c r="O4" i="1" s="1"/>
  <c r="N4" i="1"/>
  <c r="M4" i="1"/>
  <c r="O3" i="1" a="1"/>
  <c r="O3" i="1" s="1"/>
  <c r="N3" i="1"/>
  <c r="M3" i="1"/>
  <c r="I5"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<sst xmlns="http://schemas.openxmlformats.org/spreadsheetml/2006/main" count="14663" uniqueCount="2574">
  <si>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</si>
  <si>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</si>
  <si>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</si>
  <si>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</si>
  <si>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</si>
  <si>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</si>
  <si>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</si>
  <si>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</si>
  <si>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</si>
  <si>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</si>
  <si>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</si>
  <si>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</si>
  <si>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</si>
  <si>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</si>
  <si>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</si>
  <si>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</si>
  <si>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</si>
  <si>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</si>
  <si>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</si>
  <si>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</si>
  <si>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</si>
  <si>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</si>
  <si>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</si>
  <si>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</si>
  <si>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</si>
  <si>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</si>
  <si>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</si>
  <si>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</si>
  <si>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</si>
  <si>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</si>
  <si>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</si>
  <si>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</si>
  <si>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</si>
  <si>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</si>
  <si>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</si>
  <si>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</si>
  <si>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</si>
  <si>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</si>
  <si>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</si>
  <si>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</si>
  <si>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</si>
  <si>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</si>
  <si>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</si>
  <si>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</si>
  <si>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</si>
  <si>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</si>
  <si>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</si>
  <si>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</si>
  <si>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</si>
  <si>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</si>
  <si>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</si>
  <si>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</si>
  <si>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</si>
  <si>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</si>
  <si>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</si>
  <si>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</si>
  <si>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</si>
  <si>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</si>
  <si>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</si>
  <si>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</si>
  <si>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</si>
  <si>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</si>
  <si>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</si>
  <si>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</si>
  <si>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</si>
  <si>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</si>
  <si>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</si>
  <si>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</si>
  <si>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</si>
  <si>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</si>
  <si>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</si>
  <si>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</si>
  <si>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</si>
  <si>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</si>
  <si>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</si>
  <si>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</si>
  <si>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</si>
  <si>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</si>
  <si>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</si>
  <si>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</si>
  <si>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</si>
  <si>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</si>
  <si>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</si>
  <si>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</si>
  <si>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</si>
  <si>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</si>
  <si>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</si>
  <si>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</si>
  <si>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</si>
  <si>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</si>
  <si>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</si>
  <si>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</si>
  <si>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</si>
  <si>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</si>
  <si>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</si>
  <si>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</si>
  <si>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</si>
  <si>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</si>
  <si>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</si>
  <si>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</si>
  <si>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</si>
  <si>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</si>
  <si>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</si>
  <si>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</si>
  <si>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</si>
  <si>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</si>
  <si>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</si>
  <si>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</si>
  <si>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</si>
  <si>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</si>
  <si>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</si>
  <si>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</si>
  <si>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</si>
  <si>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</si>
  <si>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</si>
  <si>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</si>
  <si>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</si>
  <si>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</si>
  <si>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</si>
  <si>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</si>
  <si>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</si>
  <si>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</si>
  <si>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</si>
  <si>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</si>
  <si>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</si>
  <si>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</si>
  <si>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</si>
  <si>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</si>
  <si>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</si>
  <si>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</si>
  <si>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</si>
  <si>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</si>
  <si>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</si>
  <si>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</si>
  <si>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</si>
  <si>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</si>
  <si>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</si>
  <si>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</si>
  <si>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</si>
  <si>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</si>
  <si>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</si>
  <si>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</si>
  <si>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</si>
  <si>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</si>
  <si>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</si>
  <si>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</si>
  <si>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</si>
  <si>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</si>
  <si>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</si>
  <si>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</si>
  <si>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</si>
  <si>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</si>
  <si>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</si>
  <si>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</si>
  <si>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</si>
  <si>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</si>
  <si>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</si>
  <si>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</si>
  <si>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</si>
  <si>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</si>
  <si>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</si>
  <si>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</si>
  <si>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</si>
  <si>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</si>
  <si>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</si>
  <si>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</si>
  <si>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</si>
  <si>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</si>
  <si>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</si>
  <si>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</si>
  <si>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</si>
  <si>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</si>
  <si>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</si>
  <si>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</si>
  <si>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</si>
  <si>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</si>
  <si>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</si>
  <si>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</si>
  <si>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</si>
  <si>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</si>
  <si>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</si>
  <si>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</si>
  <si>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</si>
  <si>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</si>
  <si>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</si>
  <si>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</si>
  <si>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</si>
  <si>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</si>
  <si>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</si>
  <si>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</si>
  <si>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</si>
  <si>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</si>
  <si>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</si>
  <si>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</si>
  <si>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</si>
  <si>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</si>
  <si>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</si>
  <si>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</si>
  <si>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</si>
  <si>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</si>
  <si>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</si>
  <si>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</si>
  <si>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</si>
  <si>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</si>
  <si>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</si>
  <si>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</si>
  <si>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</si>
  <si>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</si>
  <si>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</si>
  <si>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</si>
  <si>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</si>
  <si>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</si>
  <si>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</si>
  <si>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</si>
  <si>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</si>
  <si>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</si>
  <si>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</si>
  <si>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</si>
  <si>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</si>
  <si>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</si>
  <si>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</si>
  <si>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</si>
  <si>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</si>
  <si>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</si>
  <si>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</si>
  <si>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</si>
  <si>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</si>
  <si>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</si>
  <si>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</si>
  <si>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</si>
  <si>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</si>
  <si>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</si>
  <si>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</si>
  <si>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</si>
  <si>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</si>
  <si>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</si>
  <si>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</si>
  <si>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</si>
  <si>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</si>
  <si>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</si>
  <si>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</si>
  <si>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</si>
  <si>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</si>
  <si>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</si>
  <si>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</si>
  <si>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</si>
  <si>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</si>
  <si>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</si>
  <si>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</si>
  <si>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</si>
  <si>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</si>
  <si>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</si>
  <si>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</si>
  <si>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</si>
  <si>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</si>
  <si>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</si>
  <si>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</si>
  <si>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</si>
  <si>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</si>
  <si>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</si>
  <si>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</si>
  <si>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</si>
  <si>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</si>
  <si>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</si>
  <si>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</si>
  <si>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</si>
  <si>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</si>
  <si>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</si>
  <si>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</si>
  <si>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</si>
  <si>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</si>
  <si>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</si>
  <si>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</si>
  <si>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</si>
  <si>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</si>
  <si>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</si>
  <si>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</si>
  <si>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</si>
  <si>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</si>
  <si>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</si>
  <si>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</si>
  <si>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</si>
  <si>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</si>
  <si>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</si>
  <si>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</si>
  <si>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</si>
  <si>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</si>
  <si>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</si>
  <si>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</si>
  <si>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</si>
  <si>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</si>
  <si>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</si>
  <si>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</si>
  <si>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</si>
  <si>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</si>
  <si>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</si>
  <si>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</si>
  <si>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</si>
  <si>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</si>
  <si>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</si>
  <si>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</si>
  <si>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</si>
  <si>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</si>
  <si>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</si>
  <si>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</si>
  <si>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</si>
  <si>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</si>
  <si>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</si>
  <si>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</si>
  <si>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</si>
  <si>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</si>
  <si>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</si>
  <si>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</si>
  <si>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</si>
  <si>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</si>
  <si>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</si>
  <si>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</si>
  <si>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</si>
  <si>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</si>
  <si>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</si>
  <si>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</si>
  <si>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</si>
  <si>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</si>
  <si>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</si>
  <si>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</si>
  <si>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</si>
  <si>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</si>
  <si>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</si>
  <si>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</si>
  <si>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</si>
  <si>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</si>
  <si>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</si>
  <si>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</si>
  <si>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</si>
  <si>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</si>
  <si>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</si>
  <si>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</si>
  <si>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</si>
  <si>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</si>
  <si>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</si>
  <si>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</si>
  <si>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</si>
  <si>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</si>
  <si>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</si>
  <si>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</si>
  <si>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</si>
  <si>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</si>
  <si>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</si>
  <si>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</si>
  <si>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</si>
  <si>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</si>
  <si>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</si>
  <si>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</si>
  <si>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</si>
  <si>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</si>
  <si>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</si>
  <si>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</si>
  <si>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</si>
  <si>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</si>
  <si>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</si>
  <si>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</si>
  <si>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</si>
  <si>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</si>
  <si>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</si>
  <si>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</si>
  <si>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</si>
  <si>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</si>
  <si>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</si>
  <si>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</si>
  <si>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</si>
  <si>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</si>
  <si>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</si>
  <si>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</si>
  <si>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</si>
  <si>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</si>
  <si>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</si>
  <si>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</si>
  <si>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</si>
  <si>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</si>
  <si>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</si>
  <si>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</si>
  <si>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</si>
  <si>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</si>
  <si>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</si>
  <si>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</si>
  <si>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</si>
  <si>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</si>
  <si>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</si>
  <si>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</si>
  <si>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</si>
  <si>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</si>
  <si>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</si>
  <si>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</si>
  <si>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</si>
  <si>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</si>
  <si>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</si>
  <si>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</si>
  <si>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</si>
  <si>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</si>
  <si>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</si>
  <si>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</si>
  <si>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</si>
  <si>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</si>
  <si>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</si>
  <si>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</si>
  <si>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</si>
  <si>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</si>
  <si>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</si>
  <si>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</si>
  <si>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</si>
  <si>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</si>
  <si>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</si>
  <si>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</si>
  <si>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</si>
  <si>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</si>
  <si>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</si>
  <si>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</si>
  <si>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</si>
  <si>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</si>
  <si>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</si>
  <si>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</si>
  <si>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</si>
  <si>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</si>
  <si>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</si>
  <si>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</si>
  <si>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</si>
  <si>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</si>
  <si>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</si>
  <si>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</si>
  <si>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</si>
  <si>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</si>
  <si>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</si>
  <si>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</si>
  <si>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</si>
  <si>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</si>
  <si>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</si>
  <si>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</si>
  <si>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</si>
  <si>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</si>
  <si>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</si>
  <si>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</si>
  <si>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</si>
  <si>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</si>
  <si>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</si>
  <si>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</si>
  <si>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</si>
  <si>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</si>
  <si>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</si>
  <si>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</si>
  <si>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</si>
  <si>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</si>
  <si>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</si>
  <si>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</si>
  <si>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</si>
  <si>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</si>
  <si>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</si>
  <si>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</si>
  <si>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</si>
  <si>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</si>
  <si>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</si>
  <si>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</si>
  <si>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</si>
  <si>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</si>
  <si>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</si>
  <si>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</si>
  <si>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</si>
  <si>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</si>
  <si>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</si>
  <si>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</si>
  <si>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</si>
  <si>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</si>
  <si>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</si>
  <si>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</si>
  <si>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</si>
  <si>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</si>
  <si>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</si>
  <si>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</si>
  <si>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</si>
  <si>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</si>
  <si>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</si>
  <si>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</si>
  <si>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</si>
  <si>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</si>
  <si>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</si>
  <si>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</si>
  <si>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</si>
  <si>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</si>
  <si>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</si>
  <si>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</si>
  <si>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</si>
  <si>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</si>
  <si>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</si>
  <si>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</si>
  <si>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</si>
  <si>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</si>
  <si>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</si>
  <si>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</si>
  <si>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</si>
  <si>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</si>
  <si>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</si>
  <si>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</si>
  <si>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</si>
  <si>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</si>
  <si>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</si>
  <si>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</si>
  <si>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</si>
  <si>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</si>
  <si>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</si>
  <si>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</si>
  <si>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</si>
  <si>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</si>
  <si>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</si>
  <si>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</si>
  <si>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</si>
  <si>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</si>
  <si>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</si>
  <si>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</si>
  <si>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</si>
  <si>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</si>
  <si>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</si>
  <si>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</si>
  <si>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</si>
  <si>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</si>
  <si>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</si>
  <si>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</si>
  <si>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</si>
  <si>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</si>
  <si>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</si>
  <si>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</si>
  <si>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</si>
  <si>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</si>
  <si>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</si>
  <si>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</si>
  <si>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</si>
  <si>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</si>
  <si>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</si>
  <si>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</si>
  <si>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</si>
  <si>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</si>
  <si>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</si>
  <si>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</si>
  <si>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</si>
  <si>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</si>
  <si>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</si>
  <si>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</si>
  <si>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</si>
  <si>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</si>
  <si>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</si>
  <si>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</si>
  <si>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</si>
  <si>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</si>
  <si>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</si>
  <si>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</si>
  <si>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</si>
  <si>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</si>
  <si>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</si>
  <si>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</si>
  <si>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</si>
  <si>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</si>
  <si>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</si>
  <si>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</si>
  <si>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</si>
  <si>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</si>
  <si>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</si>
  <si>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</si>
  <si>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</si>
  <si>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</si>
  <si>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</si>
  <si>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</si>
  <si>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</si>
  <si>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</si>
  <si>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</si>
  <si>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</si>
  <si>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</si>
  <si>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</si>
  <si>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</si>
  <si>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</si>
  <si>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</si>
  <si>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</si>
  <si>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</si>
  <si>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</si>
  <si>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</si>
  <si>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</si>
  <si>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</si>
  <si>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</si>
  <si>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</si>
  <si>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</si>
  <si>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</si>
  <si>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</si>
  <si>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</si>
  <si>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</si>
  <si>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</si>
  <si>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</si>
  <si>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</si>
  <si>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</si>
  <si>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</si>
  <si>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</si>
  <si>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</si>
  <si>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</si>
  <si>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</si>
  <si>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</si>
  <si>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</si>
  <si>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</si>
  <si>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</si>
  <si>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</si>
  <si>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</si>
  <si>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</si>
  <si>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</si>
  <si>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</si>
  <si>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</si>
  <si>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</si>
  <si>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</si>
  <si>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</si>
  <si>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</si>
  <si>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</si>
  <si>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</si>
  <si>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</si>
  <si>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</si>
  <si>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</si>
  <si>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</si>
  <si>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</si>
  <si>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</si>
  <si>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</si>
  <si>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</si>
  <si>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</si>
  <si>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</si>
  <si>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</si>
  <si>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</si>
  <si>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</si>
  <si>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</si>
  <si>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</si>
  <si>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</si>
  <si>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</si>
  <si>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</si>
  <si>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</si>
  <si>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</si>
  <si>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</si>
  <si>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</si>
  <si>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</si>
  <si>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</si>
  <si>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</si>
  <si>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</si>
  <si>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</si>
  <si>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</si>
  <si>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</si>
  <si>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</si>
  <si>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</si>
  <si>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</si>
  <si>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</si>
  <si>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</si>
  <si>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</si>
  <si>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</si>
  <si>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</si>
  <si>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</si>
  <si>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</si>
  <si>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</si>
  <si>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</si>
  <si>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</si>
  <si>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</si>
  <si>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</si>
  <si>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</si>
  <si>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</si>
  <si>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</si>
  <si>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</si>
  <si>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</si>
  <si>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</si>
  <si>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</si>
  <si>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</si>
  <si>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</si>
  <si>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</si>
  <si>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</si>
  <si>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</si>
  <si>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</si>
  <si>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</si>
  <si>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</si>
  <si>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</si>
  <si>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</si>
  <si>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</si>
  <si>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</si>
  <si>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</si>
  <si>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</si>
  <si>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</si>
  <si>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</si>
  <si>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</si>
  <si>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</si>
  <si>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</si>
  <si>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</si>
  <si>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</si>
  <si>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</si>
  <si>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</si>
  <si>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</si>
  <si>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</si>
  <si>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</si>
  <si>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</si>
  <si>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</si>
  <si>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</si>
  <si>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</si>
  <si>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</si>
  <si>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</si>
  <si>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</si>
  <si>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</si>
  <si>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</si>
  <si>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</si>
  <si>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</si>
  <si>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</si>
  <si>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</si>
  <si>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</si>
  <si>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</si>
  <si>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</si>
  <si>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</si>
  <si>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</si>
  <si>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</si>
  <si>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</si>
  <si>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</si>
  <si>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</si>
  <si>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</si>
  <si>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</si>
  <si>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</si>
  <si>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</si>
  <si>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</si>
  <si>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</si>
  <si>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</si>
  <si>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</si>
  <si>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</si>
  <si>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</si>
  <si>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</si>
  <si>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</si>
  <si>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</si>
  <si>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</si>
  <si>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</si>
  <si>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</si>
  <si>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</si>
  <si>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</si>
  <si>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</si>
  <si>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</si>
  <si>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</si>
  <si>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</si>
  <si>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</si>
  <si>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</si>
  <si>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</si>
  <si>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</si>
  <si>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</si>
  <si>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</si>
  <si>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</si>
  <si>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</si>
  <si>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</si>
  <si>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</si>
  <si>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</si>
  <si>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</si>
  <si>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</si>
  <si>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</si>
  <si>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</si>
  <si>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</si>
  <si>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</si>
  <si>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</si>
  <si>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</si>
  <si>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</si>
  <si>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</si>
  <si>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</si>
  <si>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</si>
  <si>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</si>
  <si>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</si>
  <si>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</si>
  <si>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</si>
  <si>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</si>
  <si>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</si>
  <si>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</si>
  <si>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</si>
  <si>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</si>
  <si>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</si>
  <si>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</si>
  <si>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</si>
  <si>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</si>
  <si>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</si>
  <si>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</si>
  <si>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</si>
  <si>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</si>
  <si>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</si>
  <si>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</si>
  <si>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</si>
  <si>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</si>
  <si>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</si>
  <si>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</si>
  <si>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</si>
  <si>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</si>
  <si>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</si>
  <si>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</si>
  <si>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</si>
  <si>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</si>
  <si>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</si>
  <si>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</si>
  <si>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</si>
  <si>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</si>
  <si>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</si>
  <si>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</si>
  <si>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</si>
  <si>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</si>
  <si>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</si>
  <si>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</si>
  <si>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</si>
  <si>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</si>
  <si>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</si>
  <si>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</si>
  <si>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</si>
  <si>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</si>
  <si>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</si>
  <si>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</si>
  <si>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</si>
  <si>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</si>
  <si>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</si>
  <si>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</si>
  <si>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</si>
  <si>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</si>
  <si>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</si>
  <si>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</si>
  <si>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</si>
  <si>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</si>
  <si>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</si>
  <si>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</si>
  <si>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</si>
  <si>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</si>
  <si>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</si>
  <si>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</si>
  <si>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</si>
  <si>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</si>
  <si>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</si>
  <si>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</si>
  <si>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</si>
  <si>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</si>
  <si>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</si>
  <si>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</si>
  <si>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</si>
  <si>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</si>
  <si>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</si>
  <si>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</si>
  <si>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</si>
  <si>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</si>
  <si>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</si>
  <si>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</si>
  <si>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</si>
  <si>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</si>
  <si>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</si>
  <si>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</si>
  <si>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</si>
  <si>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</si>
  <si>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</si>
  <si>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</si>
  <si>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</si>
  <si>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</si>
  <si>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</si>
  <si>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</si>
  <si>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</si>
  <si>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</si>
  <si>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</si>
  <si>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</si>
  <si>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</si>
  <si>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</si>
  <si>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</si>
  <si>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</si>
  <si>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</si>
  <si>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</si>
  <si>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</si>
  <si>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</si>
  <si>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</si>
  <si>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</si>
  <si>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</si>
  <si>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</si>
  <si>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</si>
  <si>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</si>
  <si>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</si>
  <si>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</si>
  <si>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</si>
  <si>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</si>
  <si>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</si>
  <si>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</si>
  <si>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</si>
  <si>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</si>
  <si>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</si>
  <si>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</si>
  <si>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</si>
  <si>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</si>
  <si>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</si>
  <si>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</si>
  <si>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</si>
  <si>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</si>
  <si>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</si>
  <si>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</si>
  <si>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</si>
  <si>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</si>
  <si>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</si>
  <si>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</si>
  <si>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</si>
  <si>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</si>
  <si>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</si>
  <si>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</si>
  <si>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</si>
  <si>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</si>
  <si>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</si>
  <si>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</si>
  <si>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</si>
  <si>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</si>
  <si>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</si>
  <si>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</si>
  <si>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</si>
  <si>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</si>
  <si>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</si>
  <si>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</si>
  <si>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</si>
  <si>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</si>
  <si>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</si>
  <si>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</si>
  <si>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</si>
  <si>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</si>
  <si>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</si>
  <si>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</si>
  <si>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</si>
  <si>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</si>
  <si>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</si>
  <si>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</si>
  <si>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</si>
  <si>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</si>
  <si>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</si>
  <si>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</si>
  <si>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</si>
  <si>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</si>
  <si>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</si>
  <si>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</si>
  <si>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</si>
  <si>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</si>
  <si>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</si>
  <si>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</si>
  <si>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</si>
  <si>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</si>
  <si>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</si>
  <si>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</si>
  <si>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</si>
  <si>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</si>
  <si>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</si>
  <si>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</si>
  <si>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</si>
  <si>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</si>
  <si>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</si>
  <si>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</si>
  <si>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</si>
  <si>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</si>
  <si>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</si>
  <si>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</si>
  <si>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</si>
  <si>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</si>
  <si>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</si>
  <si>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</si>
  <si>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</si>
  <si>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</si>
  <si>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</si>
  <si>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</si>
  <si>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</si>
  <si>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</si>
  <si>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</si>
  <si>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</si>
  <si>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</si>
  <si>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</si>
  <si>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</si>
  <si>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</si>
  <si>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</si>
  <si>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</si>
  <si>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</si>
  <si>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</si>
  <si>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</si>
  <si>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</si>
  <si>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</si>
  <si>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</si>
  <si>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</si>
  <si>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</si>
  <si>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</si>
  <si>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</si>
  <si>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</si>
  <si>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</si>
  <si>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</si>
  <si>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</si>
  <si>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</si>
  <si>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</si>
  <si>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</si>
  <si>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</si>
  <si>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</si>
  <si>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</si>
  <si>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</si>
  <si>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</si>
  <si>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</si>
  <si>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</si>
  <si>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</si>
  <si>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</si>
  <si>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</si>
  <si>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</si>
  <si>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</si>
  <si>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</si>
  <si>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</si>
  <si>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</si>
  <si>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</si>
  <si>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</si>
  <si>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</si>
  <si>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</si>
  <si>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</si>
  <si>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</si>
  <si>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</si>
  <si>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</si>
  <si>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</si>
  <si>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</si>
  <si>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</si>
  <si>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</si>
  <si>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</si>
  <si>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</si>
  <si>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</si>
  <si>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</si>
  <si>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</si>
  <si>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</si>
  <si>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</si>
  <si>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</si>
  <si>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</si>
  <si>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</si>
  <si>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</si>
  <si>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</si>
  <si>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</si>
  <si>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</si>
  <si>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</si>
  <si>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</si>
  <si>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</si>
  <si>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</si>
  <si>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</si>
  <si>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</si>
  <si>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</si>
  <si>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</si>
  <si>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</si>
  <si>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</si>
  <si>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</si>
  <si>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</si>
  <si>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</si>
  <si>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</si>
  <si>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</si>
  <si>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</si>
  <si>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</si>
  <si>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</si>
  <si>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</si>
  <si>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</si>
  <si>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</si>
  <si>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</si>
  <si>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</si>
  <si>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</si>
  <si>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</si>
  <si>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</si>
  <si>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</si>
  <si>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</si>
  <si>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</si>
  <si>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</si>
  <si>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</si>
  <si>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</si>
  <si>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</si>
  <si>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</si>
  <si>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</si>
  <si>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</si>
  <si>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</si>
  <si>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</si>
  <si>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</si>
  <si>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</si>
  <si>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</si>
  <si>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</si>
  <si>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</si>
  <si>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</si>
  <si>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</si>
  <si>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</si>
  <si>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</si>
  <si>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</si>
  <si>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</si>
  <si>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</si>
  <si>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</si>
  <si>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</si>
  <si>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</si>
  <si>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</si>
  <si>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</si>
  <si>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</si>
  <si>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</si>
  <si>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</si>
  <si>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</si>
  <si>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</si>
  <si>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</si>
  <si>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</si>
  <si>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</si>
  <si>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</si>
  <si>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</si>
  <si>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</si>
  <si>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</si>
  <si>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</si>
  <si>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</si>
  <si>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</si>
  <si>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</si>
  <si>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</si>
  <si>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</si>
  <si>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</si>
  <si>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</si>
  <si>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</si>
  <si>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</si>
  <si>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</si>
  <si>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</si>
  <si>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</si>
  <si>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</si>
  <si>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</si>
  <si>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</si>
  <si>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</si>
  <si>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</si>
  <si>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</si>
  <si>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</si>
  <si>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</si>
  <si>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</si>
  <si>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</si>
  <si>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</si>
  <si>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</si>
  <si>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</si>
  <si>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</si>
  <si>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</si>
  <si>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</si>
  <si>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</si>
  <si>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</si>
  <si>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</si>
  <si>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</si>
  <si>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</si>
  <si>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</si>
  <si>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</si>
  <si>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</si>
  <si>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</si>
  <si>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</si>
  <si>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</si>
  <si>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</si>
  <si>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</si>
  <si>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</si>
  <si>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</si>
  <si>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</si>
  <si>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</si>
  <si>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</si>
  <si>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</si>
  <si>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</si>
  <si>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</si>
  <si>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</si>
  <si>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</si>
  <si>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</si>
  <si>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</si>
  <si>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</si>
  <si>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</si>
  <si>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</si>
  <si>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</si>
  <si>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</si>
  <si>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</si>
  <si>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</si>
  <si>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</si>
  <si>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</si>
  <si>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</si>
  <si>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</si>
  <si>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</si>
  <si>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</si>
  <si>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</si>
  <si>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</si>
  <si>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</si>
  <si>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</si>
  <si>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</si>
  <si>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</si>
  <si>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</si>
  <si>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</si>
  <si>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</si>
  <si>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</si>
  <si>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</si>
  <si>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</si>
  <si>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</si>
  <si>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</si>
  <si>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</si>
  <si>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</si>
  <si>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</si>
  <si>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</si>
  <si>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</si>
  <si>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</si>
  <si>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</si>
  <si>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</si>
  <si>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</si>
  <si>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</si>
  <si>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</si>
  <si>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</si>
  <si>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</si>
  <si>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</si>
  <si>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</si>
  <si>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</si>
  <si>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</si>
  <si>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</si>
  <si>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</si>
  <si>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</si>
  <si>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</si>
  <si>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</si>
  <si>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</si>
  <si>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</si>
  <si>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</si>
  <si>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</si>
  <si>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</si>
  <si>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</si>
  <si>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</si>
  <si>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</si>
  <si>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</si>
  <si>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</si>
  <si>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</si>
  <si>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</si>
  <si>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</si>
  <si>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</si>
  <si>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</si>
  <si>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</si>
  <si>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</si>
  <si>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</si>
  <si>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</si>
  <si>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</si>
  <si>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</si>
  <si>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</si>
  <si>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</si>
  <si>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</si>
  <si>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</si>
  <si>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</si>
  <si>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</si>
  <si>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</si>
  <si>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</si>
  <si>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</si>
  <si>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</si>
  <si>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</si>
  <si>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</si>
  <si>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</si>
  <si>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</si>
  <si>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</si>
  <si>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</si>
  <si>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</si>
  <si>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</si>
  <si>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</si>
  <si>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</si>
  <si>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</si>
  <si>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</si>
  <si>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</si>
  <si>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</si>
  <si>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</si>
  <si>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</si>
  <si>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</si>
  <si>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</si>
  <si>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</si>
  <si>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</si>
  <si>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</si>
  <si>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</si>
  <si>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</si>
  <si>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</si>
  <si>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</si>
  <si>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</si>
  <si>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</si>
  <si>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</si>
  <si>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</si>
  <si>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</si>
  <si>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</si>
  <si>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</si>
  <si>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</si>
  <si>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</si>
  <si>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</si>
  <si>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</si>
  <si>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</si>
  <si>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</si>
  <si>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</si>
  <si>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</si>
  <si>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</si>
  <si>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</si>
  <si>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</si>
  <si>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</si>
  <si>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</si>
  <si>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</si>
  <si>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</si>
  <si>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</si>
  <si>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</si>
  <si>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</si>
  <si>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</si>
  <si>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</si>
  <si>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</si>
  <si>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</si>
  <si>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</si>
  <si>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</si>
  <si>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</si>
  <si>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</si>
  <si>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</si>
  <si>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</si>
  <si>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</si>
  <si>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</si>
  <si>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</si>
  <si>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</si>
  <si>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</si>
  <si>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</si>
  <si>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</si>
  <si>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</si>
  <si>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</si>
  <si>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</si>
  <si>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</si>
  <si>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</si>
  <si>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</si>
  <si>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</si>
  <si>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</si>
  <si>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</si>
  <si>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</si>
  <si>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</si>
  <si>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</si>
  <si>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</si>
  <si>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</si>
  <si>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</si>
  <si>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</si>
  <si>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</si>
  <si>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</si>
  <si>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</si>
  <si>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</si>
  <si>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</si>
  <si>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</si>
  <si>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</si>
  <si>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</si>
  <si>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</si>
  <si>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</si>
  <si>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</si>
  <si>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</si>
  <si>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</si>
  <si>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</si>
  <si>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</si>
  <si>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</si>
  <si>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</si>
  <si>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</si>
  <si>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</si>
  <si>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</si>
  <si>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</si>
  <si>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</si>
  <si>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</si>
  <si>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</si>
  <si>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</si>
  <si>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</si>
  <si>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</si>
  <si>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</si>
  <si>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</si>
  <si>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</si>
  <si>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</si>
  <si>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</si>
  <si>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</si>
  <si>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</si>
  <si>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</si>
  <si>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</si>
  <si>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</si>
  <si>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</si>
  <si>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</si>
  <si>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</si>
  <si>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</si>
  <si>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</si>
  <si>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</si>
  <si>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</si>
  <si>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</si>
  <si>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</si>
  <si>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</si>
  <si>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</si>
  <si>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</si>
  <si>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</si>
  <si>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</si>
  <si>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</si>
  <si>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</si>
  <si>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</si>
  <si>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</si>
  <si>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</si>
  <si>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</si>
  <si>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</si>
  <si>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</si>
  <si>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</si>
  <si>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</si>
  <si>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</si>
  <si>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</si>
  <si>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</si>
  <si>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</si>
  <si>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</si>
  <si>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</si>
  <si>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</si>
  <si>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</si>
  <si>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</si>
  <si>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</si>
  <si>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</si>
  <si>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</si>
  <si>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</si>
  <si>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</si>
  <si>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</si>
  <si>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</si>
  <si>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</si>
  <si>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</si>
  <si>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</si>
  <si>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</si>
  <si>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</si>
  <si>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</si>
  <si>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</si>
  <si>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</si>
  <si>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</si>
  <si>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</si>
  <si>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</si>
  <si>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</si>
  <si>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</si>
  <si>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</si>
  <si>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</si>
  <si>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</si>
  <si>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</si>
  <si>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</si>
  <si>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</si>
  <si>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</si>
  <si>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</si>
  <si>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</si>
  <si>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</si>
  <si>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</si>
  <si>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</si>
  <si>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</si>
  <si>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</si>
  <si>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</si>
  <si>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</si>
  <si>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</si>
  <si>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</si>
  <si>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</si>
  <si>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</si>
  <si>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</si>
  <si>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</si>
  <si>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</si>
  <si>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</si>
  <si>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</si>
  <si>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</si>
  <si>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</si>
  <si>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</si>
  <si>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</si>
  <si>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</si>
  <si>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</si>
  <si>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</si>
  <si>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</si>
  <si>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</si>
  <si>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</si>
  <si>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</si>
  <si>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</si>
  <si>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</si>
  <si>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</si>
  <si>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</si>
  <si>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</si>
  <si>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</si>
  <si>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</si>
  <si>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</si>
  <si>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</si>
  <si>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</si>
  <si>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</si>
  <si>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</si>
  <si>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</si>
  <si>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</si>
  <si>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</si>
  <si>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</si>
  <si>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</si>
  <si>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</si>
  <si>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</si>
  <si>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</si>
  <si>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</si>
  <si>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</si>
  <si>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</si>
  <si>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</si>
  <si>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</si>
  <si>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</si>
  <si>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</si>
  <si>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</si>
  <si>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</si>
  <si>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</si>
  <si>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</si>
  <si>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</si>
  <si>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</si>
  <si>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</si>
  <si>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</si>
  <si>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</si>
  <si>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</si>
  <si>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</si>
  <si>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</si>
  <si>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</si>
  <si>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</si>
  <si>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</si>
  <si>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</si>
  <si>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</si>
  <si>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</si>
  <si>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</si>
  <si>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</si>
  <si>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</si>
  <si>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</si>
  <si>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</si>
  <si>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</si>
  <si>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</si>
  <si>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</si>
  <si>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</si>
  <si>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</si>
  <si>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</si>
  <si>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</si>
  <si>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</si>
  <si>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</si>
  <si>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</si>
  <si>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</si>
  <si>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</si>
  <si>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</si>
  <si>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</si>
  <si>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</si>
  <si>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</si>
  <si>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</si>
  <si>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</si>
  <si>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</si>
  <si>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</si>
  <si>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</si>
  <si>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</si>
  <si>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</si>
  <si>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</si>
  <si>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</si>
  <si>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</si>
  <si>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</si>
  <si>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</si>
  <si>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</si>
  <si>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</si>
  <si>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</si>
  <si>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</si>
  <si>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</si>
  <si>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</si>
  <si>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</si>
  <si>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</si>
  <si>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</si>
  <si>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</si>
  <si>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</si>
  <si>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</si>
  <si>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</si>
  <si>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</si>
  <si>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</si>
  <si>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</si>
  <si>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</si>
  <si>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</si>
  <si>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</si>
  <si>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</si>
  <si>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</si>
  <si>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</si>
  <si>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</si>
  <si>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</si>
  <si>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</si>
  <si>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</si>
  <si>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</si>
  <si>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</si>
  <si>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</si>
  <si>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</si>
  <si>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</si>
  <si>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</si>
  <si>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</si>
  <si>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</si>
  <si>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</si>
  <si>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</si>
  <si>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</si>
  <si>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</si>
  <si>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</si>
  <si>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</si>
  <si>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</si>
  <si>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</si>
  <si>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</si>
  <si>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</si>
  <si>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</si>
  <si>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</si>
  <si>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</si>
  <si>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</si>
  <si>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</si>
  <si>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</si>
  <si>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</si>
  <si>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</si>
  <si>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</si>
  <si>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</si>
  <si>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</si>
  <si>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</si>
  <si>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</si>
  <si>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</si>
  <si>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</si>
  <si>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</si>
  <si>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</si>
  <si>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</si>
  <si>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</si>
  <si>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</si>
  <si>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</si>
  <si>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</si>
  <si>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</si>
  <si>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</si>
  <si>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</si>
  <si>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</si>
  <si>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</si>
  <si>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</si>
  <si>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</si>
  <si>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</si>
  <si>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</si>
  <si>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</si>
  <si>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</si>
  <si>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</si>
  <si>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</si>
  <si>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</si>
  <si>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</si>
  <si>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</si>
  <si>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</si>
  <si>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</si>
  <si>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</si>
  <si>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</si>
  <si>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</si>
  <si>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</si>
  <si>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</si>
  <si>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</si>
  <si>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</si>
  <si>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</si>
  <si>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</si>
  <si>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</si>
  <si>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</si>
  <si>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</si>
  <si>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</si>
  <si>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</si>
  <si>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</si>
  <si>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</si>
  <si>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</si>
  <si>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</si>
  <si>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</si>
  <si>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</si>
  <si>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</si>
  <si>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</si>
  <si>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</si>
  <si>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</si>
  <si>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</si>
  <si>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</si>
  <si>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</si>
  <si>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</si>
  <si>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</si>
  <si>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</si>
  <si>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</si>
  <si>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</si>
  <si>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</si>
  <si>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</si>
  <si>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</si>
  <si>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</si>
  <si>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</si>
  <si>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</si>
  <si>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</si>
  <si>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</si>
  <si>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</si>
  <si>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</si>
  <si>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</si>
  <si>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</si>
  <si>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</si>
  <si>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</si>
  <si>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</si>
  <si>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</si>
  <si>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</si>
  <si>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</si>
  <si>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</si>
  <si>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</si>
  <si>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</si>
  <si>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</si>
  <si>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</si>
  <si>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</si>
  <si>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</si>
  <si>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</si>
  <si>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</si>
  <si>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</si>
  <si>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</si>
  <si>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</si>
  <si>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</si>
  <si>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</si>
  <si>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</si>
  <si>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</si>
  <si>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</si>
  <si>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</si>
  <si>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</si>
  <si>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</si>
  <si>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</si>
  <si>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</si>
  <si>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</si>
  <si>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</si>
  <si>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</si>
  <si>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</si>
  <si>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</si>
  <si>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</si>
  <si>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</si>
  <si>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</si>
  <si>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</si>
  <si>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</si>
  <si>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</si>
  <si>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</si>
  <si>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</si>
  <si>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</si>
  <si>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</si>
  <si>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</si>
  <si>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</si>
  <si>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</si>
  <si>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</si>
  <si>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</si>
  <si>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</si>
  <si>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</si>
  <si>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</si>
  <si>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</si>
  <si>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</si>
  <si>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</si>
  <si>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</si>
  <si>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</si>
  <si>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</si>
  <si>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</si>
  <si>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</si>
  <si>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</si>
  <si>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</si>
  <si>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</si>
  <si>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</si>
  <si>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</si>
  <si>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</si>
  <si>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</si>
  <si>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</si>
  <si>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</si>
  <si>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</si>
  <si>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</si>
  <si>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</si>
  <si>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</si>
  <si>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</si>
  <si>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</si>
  <si>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</si>
  <si>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</si>
  <si>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</si>
  <si>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</si>
  <si>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</si>
  <si>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</si>
  <si>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</si>
  <si>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</si>
  <si>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</si>
  <si>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</si>
  <si>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</si>
  <si>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</si>
  <si>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</si>
  <si>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</si>
  <si>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</si>
  <si>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</si>
  <si>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</si>
  <si>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</si>
  <si>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</si>
  <si>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</si>
  <si>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</si>
  <si>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</si>
  <si>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</si>
  <si>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</si>
  <si>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</si>
  <si>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</si>
  <si>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</si>
  <si>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</si>
  <si>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</si>
  <si>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</si>
  <si>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</si>
  <si>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</si>
  <si>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</si>
  <si>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</si>
  <si>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</si>
  <si>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</si>
  <si>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</si>
  <si>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</si>
  <si>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</si>
  <si>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</si>
  <si>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</si>
  <si>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</si>
  <si>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</si>
  <si>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</si>
  <si>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</si>
  <si>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</si>
  <si>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</si>
  <si>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</si>
  <si>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</si>
  <si>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</si>
  <si>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</si>
  <si>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</si>
  <si>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</si>
  <si>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</si>
  <si>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</si>
  <si>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</si>
  <si>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</si>
  <si>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</si>
  <si>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</si>
  <si>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</si>
  <si>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</si>
  <si>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</si>
  <si>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</si>
  <si>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</si>
  <si>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</si>
  <si>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</si>
  <si>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</si>
  <si>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</si>
  <si>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</si>
  <si>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</si>
  <si>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</si>
  <si>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</si>
  <si>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</si>
  <si>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</si>
  <si>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</si>
  <si>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</si>
  <si>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</si>
  <si>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</si>
  <si>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</si>
  <si>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</si>
  <si>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</si>
  <si>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</si>
  <si>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</si>
  <si>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</si>
  <si>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</si>
  <si>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</si>
  <si>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</si>
  <si>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</si>
  <si>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</si>
  <si>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</si>
  <si>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</si>
  <si>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</si>
  <si>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</si>
  <si>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</si>
  <si>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</si>
  <si>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</si>
  <si>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</si>
  <si>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</si>
  <si>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</si>
  <si>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</si>
  <si>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</si>
  <si>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</si>
  <si>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</si>
  <si>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</si>
  <si>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</si>
  <si>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</si>
  <si>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</si>
  <si>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</si>
  <si>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</si>
  <si>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</si>
  <si>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</si>
  <si>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</si>
  <si>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</si>
  <si>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</si>
  <si>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</si>
  <si>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</si>
  <si>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</si>
  <si>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</si>
  <si>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</si>
  <si>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</si>
  <si>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</si>
  <si>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</si>
  <si>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</si>
  <si>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</si>
  <si>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</si>
  <si>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</si>
  <si>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</si>
  <si>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</si>
  <si>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</si>
  <si>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</si>
  <si>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</si>
  <si>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</si>
  <si>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</si>
  <si>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</si>
  <si>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</si>
  <si>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</si>
  <si>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</si>
  <si>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</si>
  <si>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</si>
  <si>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</si>
  <si>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</si>
  <si>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</si>
  <si>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</si>
  <si>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</si>
  <si>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</si>
  <si>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</si>
  <si>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</si>
  <si>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</si>
  <si>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</si>
  <si>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</si>
  <si>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</si>
  <si>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</si>
  <si>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</si>
  <si>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</si>
  <si>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</si>
  <si>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</si>
  <si>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</si>
  <si>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</si>
  <si>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</si>
  <si>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</si>
  <si>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</si>
  <si>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</si>
  <si>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</si>
  <si>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</si>
  <si>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</si>
  <si>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</si>
  <si>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</si>
  <si>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</si>
  <si>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</si>
  <si>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</si>
  <si>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</si>
  <si>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</si>
  <si>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</si>
  <si>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</si>
  <si>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</si>
  <si>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</si>
  <si>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</si>
  <si>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</si>
  <si>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</si>
  <si>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</si>
  <si>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</si>
  <si>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</si>
  <si>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</si>
  <si>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</si>
  <si>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</si>
  <si>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</si>
  <si>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</si>
  <si>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</si>
  <si>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</si>
  <si>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</si>
  <si>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</si>
  <si>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</si>
  <si>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</si>
  <si>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</si>
  <si>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</si>
  <si>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</si>
  <si>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</si>
  <si>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</si>
  <si>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</si>
  <si>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</si>
  <si>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</si>
  <si>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</si>
  <si>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</si>
  <si>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</si>
  <si>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</si>
  <si>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</si>
  <si>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</si>
  <si>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</si>
  <si>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</si>
  <si>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</si>
  <si>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</si>
  <si>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</si>
  <si>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</si>
  <si>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</si>
  <si>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</si>
  <si>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</si>
  <si>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</si>
  <si>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</si>
  <si>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</si>
  <si>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</si>
  <si>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</si>
  <si>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</si>
  <si>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</si>
  <si>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</si>
  <si>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</si>
  <si>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</si>
  <si>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</si>
  <si>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</si>
  <si>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</si>
  <si>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</si>
  <si>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</si>
  <si>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</si>
  <si>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</si>
  <si>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</si>
  <si>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</si>
  <si>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</si>
  <si>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</si>
  <si>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</si>
  <si>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</si>
  <si>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</si>
  <si>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</si>
  <si>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</si>
  <si>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</si>
  <si>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</si>
  <si>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</si>
  <si>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</si>
  <si>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</si>
  <si>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</si>
  <si>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</si>
  <si>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</si>
  <si>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</si>
  <si>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</si>
  <si>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</si>
  <si>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</si>
  <si>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</si>
  <si>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</si>
  <si>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</si>
  <si>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</si>
  <si>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</si>
  <si>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</si>
  <si>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</si>
  <si>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</si>
  <si>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</si>
  <si>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</si>
  <si>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</si>
  <si>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</si>
  <si>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</si>
  <si>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</si>
  <si>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</si>
  <si>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</si>
  <si>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</si>
  <si>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</si>
  <si>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</si>
  <si>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</si>
  <si>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</si>
  <si>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</si>
  <si>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</si>
  <si>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</si>
  <si>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</si>
  <si>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</si>
  <si>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</si>
  <si>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</si>
  <si>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</si>
  <si>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</si>
  <si>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</si>
  <si>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</si>
  <si>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</si>
  <si>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</si>
  <si>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</si>
  <si>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</si>
  <si>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</si>
  <si>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</si>
  <si>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</si>
  <si>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</si>
  <si>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</si>
  <si>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</si>
  <si>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</si>
  <si>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</si>
  <si>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</si>
  <si>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</si>
  <si>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</si>
  <si>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</si>
  <si>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</si>
  <si>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</si>
  <si>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</si>
  <si>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</si>
  <si>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</si>
  <si>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</si>
  <si>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</si>
  <si>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</si>
  <si>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</si>
  <si>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</si>
  <si>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</si>
  <si>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</si>
  <si>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</si>
  <si>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</si>
  <si>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</si>
  <si>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</si>
  <si>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</si>
  <si>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</si>
  <si>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</si>
  <si>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</si>
  <si>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</si>
  <si>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</si>
  <si>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</si>
  <si>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</si>
  <si>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</si>
  <si>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</si>
  <si>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</si>
  <si>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</si>
  <si>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</si>
  <si>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</si>
  <si>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</si>
  <si>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</si>
  <si>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</si>
  <si>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</si>
  <si>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</si>
  <si>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</si>
  <si>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</si>
  <si>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</si>
  <si>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</si>
  <si>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</si>
  <si>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</si>
  <si>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</si>
  <si>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</si>
  <si>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</si>
  <si>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</si>
  <si>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</si>
  <si>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</si>
  <si>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</si>
  <si>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</si>
  <si>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</si>
  <si>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</si>
  <si>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</si>
  <si>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</si>
  <si>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</si>
  <si>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</si>
  <si>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</si>
  <si>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</si>
  <si>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</si>
  <si>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</si>
  <si>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</si>
  <si>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</si>
  <si>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</si>
  <si>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</si>
  <si>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</si>
  <si>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</si>
  <si>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</si>
  <si>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</si>
  <si>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</si>
  <si>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</si>
  <si>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</si>
  <si>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</si>
  <si>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</si>
  <si>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</si>
  <si>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</si>
  <si>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</si>
  <si>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</si>
  <si>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</si>
  <si>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</si>
  <si>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</si>
  <si>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</si>
  <si>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</si>
  <si>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</si>
  <si>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</si>
  <si>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</si>
  <si>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</si>
  <si>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</si>
  <si>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</si>
  <si>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</si>
  <si>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</si>
  <si>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</si>
  <si>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</si>
  <si>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</si>
  <si>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</si>
  <si>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</si>
  <si>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</si>
  <si>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</si>
  <si>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</si>
  <si>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</si>
  <si>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</si>
  <si>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</si>
  <si>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</si>
  <si>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</si>
  <si>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</si>
  <si>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</si>
  <si>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</si>
  <si>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</si>
  <si>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</si>
  <si>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</si>
  <si>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</si>
  <si>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</si>
  <si>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</si>
  <si>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</si>
  <si>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</si>
  <si>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</si>
  <si>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</si>
  <si>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</si>
  <si>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</si>
  <si>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</si>
  <si>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</si>
  <si>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</si>
  <si>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</si>
  <si>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</si>
  <si>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</si>
  <si>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</si>
  <si>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</si>
  <si>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</si>
  <si>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</si>
  <si>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</si>
  <si>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</si>
  <si>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</si>
  <si>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</si>
  <si>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</si>
  <si>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</si>
  <si>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</si>
  <si>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</si>
  <si>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</si>
  <si>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</si>
  <si>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</si>
  <si>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</si>
  <si>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</si>
  <si>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</si>
  <si>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</si>
  <si>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</si>
  <si>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</si>
  <si>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</si>
  <si>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</si>
  <si>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</si>
  <si>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</si>
  <si>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</si>
  <si>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</si>
  <si>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</si>
  <si>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</si>
  <si>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</si>
  <si>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</si>
  <si>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</si>
  <si>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</si>
  <si>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</si>
  <si>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</si>
  <si>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</si>
  <si>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</si>
  <si>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</si>
  <si>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</si>
  <si>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</si>
  <si>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</si>
  <si>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</si>
  <si>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</si>
  <si>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</si>
  <si>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</si>
  <si>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</si>
  <si>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</si>
  <si>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</si>
  <si>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</si>
  <si>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</si>
  <si>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</si>
  <si>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</si>
  <si>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</si>
  <si>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</si>
  <si>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</si>
  <si>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</si>
  <si>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</si>
  <si>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</si>
  <si>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</si>
  <si>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</si>
  <si>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</si>
  <si>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</si>
  <si>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</si>
  <si>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</si>
  <si>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</si>
  <si>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</si>
  <si>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</si>
  <si>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</si>
  <si>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</si>
  <si>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</si>
  <si>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</si>
  <si>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</si>
  <si>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</si>
  <si>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</si>
  <si>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</si>
  <si>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</si>
  <si>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</si>
  <si>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</si>
  <si>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</si>
  <si>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</si>
  <si>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</si>
  <si>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</si>
  <si>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</si>
  <si>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</si>
  <si>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</si>
  <si>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</si>
  <si>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</si>
  <si>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</si>
  <si>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</si>
  <si>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</si>
  <si>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</si>
  <si>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</si>
  <si>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</si>
  <si>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</si>
  <si>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</si>
  <si>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</si>
  <si>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</si>
  <si>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</si>
  <si>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</si>
  <si>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</si>
  <si>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</si>
  <si>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</si>
  <si>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</si>
  <si>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</si>
  <si>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</si>
  <si>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</si>
  <si>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</si>
  <si>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</si>
  <si>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</si>
  <si>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</si>
  <si>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</si>
  <si>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</si>
  <si>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</si>
  <si>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</si>
  <si>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</si>
  <si>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</si>
  <si>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</si>
  <si>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</si>
  <si>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</si>
  <si>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</si>
  <si>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</si>
  <si>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</si>
  <si>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</si>
  <si>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</si>
  <si>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</si>
  <si>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</si>
  <si>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</si>
  <si>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</si>
  <si>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</si>
  <si>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</si>
  <si>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</si>
  <si>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</si>
  <si>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</si>
  <si>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</si>
  <si>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</si>
  <si>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</si>
  <si>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</si>
  <si>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</si>
  <si>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</si>
  <si>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</si>
  <si>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</si>
  <si>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</si>
  <si>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</si>
  <si>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</si>
  <si>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</si>
  <si>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</si>
  <si>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</si>
  <si>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</si>
  <si>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</si>
  <si>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</si>
  <si>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</si>
  <si>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</si>
  <si>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</si>
  <si>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</si>
  <si>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</si>
  <si>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</si>
  <si>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</si>
  <si>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</si>
  <si>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</si>
  <si>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</si>
  <si>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</si>
  <si>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</si>
  <si>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</si>
  <si>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</si>
  <si>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</si>
  <si>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</si>
  <si>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</si>
  <si>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</si>
  <si>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</si>
  <si>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</si>
  <si>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</si>
  <si>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</si>
  <si>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</si>
  <si>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</si>
  <si>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</si>
  <si>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</si>
  <si>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</si>
  <si>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</si>
  <si>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</si>
  <si>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</si>
  <si>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</si>
  <si>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</si>
  <si>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</si>
  <si>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</si>
  <si>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</si>
  <si>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</si>
  <si>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</si>
  <si>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</si>
  <si>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</si>
  <si>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</si>
  <si>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</si>
  <si>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</si>
  <si>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</si>
  <si>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</si>
  <si>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</si>
  <si>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</si>
  <si>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</si>
  <si>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</si>
  <si>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</si>
  <si>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</si>
  <si>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</si>
  <si>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</si>
  <si>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</si>
  <si>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</si>
  <si>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</si>
  <si>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</si>
  <si>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</si>
  <si>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</si>
  <si>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</si>
  <si>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</si>
  <si>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</si>
  <si>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</si>
  <si>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</si>
  <si>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</si>
  <si>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</si>
  <si>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</si>
  <si>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</si>
  <si>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</si>
  <si>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</si>
  <si>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</si>
  <si>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</si>
  <si>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</si>
  <si>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</si>
  <si>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</si>
  <si>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</si>
  <si>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</si>
  <si>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</si>
  <si>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</si>
  <si>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</si>
  <si>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</si>
  <si>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</si>
  <si>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</si>
  <si>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</si>
  <si>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</si>
  <si>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</si>
  <si>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</si>
  <si>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</si>
  <si>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</si>
  <si>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</si>
  <si>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</si>
  <si>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</si>
  <si>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</si>
  <si>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</si>
  <si>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</si>
  <si>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</si>
  <si>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</si>
  <si>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</si>
  <si>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</si>
  <si>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</si>
  <si>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</si>
  <si>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</si>
  <si>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</si>
  <si>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</si>
  <si>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</si>
  <si>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</si>
  <si>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</si>
  <si>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</si>
  <si>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</si>
  <si>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</si>
  <si>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</si>
  <si>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</si>
  <si>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</si>
  <si>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</si>
  <si>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</si>
  <si>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</si>
  <si>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</si>
  <si>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</si>
  <si>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</si>
  <si>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</si>
  <si>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</si>
  <si>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</si>
  <si>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</si>
  <si>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</si>
  <si>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</si>
  <si>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</si>
  <si>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</si>
  <si>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</si>
  <si>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</si>
  <si>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</si>
  <si>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</si>
  <si>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</si>
  <si>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</si>
  <si>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</si>
  <si>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</si>
  <si>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</si>
  <si>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</si>
  <si>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</si>
  <si>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</si>
  <si>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</si>
  <si>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</si>
  <si>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</si>
  <si>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</si>
  <si>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</si>
  <si>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</si>
  <si>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</si>
  <si>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</si>
  <si>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</si>
  <si>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</si>
  <si>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</si>
  <si>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</si>
  <si>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</si>
  <si>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</si>
  <si>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</si>
  <si>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</si>
  <si>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</si>
  <si>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</si>
  <si>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</si>
  <si>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</si>
  <si>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</si>
  <si>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</si>
  <si>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</si>
  <si>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</si>
  <si>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</si>
  <si>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</si>
  <si>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</si>
  <si>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</si>
  <si>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</si>
  <si>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</si>
  <si>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</si>
  <si>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</si>
  <si>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</si>
  <si>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</si>
  <si>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</si>
  <si>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</si>
  <si>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</si>
  <si>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</si>
  <si>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</si>
  <si>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</si>
  <si>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</si>
  <si>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</si>
  <si>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</si>
  <si>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</si>
  <si>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</si>
  <si>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</si>
  <si>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</si>
  <si>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</si>
  <si>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</si>
  <si>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</si>
  <si>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</si>
  <si>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</si>
  <si>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</si>
  <si>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</si>
  <si>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</si>
  <si>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</si>
  <si>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</si>
  <si>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</si>
  <si>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</si>
  <si>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</si>
  <si>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</si>
  <si>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</si>
  <si>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</si>
  <si>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</si>
  <si>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</si>
  <si>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</si>
  <si>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</si>
  <si>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</si>
  <si>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</si>
  <si>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</si>
  <si>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</si>
  <si>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</si>
  <si>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</si>
  <si>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</si>
  <si>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</si>
  <si>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</si>
  <si>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</si>
  <si>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</si>
  <si>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</si>
  <si>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</si>
  <si>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</si>
  <si>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</si>
  <si>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</si>
  <si>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</si>
  <si>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</si>
  <si>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Which products are popular?</t>
  </si>
  <si>
    <t>Overall gender split</t>
  </si>
  <si>
    <t>Where do our customers live?</t>
  </si>
  <si>
    <t>How happy are our customers?</t>
  </si>
  <si>
    <t>Logo</t>
  </si>
  <si>
    <t>Color Scheme</t>
  </si>
  <si>
    <t>#9FBFAD</t>
  </si>
  <si>
    <t>#748C76</t>
  </si>
  <si>
    <t>#505947</t>
  </si>
  <si>
    <t>#BF7F5A</t>
  </si>
  <si>
    <t>#BF3939</t>
  </si>
  <si>
    <t>#4887E6</t>
  </si>
  <si>
    <t>Accent 1</t>
  </si>
  <si>
    <t>Accent 2</t>
  </si>
  <si>
    <t>Accent 3</t>
  </si>
  <si>
    <t>Accent 4</t>
  </si>
  <si>
    <t>Accent 5</t>
  </si>
  <si>
    <t>Accent 6</t>
  </si>
  <si>
    <t>Emojis</t>
  </si>
  <si>
    <t>🛒</t>
  </si>
  <si>
    <t>👕</t>
  </si>
  <si>
    <t>💰</t>
  </si>
  <si>
    <t>⭐</t>
  </si>
  <si>
    <t>📅</t>
  </si>
  <si>
    <t>Orders</t>
  </si>
  <si>
    <t>Rating</t>
  </si>
  <si>
    <t>Days to deliver</t>
  </si>
  <si>
    <t>Format Codes</t>
  </si>
  <si>
    <t>#,##</t>
  </si>
  <si>
    <t>value with thousand's seperator</t>
  </si>
  <si>
    <t>$#,##,.0k</t>
  </si>
  <si>
    <t>Amount in thousands with one decimal</t>
  </si>
  <si>
    <t>0.0</t>
  </si>
  <si>
    <t>Other numbers</t>
  </si>
  <si>
    <t>How do our customers like to buy?</t>
  </si>
  <si>
    <t>Row Labels</t>
  </si>
  <si>
    <t>Grand Total</t>
  </si>
  <si>
    <t>Count of TX ID</t>
  </si>
  <si>
    <t>Sum of Quantity</t>
  </si>
  <si>
    <t>Sum of Amount</t>
  </si>
  <si>
    <t>Average of Rating C</t>
  </si>
  <si>
    <t>Average of Days to Deliver</t>
  </si>
  <si>
    <t>Values for display</t>
  </si>
  <si>
    <t>Qty</t>
  </si>
  <si>
    <t>Avg. Days</t>
  </si>
  <si>
    <t>Female</t>
  </si>
  <si>
    <t>Male</t>
  </si>
  <si>
    <t>Other</t>
  </si>
  <si>
    <t>Unknown</t>
  </si>
  <si>
    <t>Column Labels</t>
  </si>
  <si>
    <t>For matrix</t>
  </si>
  <si>
    <t>How many items do they buy?</t>
  </si>
  <si>
    <t>For trends</t>
  </si>
  <si>
    <t>6 TO 10</t>
  </si>
  <si>
    <t>More than 10</t>
  </si>
  <si>
    <t>Product distribution</t>
  </si>
  <si>
    <t>Order Qty Analysis</t>
  </si>
  <si>
    <t>Popular products by Gender</t>
  </si>
  <si>
    <t>Geographical Analysis</t>
  </si>
  <si>
    <t>Map chart for Qty</t>
  </si>
  <si>
    <t>Map chart for Amount</t>
  </si>
  <si>
    <t>How long do we take to ship the orders to our customers?</t>
  </si>
  <si>
    <t>Shipment duration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</si>
</sst>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quot;#,##0"/>
    <numFmt numFmtId="166" formatCode="0.0%"/>
  </numFmts>
  <fonts count="6" x14ac:knownFonts="1">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8"/>
      <color theme="1"/>
      <name val="Aptos Narrow"/>
      <family val="2"/>
      <scheme val="minor"/>
    </font>
    <font>
      <sz val="11"/>
      <color theme="1"/>
      <name val="Aptos Narrow"/>
      <family val="2"/>
      <scheme val="minor"/>
    </font>
  </fonts>
  <fills count="9">
    <fill>
      <patternFill patternType="none"/>
    </fill>
    <fill>
      <patternFill patternType="gray125"/>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rgb="FFFFFF00"/>
        <bgColor indexed="64"/>
      </patternFill>
    </fill>
  </fills>
  <borders count="2">
    <border>
      <left/>
      <right/>
      <top/>
      <bottom/>
      <diagonal/>
    </border>
    <border>
      <left style="thick">
        <color theme="0"/>
      </left>
      <right style="thick">
        <color theme="0"/>
      </right>
      <top style="thick">
        <color theme="0"/>
      </top>
      <bottom style="thick">
        <color theme="0"/>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5">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quotePrefix="1"/>
    <xf numFmtId="0" fontId="3" fillId="0" borderId="0" xfId="1"/>
    <xf numFmtId="0" fontId="0" fillId="8" borderId="0" xfId="0" applyFill="1"/>
    <xf numFmtId="0" fontId="0" fillId="0" borderId="0" xfId="0" pivotButton="1"/>
    <xf numFmtId="0" fontId="0" fillId="0" borderId="0" xfId="0" applyAlignment="1">
      <alignment horizontal="left"/>
    </xf>
    <xf numFmtId="0" fontId="0" fillId="0" borderId="0" xfId="0" applyAlignment="1">
      <alignment horizontal="center"/>
    </xf>
    <xf numFmtId="3" fontId="0" fillId="0" borderId="0" xfId="0" applyNumberFormat="1"/>
    <xf numFmtId="164" fontId="0" fillId="0" borderId="0" xfId="0" applyNumberFormat="1"/>
    <xf numFmtId="0" fontId="4" fillId="0" borderId="0" xfId="0" applyFont="1"/>
    <xf numFmtId="165" fontId="0" fillId="0" borderId="0" xfId="0" applyNumberFormat="1"/>
    <xf numFmtId="0" fontId="0" fillId="0" borderId="0" xfId="0" applyNumberFormat="1"/>
    <xf numFmtId="10" fontId="0" fillId="0" borderId="0" xfId="0" applyNumberFormat="1"/>
    <xf numFmtId="166" fontId="0" fillId="0" borderId="1" xfId="2" applyNumberFormat="1" applyFont="1" applyBorder="1" applyAlignment="1">
      <alignment horizontal="center"/>
    </xf>
    <xf numFmtId="0" fontId="0" fillId="0" borderId="1" xfId="0" applyBorder="1"/>
    <xf numFmtId="0" fontId="1" fillId="0" borderId="1" xfId="0" applyFont="1" applyBorder="1" applyAlignment="1">
      <alignment horizontal="center"/>
    </xf>
  </cellXfs>
  <cellStyles count="3">
    <cellStyle name="Hyperlink" xfId="1" builtinId="8"/>
    <cellStyle name="Normal" xfId="0" builtinId="0"/>
    <cellStyle name="Percent" xfId="2" builtinId="5"/>
  </cellStyles>
  <dxfs count="5">
    <dxf>
      <numFmt numFmtId="0" formatCode="General"/>
    </dxf>
    <dxf>
      <numFmt numFmtId="0" formatCode="General"/>
    </dxf>
    <dxf>
      <numFmt numFmtId="0" formatCode="General"/>
    </dxf>
    <dxf>
      <numFmt numFmtId="20" formatCode="d\-mmm\-yy"/>
    </dxf>
    <dxf>
      <numFmt numFmtId="20"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[dashboard_tutorial.xlsx]Pivots!pvtTrend</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Trend in the last 13 weeks</a:t>
            </a:r>
          </a:p>
        </c:rich>
      </c:tx>
      <c:layout>
        <c:manualLayout>
          <c:xMode val="edge"/>
          <c:yMode val="edge"/>
          <c:x val="3.9488318910631239E-2"/>
          <c:y val="3.75586854460093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1"/>
          <c:tx>
            <c:strRef>
              <c:f>Pivots!$C$9</c:f>
              <c:strCache>
                <c:ptCount val="1"/>
                <c:pt idx="0">
                  <c:v>Sum of Amount</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Pivots!$A$10:$A$23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Pivots!$C$10:$C$23</c:f>
              <c:numCache>
                <c:formatCode>"$"#,##0</c:formatCode>
                <c:ptCount val="13"/>
                <c:pt idx="0">
                  <c:v>32413.300000000003</c:v>
                </c:pt>
                <c:pt idx="1">
                  <c:v>49562.999999999993</c:v>
                </c:pt>
                <c:pt idx="2">
                  <c:v>41700.400000000016</c:v>
                </c:pt>
                <c:pt idx="3">
                  <c:v>46782.599999999984</c:v>
                </c:pt>
                <c:pt idx="4">
                  <c:v>42676.100000000006</c:v>
                </c:pt>
                <c:pt idx="5">
                  <c:v>62910.7</c:v>
                </c:pt>
                <c:pt idx="6">
                  <c:v>50332.200000000004</c:v>
                </c:pt>
                <c:pt idx="7">
                  <c:v>58760.599999999977</c:v>
                </c:pt>
                <c:pt idx="8">
                  <c:v>52017.299999999996</c:v>
                </c:pt>
                <c:pt idx="9">
                  <c:v>64915.700000000033</c:v>
                </c:pt>
                <c:pt idx="10">
                  <c:v>45943.80000000001</c:v>
                </c:pt>
                <c:pt idx="11">
                  <c:v>55077.900000000031</c:v>
                </c:pt>
                <c:pt idx="12">
                  <c:v>45926.19999999999</c:v>
                </c:pt>
              </c:numCache>
            </c:numRef>
          </c:val>
          <c:smooth val="0"/>
          <c:extLst>
            <c:ext xmlns:c16="http://schemas.microsoft.com/office/drawing/2014/chart" uri="{C3380CC4-5D6E-409C-BE32-E72D297353CC}">
              <c16:uniqueId val="{00000001-F835-4122-BB29-A32915BF4641}"/>
            </c:ext>
          </c:extLst>
        </c:ser>
        <c:dLbls>
          <c:showLegendKey val="0"/>
          <c:showVal val="0"/>
          <c:showCatName val="0"/>
          <c:showSerName val="0"/>
          <c:showPercent val="0"/>
          <c:showBubbleSize val="0"/>
        </c:dLbls>
        <c:marker val="1"/>
        <c:smooth val="0"/>
        <c:axId val="1666854495"/>
        <c:axId val="1666845855"/>
      </c:lineChart>
      <c:lineChart>
        <c:grouping val="standard"/>
        <c:varyColors val="0"/>
        <c:ser>
          <c:idx val="0"/>
          <c:order val="0"/>
          <c:tx>
            <c:strRef>
              <c:f>Pivots!$B$9</c:f>
              <c:strCache>
                <c:ptCount val="1"/>
                <c:pt idx="0">
                  <c:v>Sum of Quantity</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Pivots!$A$10:$A$23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Pivots!$B$10:$B$23</c:f>
              <c:numCache>
                <c:formatCode>General</c:formatCode>
                <c:ptCount val="13"/>
                <c:pt idx="0">
                  <c:v>546</c:v>
                </c:pt>
                <c:pt idx="1">
                  <c:v>905</c:v>
                </c:pt>
                <c:pt idx="2">
                  <c:v>796</c:v>
                </c:pt>
                <c:pt idx="3">
                  <c:v>913</c:v>
                </c:pt>
                <c:pt idx="4">
                  <c:v>844</c:v>
                </c:pt>
                <c:pt idx="5">
                  <c:v>1202</c:v>
                </c:pt>
                <c:pt idx="6">
                  <c:v>935</c:v>
                </c:pt>
                <c:pt idx="7">
                  <c:v>1128</c:v>
                </c:pt>
                <c:pt idx="8">
                  <c:v>1007</c:v>
                </c:pt>
                <c:pt idx="9">
                  <c:v>1128</c:v>
                </c:pt>
                <c:pt idx="10">
                  <c:v>861</c:v>
                </c:pt>
                <c:pt idx="11">
                  <c:v>944</c:v>
                </c:pt>
                <c:pt idx="12">
                  <c:v>788</c:v>
                </c:pt>
              </c:numCache>
            </c:numRef>
          </c:val>
          <c:smooth val="0"/>
          <c:extLst>
            <c:ext xmlns:c16="http://schemas.microsoft.com/office/drawing/2014/chart" uri="{C3380CC4-5D6E-409C-BE32-E72D297353CC}">
              <c16:uniqueId val="{00000000-F835-4122-BB29-A32915BF4641}"/>
            </c:ext>
          </c:extLst>
        </c:ser>
        <c:dLbls>
          <c:showLegendKey val="0"/>
          <c:showVal val="0"/>
          <c:showCatName val="0"/>
          <c:showSerName val="0"/>
          <c:showPercent val="0"/>
          <c:showBubbleSize val="0"/>
        </c:dLbls>
        <c:marker val="1"/>
        <c:smooth val="0"/>
        <c:axId val="1666865055"/>
        <c:axId val="1666841535"/>
      </c:lineChart>
      <c:catAx>
        <c:axId val="1666854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45855"/>
        <c:crosses val="autoZero"/>
        <c:auto val="1"/>
        <c:lblAlgn val="ctr"/>
        <c:lblOffset val="100"/>
        <c:noMultiLvlLbl val="0"/>
      </c:catAx>
      <c:valAx>
        <c:axId val="166684585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54495"/>
        <c:crosses val="autoZero"/>
        <c:crossBetween val="between"/>
      </c:valAx>
      <c:valAx>
        <c:axId val="1666841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6865055"/>
        <c:crosses val="max"/>
        <c:crossBetween val="between"/>
      </c:valAx>
      <c:catAx>
        <c:axId val="1666865055"/>
        <c:scaling>
          <c:orientation val="minMax"/>
        </c:scaling>
        <c:delete val="1"/>
        <c:axPos val="b"/>
        <c:numFmt formatCode="General" sourceLinked="1"/>
        <c:majorTickMark val="out"/>
        <c:minorTickMark val="none"/>
        <c:tickLblPos val="nextTo"/>
        <c:crossAx val="166684153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[dashboard_tutorial.xlsx]Pivots!pvtQty</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Pivots!$B$27</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Pivots!$A$28:$A$35</c:f>
              <c:strCache>
                <c:ptCount val="7"/>
                <c:pt idx="0">
                  <c:v>1</c:v>
                </c:pt>
                <c:pt idx="1">
                  <c:v>2</c:v>
                </c:pt>
                <c:pt idx="2">
                  <c:v>3</c:v>
                </c:pt>
                <c:pt idx="3">
                  <c:v>4</c:v>
                </c:pt>
                <c:pt idx="4">
                  <c:v>5</c:v>
                </c:pt>
                <c:pt idx="5">
                  <c:v>6 TO 10</c:v>
                </c:pt>
                <c:pt idx="6">
                  <c:v>More than 10</c:v>
                </c:pt>
              </c:strCache>
            </c:strRef>
          </c:cat>
          <c:val>
            <c:numRef>
              <c:f>Pivots!$B$28:$B$35</c:f>
              <c:numCache>
                <c:formatCode>General</c:formatCode>
                <c:ptCount val="7"/>
                <c:pt idx="0">
                  <c:v>397</c:v>
                </c:pt>
                <c:pt idx="1">
                  <c:v>540</c:v>
                </c:pt>
                <c:pt idx="2">
                  <c:v>375</c:v>
                </c:pt>
                <c:pt idx="3">
                  <c:v>246</c:v>
                </c:pt>
                <c:pt idx="4">
                  <c:v>195</c:v>
                </c:pt>
                <c:pt idx="5">
                  <c:v>414</c:v>
                </c:pt>
                <c:pt idx="6">
                  <c:v>233</c:v>
                </c:pt>
              </c:numCache>
            </c:numRef>
          </c:val>
          <c:extLst>
            <c:ext xmlns:c16="http://schemas.microsoft.com/office/drawing/2014/chart" uri="{C3380CC4-5D6E-409C-BE32-E72D297353CC}">
              <c16:uniqueId val="{00000000-97A1-4795-811F-74D342FB9410}"/>
            </c:ext>
          </c:extLst>
        </c:ser>
        <c:dLbls>
          <c:dLblPos val="outEnd"/>
          <c:showLegendKey val="0"/>
          <c:showVal val="1"/>
          <c:showCatName val="0"/>
          <c:showSerName val="0"/>
          <c:showPercent val="0"/>
          <c:showBubbleSize val="0"/>
        </c:dLbls>
        <c:gapWidth val="5"/>
        <c:overlap val="-27"/>
        <c:axId val="437815999"/>
        <c:axId val="437819359"/>
      </c:barChart>
      <c:catAx>
        <c:axId val="4378159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819359"/>
        <c:crosses val="autoZero"/>
        <c:auto val="1"/>
        <c:lblAlgn val="ctr"/>
        <c:lblOffset val="100"/>
        <c:noMultiLvlLbl val="0"/>
      </c:catAx>
      <c:valAx>
        <c:axId val="437819359"/>
        <c:scaling>
          <c:orientation val="minMax"/>
        </c:scaling>
        <c:delete val="1"/>
        <c:axPos val="l"/>
        <c:numFmt formatCode="General" sourceLinked="1"/>
        <c:majorTickMark val="out"/>
        <c:minorTickMark val="none"/>
        <c:tickLblPos val="nextTo"/>
        <c:crossAx val="437815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[dashboard_tutorial.xlsx]Pivots!pvtProduct</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Pivots!$B$41:$B$42</c:f>
              <c:strCache>
                <c:ptCount val="1"/>
                <c:pt idx="0">
                  <c:v>Female</c:v>
                </c:pt>
              </c:strCache>
            </c:strRef>
          </c:tx>
          <c:spPr>
            <a:solidFill>
              <a:schemeClr val="accent6"/>
            </a:solidFill>
            <a:ln>
              <a:noFill/>
            </a:ln>
            <a:effectLst/>
          </c:spPr>
          <c:invertIfNegative val="0"/>
          <c:cat>
            <c:strRef>
              <c:f>Pivots!$A$43:$A$63</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Pivots!$B$43:$B$63</c:f>
              <c:numCache>
                <c:formatCode>General</c:formatCode>
                <c:ptCount val="20"/>
                <c:pt idx="0">
                  <c:v>744</c:v>
                </c:pt>
                <c:pt idx="1">
                  <c:v>716</c:v>
                </c:pt>
                <c:pt idx="2">
                  <c:v>627</c:v>
                </c:pt>
                <c:pt idx="3">
                  <c:v>568</c:v>
                </c:pt>
                <c:pt idx="4">
                  <c:v>482</c:v>
                </c:pt>
                <c:pt idx="5">
                  <c:v>428</c:v>
                </c:pt>
                <c:pt idx="6">
                  <c:v>445</c:v>
                </c:pt>
                <c:pt idx="7">
                  <c:v>431</c:v>
                </c:pt>
                <c:pt idx="8">
                  <c:v>264</c:v>
                </c:pt>
                <c:pt idx="9">
                  <c:v>296</c:v>
                </c:pt>
                <c:pt idx="10">
                  <c:v>153</c:v>
                </c:pt>
                <c:pt idx="11">
                  <c:v>189</c:v>
                </c:pt>
                <c:pt idx="12">
                  <c:v>234</c:v>
                </c:pt>
                <c:pt idx="13">
                  <c:v>146</c:v>
                </c:pt>
                <c:pt idx="14">
                  <c:v>127</c:v>
                </c:pt>
                <c:pt idx="15">
                  <c:v>179</c:v>
                </c:pt>
                <c:pt idx="16">
                  <c:v>99</c:v>
                </c:pt>
                <c:pt idx="17">
                  <c:v>75</c:v>
                </c:pt>
                <c:pt idx="18">
                  <c:v>43</c:v>
                </c:pt>
                <c:pt idx="19">
                  <c:v>26</c:v>
                </c:pt>
              </c:numCache>
            </c:numRef>
          </c:val>
          <c:extLst>
            <c:ext xmlns:c16="http://schemas.microsoft.com/office/drawing/2014/chart" uri="{C3380CC4-5D6E-409C-BE32-E72D297353CC}">
              <c16:uniqueId val="{00000000-AE88-492D-882C-B18C466F3CC4}"/>
            </c:ext>
          </c:extLst>
        </c:ser>
        <c:ser>
          <c:idx val="1"/>
          <c:order val="1"/>
          <c:tx>
            <c:strRef>
              <c:f>Pivots!$C$41:$C$42</c:f>
              <c:strCache>
                <c:ptCount val="1"/>
                <c:pt idx="0">
                  <c:v>Male</c:v>
                </c:pt>
              </c:strCache>
            </c:strRef>
          </c:tx>
          <c:spPr>
            <a:solidFill>
              <a:schemeClr val="accent5"/>
            </a:solidFill>
            <a:ln>
              <a:noFill/>
            </a:ln>
            <a:effectLst/>
          </c:spPr>
          <c:invertIfNegative val="0"/>
          <c:cat>
            <c:strRef>
              <c:f>Pivots!$A$43:$A$63</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Pivots!$C$43:$C$63</c:f>
              <c:numCache>
                <c:formatCode>General</c:formatCode>
                <c:ptCount val="20"/>
                <c:pt idx="0">
                  <c:v>713</c:v>
                </c:pt>
                <c:pt idx="1">
                  <c:v>598</c:v>
                </c:pt>
                <c:pt idx="2">
                  <c:v>393</c:v>
                </c:pt>
                <c:pt idx="3">
                  <c:v>306</c:v>
                </c:pt>
                <c:pt idx="4">
                  <c:v>295</c:v>
                </c:pt>
                <c:pt idx="5">
                  <c:v>293</c:v>
                </c:pt>
                <c:pt idx="6">
                  <c:v>202</c:v>
                </c:pt>
                <c:pt idx="7">
                  <c:v>187</c:v>
                </c:pt>
                <c:pt idx="8">
                  <c:v>318</c:v>
                </c:pt>
                <c:pt idx="9">
                  <c:v>275</c:v>
                </c:pt>
                <c:pt idx="10">
                  <c:v>246</c:v>
                </c:pt>
                <c:pt idx="11">
                  <c:v>168</c:v>
                </c:pt>
                <c:pt idx="12">
                  <c:v>93</c:v>
                </c:pt>
                <c:pt idx="13">
                  <c:v>94</c:v>
                </c:pt>
                <c:pt idx="14">
                  <c:v>118</c:v>
                </c:pt>
                <c:pt idx="15">
                  <c:v>76</c:v>
                </c:pt>
                <c:pt idx="16">
                  <c:v>69</c:v>
                </c:pt>
                <c:pt idx="17">
                  <c:v>103</c:v>
                </c:pt>
                <c:pt idx="18">
                  <c:v>90</c:v>
                </c:pt>
                <c:pt idx="19">
                  <c:v>35</c:v>
                </c:pt>
              </c:numCache>
            </c:numRef>
          </c:val>
          <c:extLst>
            <c:ext xmlns:c16="http://schemas.microsoft.com/office/drawing/2014/chart" uri="{C3380CC4-5D6E-409C-BE32-E72D297353CC}">
              <c16:uniqueId val="{00000001-AE88-492D-882C-B18C466F3CC4}"/>
            </c:ext>
          </c:extLst>
        </c:ser>
        <c:ser>
          <c:idx val="2"/>
          <c:order val="2"/>
          <c:tx>
            <c:strRef>
              <c:f>Pivots!$D$41:$D$42</c:f>
              <c:strCache>
                <c:ptCount val="1"/>
                <c:pt idx="0">
                  <c:v>Other</c:v>
                </c:pt>
              </c:strCache>
            </c:strRef>
          </c:tx>
          <c:spPr>
            <a:solidFill>
              <a:schemeClr val="accent4"/>
            </a:solidFill>
            <a:ln>
              <a:noFill/>
            </a:ln>
            <a:effectLst/>
          </c:spPr>
          <c:invertIfNegative val="0"/>
          <c:cat>
            <c:strRef>
              <c:f>Pivots!$A$43:$A$63</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Pivots!$D$43:$D$63</c:f>
              <c:numCache>
                <c:formatCode>General</c:formatCode>
                <c:ptCount val="20"/>
                <c:pt idx="0">
                  <c:v>90</c:v>
                </c:pt>
                <c:pt idx="1">
                  <c:v>18</c:v>
                </c:pt>
                <c:pt idx="2">
                  <c:v>29</c:v>
                </c:pt>
                <c:pt idx="3">
                  <c:v>22</c:v>
                </c:pt>
                <c:pt idx="4">
                  <c:v>8</c:v>
                </c:pt>
                <c:pt idx="6">
                  <c:v>14</c:v>
                </c:pt>
                <c:pt idx="7">
                  <c:v>14</c:v>
                </c:pt>
                <c:pt idx="8">
                  <c:v>15</c:v>
                </c:pt>
                <c:pt idx="9">
                  <c:v>9</c:v>
                </c:pt>
                <c:pt idx="10">
                  <c:v>30</c:v>
                </c:pt>
                <c:pt idx="11">
                  <c:v>10</c:v>
                </c:pt>
                <c:pt idx="12">
                  <c:v>19</c:v>
                </c:pt>
                <c:pt idx="13">
                  <c:v>4</c:v>
                </c:pt>
                <c:pt idx="14">
                  <c:v>13</c:v>
                </c:pt>
                <c:pt idx="15">
                  <c:v>3</c:v>
                </c:pt>
                <c:pt idx="16">
                  <c:v>3</c:v>
                </c:pt>
                <c:pt idx="17">
                  <c:v>4</c:v>
                </c:pt>
                <c:pt idx="18">
                  <c:v>8</c:v>
                </c:pt>
                <c:pt idx="19">
                  <c:v>4</c:v>
                </c:pt>
              </c:numCache>
            </c:numRef>
          </c:val>
          <c:extLst>
            <c:ext xmlns:c16="http://schemas.microsoft.com/office/drawing/2014/chart" uri="{C3380CC4-5D6E-409C-BE32-E72D297353CC}">
              <c16:uniqueId val="{00000002-AE88-492D-882C-B18C466F3CC4}"/>
            </c:ext>
          </c:extLst>
        </c:ser>
        <c:ser>
          <c:idx val="3"/>
          <c:order val="3"/>
          <c:tx>
            <c:strRef>
              <c:f>Pivots!$E$41:$E$42</c:f>
              <c:strCache>
                <c:ptCount val="1"/>
                <c:pt idx="0">
                  <c:v>Unknown</c:v>
                </c:pt>
              </c:strCache>
            </c:strRef>
          </c:tx>
          <c:spPr>
            <a:solidFill>
              <a:schemeClr val="accent6">
                <a:lumMod val="60000"/>
              </a:schemeClr>
            </a:solidFill>
            <a:ln>
              <a:noFill/>
            </a:ln>
            <a:effectLst/>
          </c:spPr>
          <c:invertIfNegative val="0"/>
          <c:cat>
            <c:strRef>
              <c:f>Pivots!$A$43:$A$63</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Pivots!$E$43:$E$63</c:f>
              <c:numCache>
                <c:formatCode>General</c:formatCode>
                <c:ptCount val="20"/>
                <c:pt idx="0">
                  <c:v>98</c:v>
                </c:pt>
                <c:pt idx="1">
                  <c:v>214</c:v>
                </c:pt>
                <c:pt idx="2">
                  <c:v>137</c:v>
                </c:pt>
                <c:pt idx="3">
                  <c:v>16</c:v>
                </c:pt>
                <c:pt idx="4">
                  <c:v>22</c:v>
                </c:pt>
                <c:pt idx="5">
                  <c:v>24</c:v>
                </c:pt>
                <c:pt idx="6">
                  <c:v>39</c:v>
                </c:pt>
                <c:pt idx="7">
                  <c:v>15</c:v>
                </c:pt>
                <c:pt idx="8">
                  <c:v>9</c:v>
                </c:pt>
                <c:pt idx="9">
                  <c:v>23</c:v>
                </c:pt>
                <c:pt idx="10">
                  <c:v>8</c:v>
                </c:pt>
                <c:pt idx="11">
                  <c:v>31</c:v>
                </c:pt>
                <c:pt idx="12">
                  <c:v>24</c:v>
                </c:pt>
                <c:pt idx="13">
                  <c:v>28</c:v>
                </c:pt>
                <c:pt idx="14">
                  <c:v>12</c:v>
                </c:pt>
                <c:pt idx="16">
                  <c:v>24</c:v>
                </c:pt>
                <c:pt idx="17">
                  <c:v>6</c:v>
                </c:pt>
                <c:pt idx="18">
                  <c:v>6</c:v>
                </c:pt>
              </c:numCache>
            </c:numRef>
          </c:val>
          <c:extLst>
            <c:ext xmlns:c16="http://schemas.microsoft.com/office/drawing/2014/chart" uri="{C3380CC4-5D6E-409C-BE32-E72D297353CC}">
              <c16:uniqueId val="{00000003-AE88-492D-882C-B18C466F3CC4}"/>
            </c:ext>
          </c:extLst>
        </c:ser>
        <c:dLbls>
          <c:showLegendKey val="0"/>
          <c:showVal val="0"/>
          <c:showCatName val="0"/>
          <c:showSerName val="0"/>
          <c:showPercent val="0"/>
          <c:showBubbleSize val="0"/>
        </c:dLbls>
        <c:gapWidth val="10"/>
        <c:overlap val="100"/>
        <c:axId val="497090703"/>
        <c:axId val="497091183"/>
      </c:barChart>
      <c:catAx>
        <c:axId val="497090703"/>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091183"/>
        <c:crosses val="autoZero"/>
        <c:auto val="1"/>
        <c:lblAlgn val="ctr"/>
        <c:lblOffset val="100"/>
        <c:tickLblSkip val="1"/>
        <c:noMultiLvlLbl val="0"/>
      </c:catAx>
      <c:valAx>
        <c:axId val="497091183"/>
        <c:scaling>
          <c:orientation val="minMax"/>
          <c:max val="1700"/>
          <c:min val="0"/>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090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[dashboard_tutorial.xlsx]Pivots!pvtDuration</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Pivots!$B$69</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Pivots!$A$70:$A$85</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Pivots!$B$70:$B$85</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0-0029-4B79-B03B-7CF409AF7A19}"/>
            </c:ext>
          </c:extLst>
        </c:ser>
        <c:dLbls>
          <c:dLblPos val="outEnd"/>
          <c:showLegendKey val="0"/>
          <c:showVal val="1"/>
          <c:showCatName val="0"/>
          <c:showSerName val="0"/>
          <c:showPercent val="0"/>
          <c:showBubbleSize val="0"/>
        </c:dLbls>
        <c:gapWidth val="10"/>
        <c:overlap val="-27"/>
        <c:axId val="508141423"/>
        <c:axId val="508142383"/>
      </c:barChart>
      <c:catAx>
        <c:axId val="5081414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142383"/>
        <c:crosses val="autoZero"/>
        <c:auto val="1"/>
        <c:lblAlgn val="ctr"/>
        <c:lblOffset val="100"/>
        <c:noMultiLvlLbl val="0"/>
      </c:catAx>
      <c:valAx>
        <c:axId val="508142383"/>
        <c:scaling>
          <c:orientation val="minMax"/>
        </c:scaling>
        <c:delete val="1"/>
        <c:axPos val="l"/>
        <c:numFmt formatCode="General" sourceLinked="1"/>
        <c:majorTickMark val="none"/>
        <c:minorTickMark val="none"/>
        <c:tickLblPos val="nextTo"/>
        <c:crossAx val="508141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00000000-7521-4ABD-9C34-807E7B5CEDAF}">
          <cx:tx>
            <cx:txData>
              <cx:f/>
              <cx:v>Qty</cx:v>
            </cx:txData>
          </cx:tx>
          <cx:spPr>
            <a:ln>
              <a:solidFill>
                <a:sysClr val="windowText" lastClr="000000"/>
              </a:solidFill>
            </a:ln>
          </cx:spPr>
          <cx:dataId val="0"/>
          <cx:layoutPr>
            <cx:geography cultureLanguage="en-US" cultureRegion="EC" attribution="Powered by Bing">
              <cx:geoCache provider="{E9337A44-BEBE-4D9F-B70C-5C5E7DAFC167}">
                <cx:binary>7H1pb9w4s+5fCfL5ykNS3PTinQMMpd68b3GWL0Lb7kjURu3br7/VdpKTbrff0wZiXJzG7QxmxlEX
XdIjVj1VLBb//dD/6yFZLcsPfZpk1b8e+r8/hnWd/+uvv6qHcJUuq6NUP5SmMt/roweT/mW+f9cP
q78ey2Wns+AvgjD96yFclvWq//hf/4bRgpU5NQ/LWpvsqlmVw/WqapK6+g/Xdl76sHxMdebpqi71
Q43//uguE/3dlJlefty8Rv7+eLYsdW6q5QfXNFk9fPywympdD7dDvvr748ZA5OOHv7Z/3wvdPiSg
ft08grAtjqikRDBJ0NMHf/yQmCz4cdnC2DlyOBWSCOQ8fX7+8vNlCvJv0exJr+XjY7mqKrjFp//u
GGHjfuC5/LPH83hYP5c1FgHA8vfHT5muV48fbuplvao+ftCVeXpw5eCa9U1/unl6Sn9tovlf/976
C3huW3/zG+DbD/l/urSJ6f+A9z8JPNzH94FbIiqJ5PYzmmILbkKOiCBUcHiRnl+yZ5zfoNFumLcH
2APlbZEDA/nMPJqHPz+jKT6iDnKYg/kzxHwbYnTEKGHUwfYmxnsrtBvhTfE98N0UODB0/0lyna3+
PLy2POKOzTgGAJ8+cgteMNgCPowJugnv/hrtxndLfg+AtyQODOGzVQYTWGfmHUB2jvAaXiHwbq9M
7COCBLdtBwz473b6TUrtxvnlEHtA/VLowNAGerZsV+Wyege05RF2OMFEiGe0wfducDCCjrhEDrEp
2PLf0X6TUrvRfjnEHmi/FDowtG+WDyVQsKx+j8ktj5gAG04B0qfPCw629uDrPzb9Scl/B/1tuu1G
fccYe8C+Q+rAcL8ol1nwHl7bPhIOplLy17y2OJLMRg5HEID9jvb+Gu1Gekt+D5S3JA4M4X/S5aMp
38WI2xA2ISKBdm1bbyEIcQDdXdN5f4V2A7wlvwfAWxIHBrBq6vo9ZrBzxDB4YPQa7yb4iDHKMSZb
M3hvhXbjuym+B7ybAgeG7jrflL3D7BVHjqBMMPQjL7IdVUFehNlYcuHAld/t894K7UZ3U3wPdDcF
Dgxd10AWbwnwVvX6380fznXKI4Sl49i2eCZeO0DGQMuYwFsgv1Wv3VjvHGUPyHfKHRzySfMu+W0H
AmWInCBf8kpsRY4QkjZ3KNuc2K7ZV6PX0N6Q3wvnDYkDQ/gmXL7LrKaQzhSU29J+LXomR7bESEqy
FT3vr9FuhLfk90B4S+LAEPZWyYdzAytlf950Q1JbMAo0em2/158XMTOFeU5tWLfYWrh4k1K7cX45
xB5QvxQ6MLQnyQfPlBBM/Xm0IcctiMMZ+UHGHGdHSOWs42nGd4VUb1JtN+Yvh9gD85dCB4b5FJZu
3yXfzY+EjTljsNz8/NkCfL2oIRn8wVteen+NduO8Jb8HyFsSB4bwLFll7xFfQfRMEMPO2gdvZkcI
JL8lFjbbMtx7a7Ib2E3xPXDdFDgwWOdNem+Sx/rP22qgX0JyTOlLZOkR5thGUG3wc07/Hji/RaXd
EL8YYQ+UX8gcGNB38IibpxD6TwfPQLAkBEroteAZTDTkODHiaCt4foNKu3HeHmAPmLdFDgzlRZqv
Sr1M/vx0tgksVBDJKCD59IEakQ17jdkRA0fNMOS615+tZOdbNNuN9osR9oD7hcyh4Z0N70Gz+ZFE
BPyy+LEotU2z8Xph2uFcyq0pvdhTn1cQ/l16H3R///6BIQslipmukmXzHnUF4ohTBMyK209TFb2o
K8CQ+yIU8qFb+L5Nq90o7xhjD6x3SB0a4iZZvksMJY8Ig5BYiB9og2XesNywhIGoIxnariK52Vuj
V5DelN8H5U2JA0P4MmmgrvwdfDOUYttcQFrkR5T8IgmGjhwqofTT3oqS99doN8Jb8nsgvCVxYAif
rMr3CJLZkS2eVpifqdWaW23MYKDY6wUsbJOtqr999dmN7ob0HthufP/QkIVNH+8xdfkRgAaF9ZS9
muDicA2KB7ah3VehV7DdEN8H3A2BA0P3ZpmtF5bLZnwH68zXJQSYop9198CpNmbv2v8SKREUeW2u
NL5Nq9047xhjD7B3SB0Y4qfL+B2Wo2wwxBAhw5ao15g1OXIww1yKLaz31Wc3yhvSe+C78f2DQ7aq
Vu/ghSGhSWFzhXR+bIhD2xmQdTU2XKZQDLQ5j0+X+2r0Grob8nvhuyFxaAib6sM/UI6brN7DI9Mj
xAix5U+PvG2uIfmxDo2pgGm+I9F1+jblXkF8xyD7wL5D7MCwv9FVrAfT/Hk/vS4lsDHsd/25BXI7
6wV+mkPOhCG+tT/uLTrtxvvFCHuA/ULmwJA+Wz7Ctpo/j7MNfIwTWFaEos6fE3iTj6EjgBh2P2N4
A35fmdpfo90ob8nvgfGWxKEhvCofYDe2+8frOcWRjbjDJf+xwLhtwsFTU4kdsOA7N9Kc7a3XKzhv
yu+D86bEgeH81STvsUoBG14FrFBA5f12QAWWXIB/hlXmzQm8ryK7Yd2Q3gPUje8fGKSXyfJh9T67
ZaTztCPqeU/MS5INSxNivQhJfuVLfjfR++u1G+Mt+T1Q3pI4MJzPzLstSTAoD/lhn19Uba5rBiAl
4kAgvTmD99VnN7ob0ntgu/H9A0P2tkmW5XukQCCjaSMMQfKPGbwjWU0cWDnGbItG76/RbnS35PfA
d0viwBCGt7delavhHQgWB9cLztdGP0rrX6RC8BFnHIrvt9vFvEWn3Si/GGEPnF/IHBjS58v8PQIl
SHQ4sDQBaw/PgdILlKEnEOS7EMTMm1Z6X312I7whvQe6G98/NGRX7fJd+j2Bg+VEQNnejyD4BbbA
szDsfaLbixLne2v0Crqb8vvguylxYAhfa+geUunH93DF9pEjEbPtH8vGL9eNIVCG3iKwtrhFs96k
1G6cXw6xB9QvhQ4MbVhY+6BW0IXuPQJiKNtjUOoDua1fsdFmYgv6hyCCoCh7a/HpbVrtxnvHGHsA
vkPqwBC/hX3p0JLxz5OwdYE91A7A3vQf/dxeVP3AWiM4Zwx7XDfd8xtU2o319gB7AL0tcmAo36yb
S7xHPgQaftmEQA+oH6VdL1KZwLTX5X0v/PT+Gu3GeEt+D4i3JA4N4SfLXWbL8vF9WrvBrhjYRoEl
RM9Pn21GhgXQcYogO7Y5m59N6FsUewXw3Te4D/C7JQ/wBfD0KngPzw2bKzAYcthgsZXKBtAxbGGH
t+KHT3+J/d46vQ775hB7Ir4p9L8A7P+s4sZdr9vw/vPzUe/opvz2ZsrQV5VzB7+eE+NYEIFhzfHp
8/N3PzfZhbZ6v1pAP2e7d+m0G9/fZTfu8fkW//ND+V/XIPkG8tXp++RCqO1wSIe8lvF6msKcwrLx
Jnb7a7Qbvy35HRBu/BU0Bd+SODSEwdlMoRvfg64ezM9HvWM6QErqrQ3PBdRgCshMvxI9kSMKXd+Z
tHc44F8a7cPzXwH69xv7NcwGuLubnq8JwMvff3iwQ4WuWpb3y3cpCqFrcNdtvH4YYMB4I3aGFSnu
SJtCNLXLQgMGb1Pv1XdgxzD7vQM7BA/vHfhwbJZF816d3oCCUQLvwU7+DX38iAOF+o7znDLdCqrX
s/ANyr2K/4tB9kP/hdgBYn/a6OrDxb2u8vfg4AwWMwiHnDd4gfVne91yXd4LiVTo47jD/r9RtdfR
3zXQnm/ALtEDfAvO4OyO98D/6cATIWCP3LOB35FOg5oEaL9Od8z8vZV6HfnNIfbEfFPowNC+XYXL
9yDzkDmFLgUcyrxfcfZQ6QsdXSFNvi5jeDYFvxcZ7a/XbrS35PeAekviwHB+Jk8u1KO8R+QGa1xQ
rA8bcl4rBsVH62oUWOrc2hz7RrV2Y71rkD0A3yV2aKjrVfkugENLKY5s6C70XNz7soQQHcFFIPuw
5X3H7L7ZW69XEN+U3wfsTYkDw/m2gYap6bsceQPNmSXkxIGTPwG5i7LBe4CxJJBM37Dgb9BpN8ov
7moPnF/IHBjSX5v79zDg6zNvMDQWgmrQp8+ObiUM9lNKKDfbRHlffXYjvCG9B7ob3/9/gezrZ9L9
OujPW9bLydMRgb8dS/efrz49HDjbcEv0x3TanXh7nmqLx78/QuWYDVYWljV+JePWA21MxufGiT+h
25RaQW/gvz/CaYPyCKpYGOySFtAKAVEg593q+RLEZQ6WUKcGHcbgGwyiswyazYZPZxjCz8KGxgjQ
CRhaxIIalWmeLrEjB7aIYFg+J1D/ss7a/rzRS5MMgcl+PZUfP3/ImvTS6Kyu/v4IG/Y/fsifv7fW
lyFYuuEMOpNKWMdxGFunCPOH5fV6zzw8hP8Tpwl2+toX535fHQd10WZndUcG7kZpm+fGy3QzzmRX
VW4Z5Hl5NyZ+jD3jZHl4Ukfh196ubtKwGLywymK3q5tZ0QVePAZaYZQRz+CEK+NE9/C0tbIzpieD
VRVeNrJzOEOodnlifTVdep2l8eeuMTi+qkUe3sSxnjtdrzLhN25iVSpA2jqP/Ux2qmiLSZlawdch
r8NL3w81vwyTQVyyTFahSzt/tBWHMy6Nx/wUZbdcWPbUL52wm1Q99uuLwqpCfdfQtGonSdx9jokT
2l4Vm7kOo2iYE1SedRE97hp2zQI6eL7I7tCY3DZU28qE+QOROlU8bO7TetRuWUcTyMDdh1k0qtKi
57whn3nf3zWhZq7dWadWa3lWSjMV6EormufYk0OHVZUJOsE0/Ex8W7opj7+RgN3EsruIopx5g6Uf
odbxNm3oCtFIT6oUHgqT9ZWw41wFfVvMOxhfkSCPvw12UKi403M0Op1XFGGh0kTeFgkmU5PFmcrs
2lJ9ROZhHaisbUsv7fTCDu1IsTQUKivFqCoUZxMSFckkRsOxnZMrnzSpO9ohURklcxMP2CUy7lxn
6MliaDFTVoMekXE82VSpa/nMn8SimqWZswxCcwLLEyeV7ZSulpal7NG5EX7Suk5YTXvfemTOOE1Q
v8j9/Dwoea5av/TycuTzNKtDVfn599pYpeK6i1VjpQ9d6PReO2Rf4JWuFXFaMee0jqfwel1RXNSq
lua8ZpGl6OhfJk59xQKjVRDiaz+3LLdJRKhQXzI3Ym3lwvvmhcx8aSJSKhPUxzUgWFfNlBWhnvWM
joqjwkzGjC7SdrjoC/YZV/W5U+vbqDaxq1F1lwbhdUhD7eWomeGAW4uI17Zqw/J6EP4t6tDVWDQw
RbDOvQF3gXK0Hjxc+peNP86HxLcWdm89lIUVeojm8WxgPlIjdhK3a9LUC1g1kwJRD9NhPDa5uIgG
M0yNZJ2bN5ntpm1Sq4J2pyzGj0mij3UjEw9K+M54lJdKI3EC+1PxDDlJooagcDFMAI/iaFmivJsO
Tn3hlPRLa4XITeHNUtGQcjds7O/p0Iwqzs11M+Zu3Yj5CE9GCdGPimZmdOu4/US6MZtbFN5OP8g7
VSV6lQxknDVCfGEdu4Fa3X7Rmli7SUkWkMqyPVvK07C1iOK0kC5KKZ12RXShA+5xK75Ok/Y8COHd
7kKBVRfFE506lyTIiimH82tnXd7ZXlH2gyoyftvhonVRib77hH5DdvIA9n1RdDZSOqiZ8i2yopV1
V0XCcdM0vUu7mkyI09wMQ41nmqdfzUBPmGUG1io5hBU9FrTnV3YkcwGn3qLBHcLi3u4yzxBWwCwX
uWpYccatvp6MsZmxdrwvbfK1kI49d1DWq9wRl2PTZp6sQ+nRknO4VTtTTjg8+INfLZCob8KsTlyZ
o2Q+IDOoRsSRm4b2t5zTmzqtpduFMp7ixu+8sokjL8rzzM00Om+b3ExiZq/acXC8jPGzKCKt1/pG
zOM4c9zWoolymsJRKeps1dHuwWphJuOK2nPkd+xc90yrtip6T1ok9GxSXHcZr44HKeoJHttJrLMe
cNLTOrAHT7No8IYozM9S0S2G1P+WZn3vpRZNJ9AsJlC9DW9rXkYPXGRC5X40TljmTwNqD3OelcXC
5HQah0R7oeDJVMoxVWAPx1kWFd9KyaZZac2Czp/BzsvwKrQ0d5nRjhqqDimnTp1pb2VGcTb4Vzwj
+VQUeFEE9mkkdDCt00jOqqINvA5WzFy/HYbjsGke4wJF0zCv7WOS25HL8rGZxH2QzcMsGz+NXQrY
dIM1ZTIwysoA14CkYBHrdmGnfqnAyY9uwtqTIHGOfWc8sfSYehLn5dSPx6sy9b0gFDfSEvx0rIpC
hc0YqqYdLvMmvM3IOIBDxMk0t0utmtAq3ciuH3iRtiqFxgyzXta9O+CgdiUZe4WT8LLW5DLzR+TF
RrezPB9P7No/9RPbi4vxsi2reGJHBfKI33GlRXnusOhBZul9Uvk9vEOOrzi3mJdY7NjYcpj4PGjd
YCwShVB3h5t4aWLrMin1TRxYxl1XX06iEnNV0nyVjOJ7kCI6rW1aeaWmMKQmmdcl6GuurVS1jT73
ncZMYb9b63VF6bvGj08ymaJ51EfBXREmnu78r5zUkSIwdUWSfi/T+iuzLcXC+jxv4VWmdfrgM+JM
sKNj5aTJXWOkVkbrVhHLuhpRjjwr0Wc4Z74yJj5JSmAiFHwqs1owYBivelnNReOfSn9IZ0gPx4mf
OV4RWypi2ed0KM/7jGSKD2mqyoi6AOhxUeETlqSPVi6/d73VKN6ZRVZYc7+KVtJqp1Vj6lkl8kmV
w9XOWHcoQqdjcJJGoSobscireOk00X1YgfFtLaSiUiwa7a/fGhm4FS+Px6qbJiIGeFJLqyivTvoR
3mftk3JKCF3ZyNiKMHGjowC+DAa8TfGpLhOsKDKBi2HazYC5fQMGttC9mRbAdJRd8+ORmdRtcn3B
C6l8p/uMbRg8743q/Ogk7ng4s9P6gQbO50D4mZunxTkS6eWaxGAbHJ6TBTMW4tQbpH3ex/pT2XWh
yiukXSsvLnPtnA7EdzybF9eNVXZKRAy7I01njelHryXRhOMuVcbOparSNJhqH6ZONtpgLMrhJm0L
uDWZtZMQeKeSiZ5Ymb1mD+VC2OFxN0TfQ8z0NOjkxYCjmRlnlRN7RM7KIfNwfyqt+DZM2lhZlKYu
kmwWRW2uBgFExh7vbdlNeRfcS65PKWlKoBwoBLCKpTGkVT3pIgaOuC1PYPrcBkOfK13LO5wL1XOj
ZFVO5NwOkjkxyaKtY8+Xdn6V8TIdXJRp3k00Zdj6HLbGILcnWVUexz3csq1018p2apLWGq4GQCdD
TFse9U2gglF02pNOfGw6BFrEFsw2q5yNTtCo0lhTS0S5l8VWN9XUeDSNG89vzRdf4nGSybZQ7RDg
SUKiT3aZ3XSU99PKpt+LqPxMtWAqBeJl+bqeQse8RSjoMs/6y147TIUij91Q16kLvKty45gWinUt
VtZgenAnA/BCBI6tApcG+K2xA27eOIMKnPC0KDFVSU69vhbnba0vnEacwtlRjsqqaImdwasceorH
AdiNye/BtwwKSIQbZ/JTpTU9rhu0Gv02m40R4mpo5Zy2zWXBxxBI3jjrIZRQwGs6j/vZY9mlc5uH
lsuQGadFxU9pkVyTuIUAULQuS003B7t76nT2TAwMnB2rqnnTwoyOCPxCVoZuTJNKVbgFejNyNebR
LCfAdh0cf4sL7dLwIs5jsACD6np7wcrKVo5sz60qK1SW1xcpix7zoYxVgAe3G/S5CdA5c4ZpkrXn
lFzwOlXWWHhlaQXHLTKf4y5Y1KH+Wov6U+6YUkUjmshy1nNx0weVC7z3fCjIN53juVNZYBnTYDEO
YlxETfINFPwUaot7ArjgJKxzfQJW4RtNTfs5HdtAmSI66cPYeFUbGXdIx7OuHYhbcPwlb9Gyj+Kr
rsuWcS5Lt61qeBOcrwkzp9oOP6ddqNXv58NvBIoPBu5TB2H9HDf++vG/bk0K/zwdGP/ff/lvOGH+
v3+arcy6zqva/tI6oP/1LRj3R4C/DqA3fngR0f8MZbdi9utVBdHaKxffFtBD/P16QP/ruIsdMT0I
/orpnSNI2zgQ0UPLJBuW1n6L6THkfOBcAMeGFVk4dQsC958xPXTY4gLaLHEI+GGRxv4tpofzU6Fr
LZYMS8Shwy1/S0wPJ59vx/RQdgm7WKEvKnT0ojDuZkxfBH7PLNxWF4iauy4b8LS1C8+Cs0nAkFfl
pTX6wTxLufnCaF67DksKVQtLKJmOvVtZbXY8BkOj4jErXeTTz3EVC6+M5ODmUO89HdexVqpHrVjp
l25NGzMpfKd1i6rqTqNohILrjCu7l+Exz8Unp8oWQRhmUz6WiRLMHEOCO5iXtljUuv8MFCZUbZTf
lCYcFLe0M8coeMhoe9vb6MRKm3ODQqAggY8VKiM8HRjOVQ5RddLp2VDg0TWjcxINyVe/Jsc1B18b
ds0NaoNkGhQ8dJuOI8V7ds/L2JrXNfiDsmfD1DH9ihu+EtKJvCp0Gg/o45nT218yYrLjvEmMgl7D
S9ICGzVAEkDNBydLL2JWKmm3wrVCbsxdHw3BBGqwZjH2IRDI+TKJ0DQwyVXqh5YaWbriCZ70Mbh1
k+QzaoWPouyuOx4Hc+RoqdKWBZO4G0cvAjsxaaz+QoRA2nVA7rQvz1rbJwpSRQYslgRXmwPvi7J4
lrTdwub1txR3iSpsCIsaWV2MI+1OJBruZBJ18rKvuuA0r3tg24mkpXMaWvn3sQkhLBraaFJFDXVN
LyAvMSb9LNWQ2ih05CzyYgiv7Jh8whpMTD4UaE5kqMYgtr+OCAh+qhynuW14EpzXdZYfjygtnUlo
xfOcmUkXoWtsDIO0j4xUpocKnJC+0x3LlR82UtlWHXl2AMF4zvPeY6aulWWZyyDygb9WwYxwdCss
HEH0Vz42TT9HCT+mTQaPeEg9P+o/50w/Cjs99a0oVhkG8t2VYLuF1SwhuzO4EbW/WiT5ZuU2UzgQ
s8GhRuVhBDme4KYQpvL6ZpxaBMKyYpTTIYu9PhJelsSn3BdnuAHyJgfgNGP2HSVGTtpGQhjHhtbN
44Cp1ooeMLe+wAan6RD210lYnw6tdcus8FudJKuwjB1VNNZJ0ZfnyPY/9Vl0MnQpoOWTuyC1Mzcs
/Vu/F5BPgyeUk4BO7Vx0biyd84zQr77oPsEpu6NKgiRye8spldDovqLOdVdG5wGEIUDWAiVFe9Fh
em0PcC+pr6/KCi+g14wLp/ger2PyhncnucXug6G+kzRwg4ydt5RdhHqc22WqcqSBJlTDF9ZIOYsC
IPqxdogLZg5CogKYsANsQvl9q91Wl1/KKj22nfYstskiROMdxGwSnodvu4XdLfKSaRdeWKRyK7mu
tH2f26kzF3FSqpHLGUQG9iQBWjbxa1NNSOinU+OM85GSNV1OowVEYm5f4akkfafWFhesFIaQl7aX
pgGCRYoaTSHMugrQkEO6sZgjeARgk67sAYLhxnlgHMO7JfgnwumZTYvItZsBA82CjI9Zm7gyBDob
oBviZEDWQ4hV8ipVVWGOoRtiMk9b28VJ3aggrbnL4X1rxuAGI3ov0iTzAiLP4jb0Z0FgWdOoSq7h
WJhSFUGM3YGIe6JFPMFZIhXl+WSwrVGlmlAFlnQa6+Z7WY/+TVSMkatLfJvpNlMNFvohD61zbtp2
YiqwEVp/7sL2AtKX85TJ72Nvukmd+Z0Kc+Ri7Y8YEqS+/uo4FcRvaWCJ4GwkwaBq3hpIS7ITJstb
Z4DooUwFUeNovplRO5Octraq4/GL3zq9Em11z2urcMemvKQ6OQ8DfGEz/1tfNd9x02QwjcvjZCST
OKDJpKnZVROPZ40DyVmOSgP3X0xk0p8C5bUhSMoQMFDIYOmxubV7NNc+Ok5MdBe1tVExNJoEbcYv
TtyfVcVwl7LuKu+iS3gf4CH0zac0xucjC5GqA52oFmWQSWob1Tv1TWYP5xiyFKiPTijqP2XEUT5l
lzyovNyBHKuE/+lpKDyR8F4NjIKT45ooHdWRmyFSqzUX63Q+z4psXkb1qERagdnhNVgie1AM+1Rx
7CcznkeLcZRoYcXdIot4COGwCVU21GRR6lh7ThI1EwiEMsiWQnjftRGGtKyeCjJG/5+V/VhmAQb1
Oit7Pt15ByVblzP9WGaBtRQEKymESQq1TtCndIOSIQLnKcJmf2TjNVn6ycjgUDbo9QE9P9ZbDZ/J
2s9VFuggAEsscNYA7FviUFwr3sLIbIK2GZmArl1IQN8uTOHYr/U21t9XWUzOxhhyVsDIEvs2NtUN
qdhJSquruM/BubU0PA6Q6lJM59EwRF4ax/7Ub3nn1n3jK1TkhRJD13hmsK4RHUc3zNc5UVpzVY34
qkYFsAMHxsqECSdJlOOFE5QEHF1yU4osUmNmpMKmP7MKZFSaRbnbja3lWj3zPVGLaJK0xFJl3UGu
IEtvoYsGOxPtmJ1GBOaL4aRQgV8By0nEjFZrd9OazuVhGKixzG7DTNqQbUpzYGjVosjZ1Jd1MKli
TJSg6WoswrsSJZZKCJsb27qxxhgrv6jOxnFsgSEF97DqFamCNYNbgoXLykWET3FgP7bhsrTd2gnm
xviQ22sbAq66ieCJxAk46h4SB2OVT/IhWnajyVVfA1mou2Ncg9NzENxQ2fqLqpSXwzppO2QTazxt
anzcU/mNRXxhUETBtzHkOYKdlkF5qdO+V7QFv2d6fBFz4K0BaibAuwESW1RglYJqIUqKYHkivSZB
R68cK3yAVMFVlcnmBFJ1iatxiKekMERVosVTm5fNJPdNDWtOZeT5cYdVieQp0eFiaDQFOh16kcyu
+7iKFBobPCnsVLiyGoAXO2k/4UgUk6Co25ugRrbrY8jwWCaCjFk+gyTnMfD0W+qMS2wF2SwdYlWj
ehK1oQM56zBWkIAEd0jzOaQniMvr4hgCiArwK2aOnUZu7OMMXea0zm6kX8AvLoGPxOZipOWDXtNf
0lqX8IIvHaMNZNOC7DiM8ZcSOHO5Js+WpBGk/exV3zWrVgzDtFpT7aKS/lwA+05hikIaj0D8rnk8
1cDRGQmqk1Si4zaKvubA4sc1nWcmnBng98UAjr1CEkH+Gci/icHrQQbwvI5GmD7tbRj490Uo5Dyz
wYNFVnoDS38h5H+azwVEF3FRB3MJ8QY05kyUGXg6lRCL8IB9KkMUHrfrMCWGeAXG7E6LlrVu7xgz
qQNeQoodApy2zCD37qzB623IDXGfe+AbPlcmgkB8bBpVVVl2XJGmB2YmhAoH4FBJldTu2FfmS4DW
oVYYlpcRLMOqDuKwfh2QySa9g2RvpII6nPZrn1ERWKHK137EX3uUau1bzNrLVGt/Y548D2kWaO2L
ChkuxJN3WvupYu2xwCzWEL9Vl9Xamxlwa7Qu5hG4uciMNWROwPPliYVhpoE3tBABv7j2kA64ypri
TAn4HwucaBQ4ylTtJwzOlZUNZI+Hc4eWN+3a+45VOgstH5h26o8qAxfdgqvWhmUqGcLLlDZXcdDd
ybVTB+de+VSoeO3vU3D8vCXHFIjAUFW3tYSArFhzBGQgDeoAbYiBPog1j0gHWSlS9md+aV/F2ZBM
+g5PBMmPyZqFDEBHKNASDfSEmujcavPLIhKFK4HA/F/2zq5JTqPL1r+ICcgkgbw5EcNXVXV19afU
UuuGaKklEjJJEpLvX38W8iu7JY89xxfnYmJeR9hhhV1VVAGZe6/1rE1RMDSKKGmUgOQDWynKdN18
snvdA8dFxAMx71rhnxcH5smkcNUMBV/lEx1rdqz8QNMDnjhCMtEuV5xVbfpvYcV14d3vW95fb+H7
M95Na1/+vInvr/uxiSOqgsFMJKRR4GPD3keovWElKGcUUMSOQ4RvNnGgVK7vYbP+Y+f/sYkjgopc
Mh6WjfiLH5LgH8kq1AOU8zMqEQGhxrPW8SgxoFvwK3/exOvekSTciLht3M0vLoIM7NPiuSKCvqh1
edc6M7vaxi74FAh/7o/c0Z2E/ujMz/0W2icu/PaR84pt8H/GGRKhDocPlo4eEAdY0lkg6jb2K+dp
ITDkl3LzE0WITMgS3EURCmBc8eMUvCvV+jKX2wtaJj+ulofARg0MHvdAVFPdkhV7nCeDbJmKFOr9
lQhqeOfWQcPXQ/xHs/Qiux5qzQxlf8T6CyFV+/G6RQplcrRLoMtug0UxG/nJL/s+nubiaJrgwZ/Y
Q1MFXipp+LoWy80W9WWK5fGl092joeSTiGoAEkU/51rX6JvIBnyk4k3STm2V4IkRD3UQXk+R/Uga
mctAq+umb8+jkOPeEMOJsyhsfOzBcTObKDGbfJg6877zN3Oh/dSikvGxbUawV6HWW9RAE/YEZSvs
y4tIFl2qa0Qtsy00H+FfTIn1XJOObv91s/2aSb6oLLLjUdkaTnhz9OSQmjCs89Xhie8PSxwRksP/
KRNR4zfoCm9OyinC6qDxbz4WvFjz9kkL+RpyeR/5Io2M+uJJ8S5ogSsMQ+1fg4A4Vca5rwwct4mF
IimatojLMbguwQnhUe3+gwiCd34Po7Fk4WvQ6vO20gezRi5UEhj3WmM7MdO+u5fLWVdeMrjzFPut
PqjKWWLij3DevSkeO/1UB1alQTBXubdUWWDQJDFUj85cmFi4Ue534XQz7v5muNpogMt3GmSAPahh
S9rL8X6bpiBmVNzobZTQ6mHP1+v4vl/rz8U0s2Mg+jFGwZyHffQhINHHsCgT0nsvqgHqs+yH4U4P
zhrBptpulQSpUpGcF3e4WNsbuAHXisu7bQ0+Vahkcg1DNO8X7JU+l8PJNesZ3Sq8T1Zft6RNo6bH
gTvRByeEfjawuUq8eikSp69yOcsbZppbACVnTJe4m2wE/XLqp7gM/dyh3SffcQB0kPfNoMo4aMMr
MwW3KwqTWAfj2eFwpKeuTZvCvovq8DMc/EsfjF9J0byzQ3gCg39dT9I7uXCpk0Fxi4IE56Gom1fl
zbjFthJi6aLG1OjgFl8eysQsPnY9qyFDNLek8O465ucdl58dp0iilrtxKKSKG9rcDTA5rzUV57AZ
9AcRQM9RqyKx42p1dtRoErb7NQWk4iRsmpe5KGQ2rOres8VHBUAhoRSgiuD+kUfbtdLDZfRkokb/
eQ6al4F6cAjxoTO5r02VqgJeESwPq9yDT/0jNQqlV6EuIwbhwZKLdL5KnfpEshgLLdplccXHgZ4r
r0cxu8jCXi2Th3ph0zCsCd1Szrvh6NXRB+CzKIzbBioLBEObs3GRB+5TG+sxDOKyHg9m8cndsvpX
jlt5NwI3V4Lzzm512Gwxm3qcoCFcPmydLh96z1Pn2q/ZYcDPkM3KUUcvdNYYuFRI49IW6JKmYBDH
waEOxBqBj1+N6+VOjaLkf+NW/XbHZQgI/d0u/TZx/wcJ+durft+jMe1jf8SAi+fSs9+gxd/3aERR
96lsMDBgDQJ9/b3T9vGgGG+fmoqdmvOfeUbyH5jzFaFpcKMIUjr3/kmn7eEzft6jOaIveEpJANaS
IhK5WyNvcMZho63pIBTf6JnyDNuWQAdH61DCF52neyAR61W9TFpmriuH56H1p/fSt0sXW667D29+
vX+ZaG/pyv1JR78eDfQDkC+QEfw9o/fz0fh6NZKLcbohnfZuSvgpBdiMFobEgqKYY1v1x+dwMpCY
+yYaugROryzjYrOhn2DIrH7lw+De4j3EmBKlvPcbcyLvAN+5+Oqtjrfkf3/EBJn/Px0xJmTiWSGc
hS7asV+OuAoFzu063NCFlWUaLJt6P+EZfDQfwhVK/rQuHlq8sIjiLQzWKl6lSw/N1K9eis15eBWL
tV5SOWAX7VC1Uzw0AlJt2DNZZmVbizs58qvGgv1LgU3zJyu6s1QzW7LKOsGl6sXUHP7+W/35NIQ+
CkuciADXBv3+pd9cFOHqlLNjlL3RqPWf2jKCJuFLgkvD6HG5m5eeP5rCUx///mN/teGg9kBUAsVL
cC3iH/thvflY5i6lb2ypb3S0eTeoD8YbcARgIAvx9PeftBt6byHe/ZM4SnDYiwFo892QfPtJRoMI
7HrR3gAj81+6ue3VoRiilQDaE5nbjWpLqLtGLQpPNjf/3UWzXxQ/fzwuFDx2FbtHgOdj//rxGLda
iVI31U3YSfbS1CN7kWo/BrY1Ngv6to2BttXiMKtuhnYj2/DrvqueZr7610tAexeMbA2Qsg51A/bB
EJoKmC5fDZq71HU2iCCMt35/ZDTYxt8WenjQoL/vfjvQn27TP58o2LlYNpCQJz7u1V8YaDcYmWas
cGD2FM1L1Q+2jD1HDiiK6brq8goGu/xcRtxcL9Cx8qD1l93amMJvQwg1HWBgGSboRaevFUzN14kZ
EV79/Sn22Z9OMjxjXER7ih9ZTtDhP5/koI8qtxcDvdR+ZwoepcN3tGIAc5cP0zhiW+3c+6lZ2RgL
IcKk9/TBkt4clG9IIlXXPBjFGij9ai4/zHXTnlYLx80w1NeBlVFadLpIxrauK+AytJ5R8Vh9MxvH
gpjeaFaWHq/BRRS6SWCJNkcWDCA36vKuXDVdYjWG3c1QdO8G0jg0RcOPH7JaCdYGFKtb7M5Rfa0E
i54Ld/TRmEQeoKpl4snsCnA+OJfVyYn6tYnnNdpSb2ZOutXLF2O74XF0UQxCJB3CvLDdePILQt51
wpvloYBJWMWbkMVn5OlQCVaguT6NTdikxlhykq02J6/j6rWaYDVCZ2nkY8VhusVT55dXsLHHZMXv
cIC7z2+7GVobWrgu9zxUd5lioVcm01xGXTKh68oaS/t0NPxWFE7ppp7XDkdsNWSGu1AHcTSE6uPS
uOJMem4eGR3YYeS1Q3IbNNtLFLR9ZuFebPkkozJ3lsV9IVbN3ywYe5ZsZHDRZJRkKvNlAA9C53nO
1hLOY963hUjVQJujxv8a88DvW/zQzRTGta1rJwmLOYzDlu1s7qCKBMS3bg59ILPSH1f3fqaeD5wV
WixEIb8bcjrM3B4WGi7XgdzA99+PczeAllsrter+VRSCkO3Zzs4SNiLmPZby9gtZm3qgfTwO42jc
m0EOjYRiUnXbYUL1WJyavqpMXBPVPrrA70/1SinaXJyDIoaRDOFlE00UpboosB8OoPC7LABl4ya9
GrziVnTAKdqjXMNZpOsCiPs6sAPFFTUXrQfsbsRemAeOqIvbCbdOUCZdZCJccFRaNBiq6nmsOmxe
BTphgHdOgREaLF4LV8PthmrbJNAs5yKfFeDEzAJfkjnTZbMl0cawYmoi/RHsVA+Ma7JrCW0N7GOT
tWUVfXPGCSZs6rZkOFR+NEY3zCnK4kpTiOkMLtNiu209WjywpReZAR+KFt1OW5fz3uoqX1XQrEfX
2gblPllVlUAgXdWhr7rKQRvukw+OaTYvpTSQTYq/XecWUAHMNsAV+kPdNLw50Z4PwPTFEDxsKNlp
Xjst8QA/CBtC0hNEDIein4x+xGZMr+pyIzIfDY4ga9EbbVnkLRtPono186UB9VxkDm6VPi08b7zq
KWMqLQtajmmoJ5zOKrSoT/RW0+2rkpQHoN0G1aR0RQbk5LmVfyzheQYJkbKjadVWRbqNBToLZ+4N
v6sLpCoSWnWISTSm3pyzWyg/90wBJz0UHMSlt4qtPYkKhDyadV/M8f7/xSBEucblU9IuWeYKTuqw
VM6nHk/aXp24wn1Ebrztu2YbTb5D361qJuNNYGBZpxr9yoWNGltSaUOJF/CG4tcqKuHpZ6C5Wlx1
a6OA281sq87eUA7v/JqwF7YUTRFHHi7efNRLSDMbbBUOfvTqJlW0kxaNVpFVXtU9q3lGZVGX9fRo
0X1/Nr2gxymcyyKLJCS0WEcF3ofBBV1AOk8wOBdD/Xs7MO+dN0CUjefAsRG6+jVcsgkQcnXsF0Lg
PEKeJbeVE/In7Xb7xVnXnT2Eygq7d1fAxN1uxrkRM/TOtLVYdM/YwfgTjVxc3cBDZA9kmS/tabC8
IHc1YHL5AEiT+6fFr+fxMizDXnyKdblj0gmWDLEcfHTb7gbNQhB0Obgy3L/8fugz1iccl2m8G59p
fIuxY/ipwLDJLeFywq1jVCmre2RKcMv3I6qCEv8NayoZtLjtEGPo4Skb4eJ0z/0yXhpHGIucwtgt
+YIJ7jRbp47siwZuJhjqHhaQhXt7nTzo5qkglF9FUwV6JhJM4rpYy+Bl1mAH46Wv1wc6LK49lyhz
63NrtKwfI+wWB6td76bjZfcMUCsArY3UBrlqo5LDthFtOaVrH3YzCtyVHgzBz5rAdlm/SCXZ3TJa
tz127johrhQ0pT02hdN8Wze+ryFVp0SKPiCiWUWQIchN0PAPjgu0AWoWwjmhj2Vu7WfxULWDPfNG
AlRlpCcllj0GtXwShD/1tTOV4ED3NNEGngIqnG697muDBXm9ijxcUhm4RlwjNQOlCAMBqD42mbk7
e/1IgqTgapiw09IJukPf1Z96PvF3zooy/WrjQ++9DlZDPGsgrE6naiZ4qwVd/IbwVBmUJ/gQAuqR
5EG+gUMYLssaqsd6sh0oE3v0m2Vix20OcHKk69ntAE2hbS86WPxrZwB2lolONwDm19mIJGK2Ee9Q
idhXl2ssI1g67RRLwNM25uBpEQcr1u5RlZ1XffTajUZwBFGBre/NQB0ARZ0t+kyEjiyvnMLMn0Xp
OlOiQhvIU8Vd736xTrEd+rGzVQbgABdptfMld4tUCJo1gUHkpQNJGVx8T/ig7VHd2GwWBmdtjnRV
xpBoG5A+1qrMW+jSp5Mi4Du3qMPVL/2lDNO1WF2bFMYG3YeZrd67WoD9x+1Q8Sdc6zBfNNceFlhi
eJ1HjQjmeBmfy7Vne8hFeeqBEd3N6czKwb/4hYqmh66wvMfmjis6MxXF2UTjsC4gOwfZXoe9EfSO
LOCeTqFyow2lnRHiInvHzGljC6wZqMbG4aJUgePvuSxzi8CISOfFdU9r5+O+X2FxA+4qRHj5XpX+
i9f8V+38Cxj6yx//XzjRS/Wlb237bfgVFH3Lif6f/4E0KTqhvzY9/lOZSn99K8D8i3bAq36XU5D5
9wnFTI99pj0AhZ8sD5ghDH/9JpqgK/kDXIANgXGrjCJYCq2D/BEPRdyUgJ3BSE7gnP4uwvzAZn86
m3/VGf3adACaIGicKSpxHKe3PxXjbWdZ9uFc1zRSt47XPZfVgFVxVJ+9lZ2U1+i4DrbEwtQOWRO7
U5hvtLzma3czRw12krnpTk3VNSA3naQPR5KXzM0Re3icq4lkUdiOyVSu1+5QpIED477yhqcqIibB
rXItWKcQYeqPStqXJlhKsFH+a0EqmxingZnBlvMSTa9y9OD9IaqYupRmwTqB81v1lrmjg/Tbrm+T
aByScORj4q8uBN1Wr7lu1zuyMpaSUp3HhVEk4oaPdBmWFCvja+sGV+i0TdotGuzbZCXAKorkCrpP
HfK7jXsfpmIrgXIhuSKEM8cqRKayDuoq2UpDYqQiijgsTrQc8jWE9t9hbYrJvDxtorwMoT4j7ngW
+E4wpiu4HYQA9ZKg0comk5pcCo+8K1Y15BOmFMD+p9BS7IR2TTrgyZDgauhaJUVkPkSsd5LAXcux
TNjUVeXjQGrzCQXB07qDoAOIULOjoRCvUfV3/aelxKoPerTZMVJ/ZLCd5rWNxx0yFaBNBahT2sFB
Hav51sHzUjIpxy0lbCuzbcdVy547B6cdHyhIVqYAvaL4SBArkuc2eBmWF9RduQ8O1q60PYy9e1Aj
4JHezE37xD2hH5WrjPxaldvrvIiHjQJUCBFog1/ciyh66b36psD1fXIH7R6XgbS3pC/4rQ/R/mrl
ReLzMdNzGBwHeBSxK5BdET5fb2i9Ya2r2mY+oG37MOs5DatGXOjSfsVSTo7I1nDE94JIbP8rFWPc
4n+Iv7+tWLsi8tfrHGhujBD/r1/1Y50jmOCPxYhQLFkew+DvN+uch2nvqDwDmAsYGb6rRz/WOfjB
kGU4IHvowkBcgU398HbBbkFtcqE2h1Cc9iXwH6xzmJf2i4TFIPtgWDk0LMD7UD53ieiNVjcRTYbO
4estZtbb3HWUzlRTsPE6GnqEarm9r1EB3EduvTDkzxlCxKzQ5jLvmHnDDiySCNf0WB0q4bLrRUNR
nmrkzkbkSKERu4laqc2JN3CQnXN7RHDb3BMfLheSy865WUt2sHX7kW9enTjM/aI7sEWoyO6bqpVY
S1uVOmZSMXDpWzi1U6JbFHelgbQNNGeLvQjr01iViMs05F5SB8GmBsQYvkUG3YgdnRBIE6NInXpy
1BGkA82SysgHBAi+zrJ7bKfq2jRzn/bunl5enOWq3FM+28DNrTsGnwiWKN7hXQpPXjCNboZpBGJ+
0SotZn5xffw0lCg419O9K7enZjTved2dK2E/uQ49AOrFwW4zScCDX/tsBaoxs8tmoleUzzJZVxTx
EZnOWC/bpFBzlzgjYG6BHBQnxRcpYCyxqM0L8MKh012QAP1YVw3KamqKpBJNn6Eu+7xV6AWrHn+I
zAOkSZW4Ne2iO0sjZz04o4ahJPB5BfzUpIN+Enk9lqb2gDI4d/l8IO5wHj2ee/32dYuiKmPhdNYL
65OwhyVs7QoCdLQm8Zu6SfpoNkdecsTviP8BmYHL6NAy7XyTTQuBDr5+LcIgIwRZC1KUL5AUv41h
2aahZBrwzdbmnjuoS6TIXdGvQRwGAO1Nbe5FD7EItW+M5hB2tGqDpPctg4uJJAIZnuq6vR/dBtGG
AKQbWP98Lx9V0yeCAhfwgvsFSh/AfA4ZHp1QP6h0cpopiwJcrpFFqLKS5YBU0uYeQ6WrrG0s9qOy
GLKqQ1Fb1HeyKdFv2eBczBEqyc4u6cCqF3fdymSY2pdwoX1iF6dK9xL8CJbbT+dBSmgefoVdbQTi
420GPG7pg3YqEf0PcU21lBxJ01yGAvm0UYORLxa0+VUHiQ80x1k58z3g7Wcd0iLWSxNlDEGxJiDH
IIoGlA38dtHWAjkkLAkFvNrSBYdsvGGnjkVcq+W2XZxT3w59vM7yy1iPEE0Aoa/zXe2PS+qVzVcs
VjfovZAMnaMb2NxuVkdRHxdWT6hj7B019LX20bFYI45UrZ/nmt+A8XusNFD8hm3PCgx6bB1W5hGr
69yUsMmHIni2bXdPSrGLbPJrvWFMAxKVh22cw4QoB9Smb5HNLqvHVpQzbupKZY6RH/TcfvD6PQYz
+Yjl159gWDc4/S32/RZeftXSC+zjJ8AoZ6+criLeuJm7MLAj5qpoITyNe1HF4OPW3HkeuvUQ1u11
2yNvMIcWzHgZfhwgMMaypPw4mZCnFkrScfZw4XWI+d0S2UZO2kEHef3/0iz8z2sD9uH3f7093mLm
c/lftAH7q35sj5iWj/EgBCRViKc377jx7+QTBshg40R6BGU9WoHgTRuApyT5IbhmcFFIfGH84x/b
I/0PbIrYNrGpfh8h84+2Rxghv2yP4d5uwD2GIQeXx/vV4UEMEfRE6BaXHrVbRjclOYo9XpwdeA5n
Hdo9qeuu4ye/FldVsT5HJShOE9ZfKK7FFGDUjBEdQmHp6ahbg/foTLbUSD4nJBDtE8CkYE2AUMN5
0WI1sVNXAdQwAKsvviqqrwiYFoi5aCZSZqcW8ipUvWJBrH+s6i4blCUcgyX8Ke/6mgdXa+jwmMsV
dO6I2JusTLDHQZceylD/zYlKbIVY2WJWFVMMyeUVGVzcdKsSsUNrniuU4TE03zUWfXmlRu/WbO3Z
Mhe48nzv0Q2DK/ixoM61jwSxV4rTgiBGwnZQGMoFw2JNnJSTaULQnGPqi5zDOyQ47qKi8tKuYs9+
3YzX2rZ9QpxZZmtQ13FvnDoNu/F2GeytI5conktUAavvZVsLJho3LzK5CikNk1R07b9JOjxWyn3E
o5MalmD+h75zOoQyqI+AXmfy0gTiIyLQSQiBsIDmfZl8IDG0Fd9CW9YJMSGIbpDhaI5SvtLm0QnY
nJsIM1TCbiPIvzYH3eGrGozxWQjoqAK+b0o8KHgTBjUcK1OPMWU2HxanfQjm3ZKYE+uufUw5aE1D
4AZXsNY2mk8BTJp1NP57y70UPAz0ilVFuauAECnTJEhiIRtkQvPsLQKjPgY1fEZg+XEMq8eA9fRW
g1ZL7NrX/41DvJd3fziY4Ppw34EqhO8NHxD0wi+2d+2K2ZXc1jfEFSankI5fxLqP3gAZI/7dJexd
AsZL/22X8J8KSeHXl1/bhN9e9mMd3NsEwBuYZI+5Fz7dOc/f6RKCR74BFEET/2uO4zsCilO4Z10R
nt2bix9tAtZV4JpuyJD0YgSFwz9pEyB+/nSdYFpWCHwFdBsIMDQKnP5itGuPFg3SquNtC5fjKlLc
v/R6OUdadQkb+6cAc3q6epBH3YZq+ypa2zn3I+j9tcOUKJgt6p4LoxG6Wu+H0r9qbYO5DoAXY4Tr
QUlIzzlUavJj34i8RLTsBCvOTUoD0BNiaYk4/dTpvAmNGh/X0jxzgbbdQVYjDuGHAPEm6Demxdmu
GGYDiCJZo7W6GpVMUX4g+er030quNwAabnFYvRZWsSf5SY3l9GTw8NszAZh/iaiGE1o9mpEKk0XN
6ubGi6p06h03DSeOETh0Q9xDIVNFAmRBeo+fZdgPWVd6CRvIkLPF3ERMTPFEWw4JA3NNnGKAwSL0
fOxne+NZy5NBd889sqmYh5QJKDjEErQR5XnedpCyNminIAxDZMGtOFo0/JwQxFAcaAX9UH5DVxR8
Wrd6KvJun0gEhxjmnbCI4Pfjg5D0MapdPZ6wCjrDfeXp7giPN9GdCI4dW61+DAYX+J0Yi3CKaVj4
B+ohwRWzgn2TxTifEBwYDyhPZbo1+m6t7U3gmyutxE3nknM0ODkieldOE6TtBuG107FbYxuozOus
ycMULZ//XUNh8WAAw/6uhnozVfbXBeS3l75ZQLB+gwZHmgJ11F4tvVlAQKkgdw+A2weE9qaQwiqx
D2HEED4/9L6nvX5fQPBoQmitBKl9F4+jgzzxTxYQ/zsj/sdGgwUEmBtQHaxt0HVR6uEg3uoMwAg8
pXoGMStCpYD9FOnaeV2zZdFNTJbSO82FzBVdT7pBdxtzLZ4bHl41U5XDaj20qr0Jx+4E3+cWzlDm
+phYouqwvVZV2N7WVf+0uv5HoCpu+j02FOFemVb5LuiL29pFNAShZcQ32jq8X0oKAbPfauNmCnsi
+mA2u3A/3JtNVFPKN386wP3HnA+GUKZ2B4FEE8+2GqqFV2J2WQQ1sEBshbusPY7B3KRO4d8sq4Ga
itsygZbCUrFrqtPkvp88dJr1ms1kQOaE+xKaJYRP1rMvAb4nxtTgfTsOr2yckLt3YfPC26i/wPmN
srVoIaY0CDEhaHICA16clKkDTA2DT6kd9wBZWZ0Zc+ZruLroJqdGJ35fv4f+jNoUSAEGGNa3rTMk
GGKFnOaG6UbBiKf/dUGiZPc+CMtb03noxeh8Db6ny2lXjHEBRCzVjkJczne7hPdYzGU3Xgz680Qi
VpQjRXdA1vmKafLU1NMDrwscNwbQxNvsHUPa1YDkqtfJo5dSbzcbaaZkBLAWj3X/UQ1OUqBl2yvU
6xHwfGxcVLKlHBNnW4YEiScZI2xEYwM7K1UkONVDcC8LKBB0tjOSb2XW+U2Uz077pSOIThPX3hA6
Z37nHFq3uW6QCfDUeKZ06xNkDs8dGCF8qL3rKuRdI4mfxp3WMfOhYFiN4UWgdruOXkImZD7w1kk6
DCU5Sk+n0jgHmJN3cmkR3EO8Cmev6hMk4h+wbV64UW3Wr9MCYcRHoyuhnVNEjWPlDzarJUYGKJjl
trTvFr6IfKr1pfSLT2s3YfKKE8Gdp0HKBvfJ77pP0GzC1FM1RIcBoEFV3pczEoFLk4IZukGv+toH
s0mbyeI3tMGp7CrEmwJ2PYz2tvq+9bbft2HQI/IIkjrl0jzJAnoG/NIzxo750O9WeTVjmW6l+zCw
/jUyiB9iGTdYzksdpAbLO8cy32O5b7HsV217tWAb0K26AzAi086K8aD2vSLAprEFDoKJ9Uz9Q/V9
U/H1tD2SYLuUXW8PnqrmvKzYgiRYcFUPPozT/jCHm83WUBznjd717Nk6XgnCgL/X3ItVXZ57gmRx
M7DTLEBBm+1u3MixmKoZsPZ4j8UO+sWQAthF41Shli664o7a4RqdI6LW0XBux+oBEGFSrOXjZtAF
IYlIY4GKISb9gBulCfWBlx7NUZBXOZXBATV5eeyQ6IwJEVHWrmqf8ogrRxvENLWHGHuzNXfR4nwM
ff2t7d1XxPskMDj1tOnymnmSxkuHoUJIFUxIhRbAkmrzORodjPaR4lItEZYJ171rWoxVAjnm3c5U
faUbvGh3m7+Odo/LB8sDnVdzonr65LVNDlX041qFEMtA0sBWTpsF90vkW/+wjOUHvaCRkbNGC7Me
MAkvdU1/xyt1doM6DyfMQFuq6rYOhypFoXOEE8SvQoe9j8YixSdPCaI/7zyXkQMGQtoUYUTkSpd6
yUZM1eRAG+/Dlj+gdDguyq8SrSbMmgC7TwwifBBnSMzCIcV3rVDjWT8BEPUiOsxmGlb0ToGCuRy1
KMG+VCZ8AM70IPGbYB/AQM0SLPugortmILmL0XdYwqSPGXoh4jcb8g+oSw6i60Kk2BUm4g3Oa4W3
iyLZpYyhR2XljaiJxODTajr7jqcznND1yMjysCu0XoOZB5iC6aVjpI98wcTFEeGd0wL9rXBSGdGz
gBK/B5E+uXarTliOEWSHplv6S+6I7pFUxSHY1j4pRTBmS4WJFEgPfgFIi7Fhlh56huGhU9ddSoxo
wlVjHke2XPuuhaBNO1RRWOuluZlbo07Gm2/LYXlw1zYD4LDmLAjPbcePjufM78S2jvk8kq+Sjwuy
s+E9hpPW2aY2mvy7nvpeT+0Oxl9rUkmrh+8j7O3wp46Muftr3xRUjEJEwiziH+7Mm4IKDRcSeb9F
5N8qU9CsXDz9lTO4xy5zQ0hd/5e981iO41q77Kv80eNORXoz6EmayrIoeDfJAEEgvff59L2S1JVA
XJFqTXqkwY3QDRIsg6pzPrP32n92ZIii8RTI+nfXvfVPCipZXDuuHwoqhmUsj/g3dao9xl0/FlRW
bixWgXH3nA0xykzO7hLMxCSp+2JByOoken43JyEm9Ek4mgXC4kSDuzgmuhtRNjBaTW6nsDuk5nQz
iNNxDjjdKkw5rCZQW6D1QtTY3Y/5fGHkkMRiuEasO+163alO016vet2ZWHTHSzbaeYshLcBBGxjW
5DeK8q6YYB3Hb41BnMJPihXZg0FU24upbvokMR01Q+xptdHTrDO3bjN19qwOuo3YVLeq3vfsZwXZ
QT7vKNUiOvPY2WqIr60pgoeMOUonMzprGIVr8fhFx7yVBHXuapLxiisWUIseP+oIqGxk/wBm+dbX
sWEjE3zUQxWgbLU4wahsIrOBzNvmW1kfNHcozW07cWPO6gA5dpi+zGUA6ng6i2UEWQ7rRAy2iHIi
9dN02pnovzfStO6OBgG+Xlh9DVkHuZNUPFZMpW2uAMUN+u5ND+Tlok3nlxik46HXYnTKmsyOJ9Rh
BJrStdwajauicnXiVQ9VtpPlj2N6kLR6eDKtoeGuKJtug9oaIqERe2pglBu2a6zYEL16ZgQzJLQW
ttlg+06zaE5uikFhY2KSd4NMmJ2OFsAGoRl5QowSdxbjwCvEFiabWGa+aY3djQzM9R5AApgYEfVa
innqhH0chcOYpk9lg5U5nSxWRyjM+m2ky/GOJdJ0pHxV3GHOyj3KMlYB4AuTYzAW1SqsnI59s3BZ
LLkYfJnMWDBRAgn1rpDFq6ArRk8QBulOnHnT/QA7ybOQWOG7ama9l6+N79hRpaX0wnMOjaFd2+Nh
bZTbBskinXM3L7zjoweB+wjo7gl1qeUIdX/RrE13sLbfhojJrl9bcqo7zIR06erarte5iPh+beDp
5FHkhna6NvfF2ubra8O/qCv2ex0CGOs4oPw2GZDjG+P7qIChQbmOD9J1kGCh693phCvg4GPMIJgM
HFomD9M6gkD26U7rUOLfg/z7QY4k6BcH+Uv2Mrw1L+1/t8UiP/jHKQ4eZY0MAi6nYBtcT8k/TnHx
N4LhOIu/bdhZzf+5fl+xdPwQuHmklT/KjIzfUCtx8iNaWq1e4j+zVq/sux9PcVOxuEV4JBF9Paf5
j6d4EZrDkA1meRaZBW+rMPCjEJVLo4yH3hggNPZye5x6ufQVccGhP/WXRaJiaoF426j4RVuh3dIY
ap6lNLMTjrpiJ2pUO32kLnYijLIbdabATFtf2EZM+WUNHDXS6Ig4UBRnEpcD2txjo6lbzJpIMoXI
r+fqIcAy6yy1eVqamaFTmQ5bSIX7ME8gZanYvVcMfKgaJ6h/d6HGN7KLzStrNFK3aGK4LM2LrKkF
Esjwfsipz0f20WwvqDTTYTnphfEwBWiIuYAfrax80KfhYKXScTSyW0FjPcpu2UEuelc0oJQECdl/
MB6MRb3GXr2RQuFJjicnrIEfiwA72qY6Vkb5KJv6hRJhLY60yR8m8Ax8KF6oLjFmTuuOA7xzDJ3T
ZiKZgWydgHYG9Uw1WfTeMAzz6nU9N+PEERAq2xJisw3T42LMgECE9LU+V8Am0WtQJQNEZXpDR5CX
SyXQX+Wuuk37eTOaUs5is7icVB0yWr6LkRBzMbaXem/cRXUQAqCaH/WVh78i4VzYObhYixhjPKg4
t5ANv2uWq2YqjI0UZftJgqa2sO03O/kOPzIdfSYHjl5a52Qw5IssMLaTGd7UF2q002nDsJsc9Jki
gFCdTWzgHVdr5KHdknid0g3IRc1HTNgIy+pCtrMy9tG0FXaal6+poZdu0qEskmtpk5mIP8XQm7t5
G0PMQ9yVfGka5c3Q5LexhGUY1urFKpxF1hHS1Ay5B41QvVe0FI/AbFJ+BDFFWb3PNX2XaRJq9GjT
mCFwEYwK3jwxCJJDffbNbxqoQus7bxxW//j41VrSsXGIT0jgm9f+Uqst0956rwo1hFBoLpa+EkJk
4MOFaeCgV82tvAJgymZ6QUJ/y7XmDm3uiesomY8unyProVRgm0UrSqZWpdqLrXCC2d8zqkYm6kgr
fKZjwsJuJ7u2QGrrBBTYGL12haUfg6GV7HyF2GRhwvfC4IoygQ4xMwF2Q50mboQVgCOixT3McnEV
wMZRQiA5HbQcc8XmrLavXcUa3I66Ea3xAvOE3hHMznKGGYh1ZEXwMH8GW6wdo1wUAfqC6dET3sBC
f+7g97TlVayqsBxB+5hmHuyA+15MCEfsAfyPJZdf2bIzUwIMlKt55RmALF1hElIXBDjcJa3GCFhr
oRstgg/eJVme5RU41ACx3LUs3OKynp064GMw5MHLvArh5bk+BSu7qABiNFXqtpBwqM/gjYQwfUt7
vjJyUfLZBoHUWgggVyaShbMLQXF2i8Hq3VrBSeHE505ZWUplEXoqvjJbqAC1DGFdHAV50k4SFCYB
ccvFNGBYwFKUeIa1BO7EwMnpg6AE5wDKKRqH09CkqFJWzFNmxTdRw6dZU5klNlkSUR/xG8fGgBlw
Xq4QEegsGxSAM/nAihaelEKh4oqrjCZa6sAWVuwUk41gM8zgGcu6U7eUVNMKqUpx/VA+1Fe5qhwy
OFZiIN4GKyZFkod9YAJOUZZlihlZNU1CgSw1j6mltaOnt4WeOG2fHPp+YETeDUouQwAKChYmcUtl
F0bq8d+a4HtNwCX985oAA1D39hf1AD/0Rz0ggUsj1t3EmSrLMmSUP+sBvNqctLRVlqGsdNs/6oE1
fZAwIwyIfzZ8/+nqLCJmvy3HiJAxJNH6R3s2So/P9cDqnNXxhK9Fhoqr9Md6YKimFidWpJzbSRUh
KQ27cVZrV0oUyIJ6DQNcht3YzQ9Q9shtCdXXRjGPHSAfV1vNFqAiVC4PImo4nZlcFychESG2LlXv
Tu1wMTV666rU705Z9l9mq3iKYo73PLtO1cQH7reXFfm6ZsiLXBZMpFXJLUsu+UhKDQMRwbhrU6t0
MivvsEEEd7SaDxoeL+BWEHT1KT9roXKWRt2zQEkaWb1LtUXZLQSbOH0qm84QTT5+cE82q3d2fdf9
GGr7groHWPMXMwav3S73E9tBO5X55ir4qRAK5oW7Ct3ECY0PoSX3o9Q/p3wxnSiNtnLPhLyie7JJ
j2jsDrgV8j7lIs3rfZYybx5RPtRDJNls6sFTZeY5ZuLujGF9TrSh2k85WF8Y9iElPpLDFOWDY4lh
cNHqpejilVtQCKnLOwq9FG6o8brEvLlVkEdXMs4IO2qbt4h92ilBEqFZWB4CuZr9qGjNcxtPOdfE
yG+NksxuEII5aQ7WE4bYCv+VdJ8uExZEg7FEnYzwSgwVyYebHYLTBACZFwrn5TiW4PSV0BPnLNkq
CiwXIY5lP4lWh/OCX1efKN5gSm3zIJBcaZpRHqttvFHFKtioDBhJDupkvyuV3CuU5MhO8LB0yTkt
pF03h4sb5+Z7sCTQdY1c9QS4pe7cz4knBcbs095knpiAOeXSnFlC1pbfJZzkydT0viXjasnDBssy
frBr1Mmm31caghlJTLaiGATsQTLFbhVFuCJ3aZ2g8krriVyQmOJ4Y4asJ5J5NO25DCsP8rFkpyQh
7bW2Hf1Qjm5nub3se7GAsWvOdtlVX8qMmUMc6Tgba0vdVxaqbeZ+MbiO9S0ituF5bLXkrsBSZ4M4
LrZzD4aAXVNpE5UgnTWad1CiC1pA3ndbaYR+a44MMKNRRT9q9PHXNGdkICagy4cwF7Zil2x6LfOC
oABphrnGzi2Ge5gwcxsCHF1vMppuU+WZow+JfrVIE/LZHnVInnqtnEhkwMjZBabcbotv670rli+d
NESbrpJ6rrCsOcV4cBwFVn3W1PpOn8fgqAvG4JtBoV7LQn8fW2UnuGLXT/QK8oTeLe6r15FnZSwC
etkoyezWjGpfiOdbZorSZmLEwKLD2qOP1T0G/5JtDT2r7xY5KDZuPKihFxeFsBdUaKWKcjfAUnNY
ut/mdbI3kuISBZ0jCMap1Z4DQz70pT48wiB8G/XuOAGdIT8JOoI59uOx5zreWhbpFzGYUPQ/4lHm
0TDvHIYBpD9+RYqs7EQuEDxay7hfTOzmcbKYqPzzry3yHBuL6q5M5iuEWUcmJfij1ylKkZuln8YQ
d6YhYsSyInmHGFZQw18vWtwTRqvAIp75FUp1fu6F8Cabgmex7J8qlePBFKsB7WlziEfpZUp1HUqj
gr25LcONRD6QRMRVnaqNNyQthetCGZ+1w6k1x4deh5FoCOqlNaGDLdka7Jj18Tc7kbogRZVcdcCc
EnGLtalwBjXYJGJZn2MmWkgyE1qYyXK7qXlrAwRZ2hC7uIv1J3btucYeb0LS272WqrEreu0RR5O2
i3OkjM3yBR82buNy2vKis00kMzTLpcXNdIOxN6cMeyp2GVCTLQZQQylthVrfzmPtJjJbDiEer8hJ
O2ZyCzYxzr50JijiQrmQwsoX1JrQmYiQL9mZMon/r71EZhw7LYzeNjYuwRawRS3nXZerkdejXxXU
9ApnqMBdQDyZMh+iDta3JbiQsm8zUBeRXmyNHkZwn8e3UI4dbHmNXQStAbsfmSzO95jYH7Flvg1i
Gc3LW7AKk7nH0Ci3ptyal3GeZk6oF9esSRvv39roW22kUiv8vDa6KbOXovzv4mj9qQ/FEe4pCSEA
riztW3Hyx7BEBnGjmwp0OuU7rOYPrwLDEv6qJsoYar+VQH+OvM3fAM8aJLBDpAGG8Q9FSGuGwI/D
EsNY1Wr4X2XGNQazlx80BKqZJ43ay/NZakSO6k5vSxeemLxH5pw+zRJ8BLMbxBNrs4ABITNMaZ1m
GutcE7Nt5i+LFB90qwwQ0XeNV8R15Jm1eJFlkQVoXgqOzO+bK8xQ/PwA1MftFzDdYllNW8G09pNM
t9J2EQyoSklfATsXflKMAZ3uMiJibKfnHC7svqyx2Kgr410uRKSYYMQdLKj3llyjj1Re5iA39j1u
2U0HO+9QpKXlgX6FpNlh8JkyyDdKzxw3TlMc8bD0CNPbKkQK2aWlIOtGatPJtpkkbxUCInrLAvXV
soTv7NSeognbNZkkTpxWexiYljPBy9/JJOORWGDIl6EUPorpTEqa0mBVKq60sha9WOwEv9PDhQiE
XtkzTDY8OtmDJNTtLu5UyxWjSPXTrFAxaMvBVpcG0461MN3XuKnsoByuliahEgMCaveCttiCprH7
Btovh9YFAJYUig7vjtALuICRuLp5LEnntgV+B+yg2tVRu+/l5LmujMnO0XQSpaNTgITVPgrrpSPY
il8YV1qD+j1lFluPW8SUzixQsE3a4FPHwVhY+uplKMPkNHXqm5BSwtUid36uiYydC0QdSXijK6zW
DIwj6TT58pDdy8nYWUeVZDu7kbPzUEuXpWzei9jmOeZYCqK0QAaK3KzWvKDicXSdHEIka+GpbTXu
niI/tIr0pmllv2n18WaI0sRuKRmdFPACkxPxbIQW8ROlPyjaMZmsUzWKfiT1Mgs+5GMgVi/nACtD
GJ/zJe7gg+UbS0Wsu2jzSZsrFwfcHSqfzF0m9aAHPX/SE0UmN18UUuBcKzJfJ6P0S22+g8AGDjao
MDWsYPeugFtxAaWmbB1Mj/2rajICRELdRJhKJiJn1kk9RuD0KH2b3/frKL9ah/rGOt4P10H/vwfx
9yYVttTPD2JYLv1f8UBFfurDQWxY2h/H5jo1/nAQw9FGS4X6XUXg8GFqba1OM/6IrSBqqx92j+Zv
q5UVGSmW8JX4/c92j6vN9vNBLErf9Po8BROr7I8H8cSmD05CoJ5TNMvzbtERMnwZIpLaznjwFdwt
AsyXrbkaXoQ+uplXC0yKgJDZJrYYKdDRIWV16vVWp7qtRniaOBKLZq6Wmh5vjbSabKj8XpYa202u
RISx4cQBuYglB29Osnp0VrNOtdp2gGrGnrlaeWKL9hZfbIAYG6PPuFp+otX8E+kYm1Y7ECkDDwP+
oBifkL4ahsrJRanixzUW30HEUpTiLVpg+ZZ4jZjSaXa82o/k1YhkrZakGG+SlTRXuo5ZqaekBuIr
X+Kcwv60WpogXhTE02UlsJn6XcH3hAOnc3LBgGX4xmSZcFOt9obVKpXlxWlavVNFiNVmtVOpLYih
RmH4nVbABZWSbcBikiAqDdNBWeLEk/Fm9WYAqXM4SHi2JLxbLR6uVmm9hsUcbcZASY/0ohmUt44a
KyUXFqmazcjgWFCDLZgS1lAZ9J8GjiLqNHMt2LKs2uZUcFOZ3GZUdASbXFWNeIio9LDYA2rQ8quB
X2m/FoPiFDeF3wlcYqZe7SUt/1K0SOZApB1pNo5gU5DX0GjpezYqzRXquip4TposlL1WKcPiSli6
ufJzieIvFFPULUuCEEsf0leKE7oWIK2x3L+yId4YshU6o8kfx/34RgvaOgn7UTsfpm03RxdqEZhc
DNO8qbvofRSoOImaeIK0e9st05U0SM9KU+2J3XqKh8RydK1VPCNUv8bytB/FcH7OIq7ZuKvAWRFM
Yg7NYGvkaiRacwVTYms0pnBEqnM7x7wsRMhA4UPzTHYw6uZoeVcxVPdRR2Wf6pbX6bO4JUpQSkoV
Qkp3P3TgMfJKld0MXEsaWoqvCTH0JSLCKknDrT0Q5VZGryEphwAt52VjjujsSNfxZaF9ijFOlnxt
8A+CfwVXQ+PWLuC60ZlJoCCmUYV72QjcH8Jj04ls5xWJBiC504IoBHYjGxhCgGVDz0KAuSWez3D0
rtwXjCjtCBRPX5uEqenpext15ypXX4aWzjMD1J3OyQUYtEO1qpnYORwKuEG2rCgDGTM0X1GM6awb
Rr+eYEJ0ERNW2aIYTc2nxSi9PNN2uFuelFSpbhaBxCMhMiFmydqdIUQ3E+x9nIePdaRyyUbWbpnq
QxCa1QGv46NOkwtpDnOGvosU8yzgR41E/a1Sl4s8b7ZpyWdz0Vn/VhJyRbBb18NAkwipJOxjFHuR
ReAlNhS+PfpzO7S7SE7668AcIkhZ2YZBzEHvyJT892r73mP8cid7ExFK8fIXPcbHhayEtRmzCXgF
dqyMYj9cbQpBYYiECbMAGml+HMASLgZ6E+YDmfFQa9YN7+8DWGazxF6wizUNRcRCgXPiH/ihNeUz
0o9LFQokkkBdYwQLDvLHqw0DtQgnts4uxcxADq/2rS2p4/1g6KHf1cIZak9D8kR8SjNI8s1sbmvs
CB6gw9YdJvMNweGJkMJbNaXSJJaJ0laxONtD2PSmskXSsNE7OGqTtB1RhOY5MxuuKWhX0lOrkQoe
E0gJz9kDzfmC9us0d/2bwTZjtBSPOwhNrVSd6kl9hUbqh7NFtngLQJCFSb9NqmbbWNahTUKPrN7N
Ql6lsEYf0Acddbm8M8bhYpQjkG+NGvvRIr9kjbjBnvcIq1LbGEEAvKjOZ7+RMq47JmQE+LR7beqG
jQm1oZOFraUkgLeSm2DoSClCNOwxtb4qJBXfmFltYAOJW9JdxYNigLxdzJHFcwFnX8iNs6VkX+U4
qvxZphuIidMipzG4bbLyPauwporFyCypTU5wZ7g/Qzn1iqHK1tAPzK4TKcHGbHqpQLyt1hFDNGZ3
aFeFfV4zbzBLfMOIdAo6NWkQQgLXupNVrKi83pe76SoGnOX1C1jdGUgCgQLvksAkVmBNN0XI0Mmw
e0oS6XpuKwH8dWmgCVRyZ9aV2yWPn9KiJgh2TcI0U4ONIAmcaEaSWnxvWyK7E4pyV4772YtaBqNS
oFwRbP8QJTz/cGbos4QkRussznq9XAmcigpOr38rk3QnALEeIX+r606YWGbmdcyiYhH10hxwfJVF
9EjM6/XUgPApTYw0i9ITvmRArC6YMHUzq/uRYTK9Sme5Up6qfl7i1inNByJ9+L23KK0lvPliXj1J
fXzskvgIvgfqYCiZ2PfQhapyQZkAQItaRSE5oav8QCkvisg64tszdoTR4+dr4wsxKZ/qpI4x8KQw
TuIGj3Ph6CNPdByWlBzfYVtL4qUsQywBu4mCOjg0Yb9ri+quFwa/bItTVJYbcj4tshsAm4TtYHmq
PiLQzSIU/OLwuNTxW0tah5BMPolFs5sUIMVxgJ/ZKz9opN7T/3WMvYYbM82QAezr5aIbToEAZE60
duFUnCWtuJSHYJtpy1nodQuF0gAsnnjynuzUviQES16j+fQETJKQxyzVhQhiiaXzlvOPFigXHFOX
c0Twve7m4vAepcSuTLlieHK1flXT9suEpm4sTbrvqd+VAmFbq/fSlwptF0m15i6BiqRUnhUwSwXy
OEGYQk+bFLKDibrbWAKU2QZySjhF3Z444WSTD+rXXusQygFbZ2H9WC/9KyGriVe2GboLZbyc+7U+
iPXBmTu98ziOWGuDepObA2SX7rBGwpGpUiGbnWrWvUXe7bQiT/SN0le6djeICKr8SG0kv1fpLcMR
VK89GVODlKwPJ8kzC0GdYD4w+NnCscCcChdviS/AKs79jSXmUnczWo2ggJHpy8Oo4Q56bBZVHs5p
V23Jk5ecCjWAV6qpuokZFdi1SERLE163AdVDBzdRVYt+0wjN5JuCftCMKXZxj6h2n+mvdVmSm9cB
KssT9ZGGw3SiAQ2CJC76Xin5MBPDmjJ4X52iWvmMV+wlShrZ7cwEAcbCfN2KEDZHLGvUAv6qKOLW
bboGChY5HXNFVlYMrwpt/0ktmish6AlkKZ+Rl78vguJQTtLAU7eiPNcyp1WmfTTvNJEMWQA5L3GK
7TMml6WT100HqZgQ8McbUYbf0lpHIZmfskh+X1iBcPxjqxpyEHaxi0VNnicyoBkfB2Fzna4OGDAu
NoHiU3bIYFWJaUYiz1SuYQfUPTRFMCl0p44X9CxyfqEb6eJiBGIdRFg0viCZ4G+NFQ4suUWcDxb0
Pod3oWLSi6S/LcXOV0DRO0TguIYVGx6qHr5LgXBLBDARRA9y07JqV5PAJcOQRiy1Rh4cHZ+VWlsF
6A+7yMx0lZE2ANdAec6nakQWNB4rRCm2aQ6kAEvGOR6LE0JqHK1VcAZ5xrK9pRTrXnRrnD2GITdz
JtTekrNOCiwuEC3p74K+b91+LB4w+ewTIeU59stjX1vRhm8dnWOHqJEBJCylsntrLeuOA3ojVtkx
zaOO6ZKyVZLyrh5ilh7GBCOBpJhRuSTF6NrSyi8xFx2Nn3ihit1BhQTiDNhofPLjVnVJswsFdD9z
N4a2rFlIh9J0Z2kziX4wRRJTrv0WhakTq+2Z7LpLKpENw3pUTdK2SuvIYSTJB7BXkZGI9Jt0zoxi
0sDwhZA/NbCQQLEc/EIQJF/HUrDreEMdeqWzWBF3ZBrdvi9YI9U6kvx2usuKUvTmkkuQI2tD5Hro
M/M6ZOhPEMGyqWr4ph1CSb7UJUSQQktGFqygfLfI7NgG1n/2jIUHWaOyU9X4MuqTewH4zwaZKfmI
MRGTtTZuF8BLNr6tS7kZFkggCrDNcnpFwvGgaPW5LdhzqsrrhKSlavXHMg0f2c3pbsc0LMirRxGp
rEI+zmjKBwX+qiLP8AKzFf06voR55veG/Galy55KnE2YQUhxJ94URB7bhaBtOOsj59+y+/tE6Zej
ffct+58LlL9/JX34ON1XfkP7jKhR+t1l/KHyVlExQAFiUfk7O+0/0/0VYC+KDJx0TMaQthWmVP+p
vKnkTdEAkgZvATE8o6h/Unl/GilxgaDFtKjgcRdzYn8SQnZBT4rkUsiXBZsuMY2PRpg6yjB/78x+
irz+DDzilWCAXJX76D5hk8Mv/rHAh1qMqS9Kx0tNo3HugGSqnrb0+zyGIljKeASF0WCd1ZVna+6P
dVrdGXLD0UmilzPC/vXSRkoPQ6MRE0+8haPMzIwFrVq5b83j2FaVk5sRs5VVsRC12U3FAwIcyC5L
MaYTNTgVzVquXVMYkLazbGcbbh7qfHIstBo0DS1BE5rOlj8tNoE+bKD9d2wikLy36UTnrz4IpnGy
1B7Sg6Q8RmpWOmgdb9BaXQv5dCEI2kUXi3iPRjaAeP93UDAvxiAPkVNLd3TXxLOHw+DKa+/eD90V
MM0NFc6DZTZvcmg8h/lMdA/CqLQ3GAzN8SXhoged+fAGAt9Wt4LGbwl4dZSmuSv1cBuvsapZFB1Q
yHwpRvxzQ076jD5AasvKqXKFfl27o/naSN3yLOV4ARc1Oasm+vRvDivWAbWePveGdNe04amc8t4u
pfkaKoSPqWKLyJA8FNR8PFEKKbCRqD9k7UaYqa/zDlePYT1bHWI/ZXL7mj6g7VWqA/a2JpNRfn+J
j8zv3ZwpsUVdOwlDz2QCt6lbM9+TjPlCHsGszgwUx0gibUXKLqGaJhtaHH/J1VMYBqHdSapvDby3
0ciAHWjE4Fa19YwTY4sI57oslhk/VXsf63BAQgiXttJlN+3Y7yQtJbVdEV/FbOayHOf7jJrIn5Tl
LE/EsbVRMmBKbb5KmfxVHjPmdjSJZWbtyGuUGOKNPhqcqxxcOUN+/WgoC0V3VrziY32MjDZyCLa+
ZXxGaVEb6XbsFR/hCeP+YMOKHdYmHzF2AuoYYXWN6pciKcNms2CUnWkA8MZJ4pTGgz3LDXRXeK2F
KxrjRjLHdZ/eTPss08gnm3FNBkjsVOXrSJkda6RsLyguMXtWw32qKevWf6RIgzGyTsUmKXbTRN4p
dD4SAppu1ZOa9QtD4GspFd5MDLFU3O1VyacRnceALaXt4N2ObjmSRSPkGoqVcThiHC5dAdGHFqes
2NshXu3745OeGK03hdUpjMXAadnVkeFnR2p7rBKwgl1Lp909wm5HDWglzpCIMIDLU6rzlVWK9JJR
FNQlYbdkCHQi8rq9ZZqRUg3xV32EyJ6MuFCnXrqGNu1PVCAp42GQHXSqevU4Nh6hkTsKabDDwnbW
jZcpEZ9Z2aSOkYGanbPnTL0Zxhb9Sb+vytDOBMaTJIxjd1vlRWqH/lDxRiJqqLU3jRQx5lyqwVeM
pNuIEgqocFCfC9KfOiJw3UBo6BTHyu+l4jyXhGyVCUqYWb3vOtE8gVJR69vVJRKaahNsSzmXsr87
Rn8ck6ynKNeFyvyURSyLis927rZtFTWY9flynB3DVv1gP92UJyy6tvBSPFReukNtYAcHWpTeTXzl
++7op8f4uun90/z0+8MzPVJAW7AL1j5hS5qg1wZB75fLwXipgp0ldrY1PQtlbn9YzVx+/xc/JiT8
1eNgvUIXKK/pLuKnJAur486KgQxfSvGRgA87y96scAeR4W8eR/uL18P7yR0okRdDJsyPl1KNmFnr
pUi81LVDo8OsRN6qPvz6tah/9Tv7+GI+PUgfiWIrQ7O8HDbtPUmU3rAVv5pkeNnlCat4aF8Dg7Pz
jby9uzDdzL4YTvHmvvUC7yrZj/YWj9Oxc/mLbrnhf979r5+f/CNj5PsvdYWLGLASWWF9y4F4fbmO
i7D9P/9L+t8ZQQnsAkTpEqHhRXAF3uskPYR7sgWQ/bqzvX+S/Mm5qDfjVtOc/EDzfYUCawOB9N9C
8jvPcuVb/Xw1CWzifzZAu17j9vUvpCLrD/+xoZQZu0owuyDD0Nmu3/8/NpQKHkiDOe5K4TIoNv/Q
0SrwauRvxdefP/UfHa3xGyBXug32k78TL/9BMUlR+uF4ADbBwyOe5WBY/1H1s1BEyyhpk6BZzkv3
UJtED6Ev//DG/L8cDPyrpK+uNBw2qyLKlh+kKEsV6BUIe9QLE9nBIuxBWl3t6zBsf/04P74SvhOf
Hmc9OD58J0pBquqGK/asVYMjNdhjvv76AVZG0If36r8f4dMRF0pYQHqWNhQhQNjVO8N6L7EKWsLZ
6mGry6LTDk9Vv+3jyw6YrxS/JRB6wku5RHZyE46V3dUHXWPJFDAdVK/65GbEnT6B1vv1M5XW0fsP
h/6n9+LT+aXEcHTGZn0vFC9YcruuHvoBc4mknseVPAEwIp7fDeS3Nf9p6vH3U+Gnl863U/jzE5Dw
8Oq0RKrGlfDjL6OA7Ya8yJjPOGFiCWpbwwRClZXOmSuiadbyHeYOzJ59w12h9eO1lIEZHmmpnUGE
0NOsrB656sWBWF9xP1pd3/hZTiKksicxHgGrLCTS3UQksa+kVmLaZEnbJB54jY5nBI+KPBAj0M1U
NSj/ljMeVy9nt17Wgt3rcOAn6zIHprkkm6AnhRZXSXvbhuaJItRuUt0dEB3L5BlDaXGMhQy5pHJT
7ZbssNrVERovNa5XKrxe6o+GCCK+2s71Y8s8bRYQR47FQerUqyQ5JVPuDwUrhVzL7Aq3pFeya1V1
lxA7O1kVzVocqq4aswERTQTFZZo9gW9DBwPqzNIC9vTh776Hn/6G/nt78+MX/3MK2hiDMuumdjmL
vrINdsuxe1B8c9ec2eIcu23tNJ7pWs68UZx9s8832FifhB2wD1/0dW675Dsm/qdP6L+utE8fWfZW
H7++akYwUL5+ZMt0h7IcJDPB0vWmFv/mOFo/+p8/mR+Po7WO+XBM4MWjeI14HIE84tvpax06MdBv
2dWDv/kSfAL5fD8vPn4JPvXPFs+rUaxYPkeKAySVXmsCMGOPYE7At5zHv3tpf3UCgh/Cr2FaaE2s
TydgrucTLitFPo8UueilB+Hy1+fKXx2AHx/g03snFjERL6Esn9vB7dlKjQJU198zFX/6Qfi7B/l0
ylqTBUCCnejZGg5Lve/0W1zOv34d6/P8/Bn4+Do+HY8zdzXQQk0+g9ZHQzjS5ILkubCi6fuH7f9b
9sH6QK//l73zWI7c2rL2u/QcCpgDN+hJJtIxDb2dIEgWCe/NAfD0/YGlkopVkurXHz3piBtx44Yc
mcUk8ux99l7rWwV+jigIW0IVfn9h77l9/vQ3q7yN2vGye6vHq7cGd+m3jmD+L/9f/+XvSO+bsXz7
7/96/pJFObKbto5eW8rLj7jvOXj579ujTfqW53/9RX+0RdpvlAdkWGyx8Q7Pvc8fbZH+mwvFj/8x
6CLqmec8Z2gX/vd/Ge5vyLWQXsDaInhllsl+m7HxrwxH53vxf9wMuGz9mxmbZn3+MNEYCVojlcZM
d1iLzN/u0zlB8omtD53jnutZjS7d1KYSWMMsxjGUPNRXZkiyxhOmPUSwH9Id8Fv5ckLOY8Xuoc7d
BFhV8pLg7RnnfF+9DdajELgwSyMdZuHStMsHo1p1vXuZOPJ9zuZYIp55djt9oyAzZ3/oBWa1UZGf
O8jQh1LZKsjSzRrfw0zsDWJ5mczKdautvaC2trYKuj6OASohcsf9ACsZ2TuzxJM+qV406+HlrIzv
1HE7zlr5XNFeYsTzA7jyXe3YD4j/d1MtXwEDHpFSpQg4kSU9urg4IRYni9IseAYdL5l1+rHLPhUB
SQVmTFlzlc+Xeq9tK+T9/azzl7PiH8p4jfYMFwDHFj8tQA2vKab7DLsAUgBS3GYHQT17CXQWuaHA
qWN0wbqe/QYswOxVjAXBwYqAMbOHmI07ASbhY4ZdATbGdZgX5yTPMFeEYr7OZm8DXq6dnN0OboR0
XmMq4qlEQONFwBVRzv6IjoyuJSY2xh7jZWYmuybAk4vg5cuYIdVVZ58FKWp3TsokwQjGZxo/VMua
9s5an415t5PteIhn1warGZyfH06O2dNRzO6OcfZ5DBg+JowfmZLLB36fe6LAp4xwGXa42DwxDMRn
quVfy9lBUqPpazyGB1WIszPvJhTXSRCgEE6LEDNmm7iYPIN5tdw4ArB8H24iMNSIf4PKPerog87s
pGBjS7jSjvcFXptQoxI2m+Ne+3gnQN+O2pAvqoIFfG+OYKVqU6Re2g3BRhsLMNR2XusHm0J87xSW
s1UmlGYfp8D/9nn4fw/vPNf+vz8O0TbisfrS/nwizl/3x4lozMYBEIIGhF7u9Zw4f5yIxOYy8DCB
IALawXX5x4koZhoqAlcVmyZXSW2+tHzbOgB0UGFsMcKnDee/+VdS1s9leZYZsbymrdCgsepcaDn/
v++b2g6fDJGB8qJTz6ACx+NV0Wy+e1Muvhbg70dIX1cXnwozyQo25zswUn2Ok/mhCdSU2oCF3pQX
huSG0CyE2TDSCw09Ny5QE1V8/gtrSC6nIrKc05xg+cAJoSeELpjjMgT0pwNVKelKCiTyBCT56coy
otUUQW7uIEONY3rhExiZFgrBlqCkquK6VZlujiH85Mq+GqJmC04U2ExG/lrUap4pqjOlJOLESV7S
MXlWsOh1ZbnDqvTA7YZ1bxTCqWpWjp7u7LCpFtpQv9edDbctkl7KiYVklqgzheHiggCubdWjOO3s
+NZGEmU0S368h8BSdwRf4aXXyjMCZd5S4m/h3UP3GrM3v8TF7WQlrgYV4nPV1GuElQe/taXn5OBu
agnVq7TVl6HJzwyBSkoT+U2vBWcEYN7WA59uPWrvk2xsluEoXxtLnI2iztdVXB7zcJCeW9kGeCDf
XPpFfV1HbFltUbSrYDSOWcAItm2My1QiLp367kGJDTA3UNio3xj69PY9tonicSKd9PiqYDUl9ras
BfiGCrRfUsVbi6xbCIWc6kPc5auo1BFk9qgSRDndawSNGvw6F0WnXJmS3jzT0xuZoQdzneRRqWrB
ZazcubCYTmkrtSXL97NGicqFqlViAWbyELSv7LbXLrClKJP6UgxVs3TT/N6fsL/6lQOSNtDOaqer
vba3N5NtvpYRqiY51vvOFq/OzIpz4ujdyWBvBOj+vap1b4LKehdstVVUNhHr4KXWxNtQr/HMgEoq
guyi15sXLY6JpSSnA51LvksjAhlF364jh+TKzmDELJoW4KKiuksz7y46V7ntgw6vYNqiWwjrlSbC
62BoK6+wg26Z+8YqFVi6eirgNJ/OrhNf62hBIP5i63P7+wRxBzdQ6z2O3SdQerPPn6G4QRo7HN0w
OeZZCogtjsol58ptMFaslE0MIolxHqS27YUFyYnaMDz1ccrTIysADZL3w7anx8TyWZBQv+Evvglc
yuu+Vm+TIL1tItABgzKjfoP2mNnKe6s4j1hN4S4kLPENram8wS/cCZulVehwNMZkV36M1qWoK5/Y
in7psqOrbsxATgv6Cp5ywj1uEzKSd+Y0xBeWIW+qSqcGlW9Zk+8w6KTQN8ovJPvN3HGc2F3rsHmS
iNXrKL4XosXn56M9se5ydzVsxnCMDxnqsUhRruoududOI60wE2Yov3uwH4SdFB7Zq8WySU1InDy/
gVGytjCOaNkzejHii3Bzlnw2Z8jEqSnsh9Ax3xCbVQuOtWohJm2dwf3sw3FPO/usDN1ethEEDyLd
OoHfcTKu6lxbwb24KjRjJzXlCtclUVbBnZ4QAeGYEJPUvSuDC2bdF2RkHqemXU8d0SPu+KXrCRZF
2+glTZusMBMuEwRKdlMjOnNMpFD9yUY5XFcJqS/T5OF+kjifBtAYjrLwFeV8bOu7LHKTla83bxiy
1no13CvNm9nxJPaWvTYELualj1QZsY4vaWLjblSUFbxP+84O+gHQZ60v4wD8iOmUbXlKANFkhQBt
MVUru8/JY01jzq1FUohyxD0EfqcdodY7KX2ZY2R3SdWs61Y+SJnegbt+VLPauFQ7c7qg4FXrOq2e
K13bhbXxZfCd82oaT27qBrOPNUInTsRpVPUO+jbAkxAl0YxmzngMsvA6CoKXWCfbSiZduq+n0abZ
bNmo4CZbipZwEJ3fogxvoqiIPddQzrq+eegIELx2FCNb+/OWDG1Kgz+W2kMqJWcAqWCW13QlSjiI
QDdWbIzeOLpyFdSFmfMpb+59t+k80drZlk+z41Vp6wmLmWavtXLj61ADjKwYNzJXQ7o93BRBm4BA
THGnSYhsW3pZEjTbq0aES6ITNnE/N6iK/wogMoZQqt3Qaj/U2nAdmLW1Y4P9ULg420Uw+ad/Lrs/
TV5QPZGuNFdcHVHwfLP7vrJbaVeiDai6i8KBwaGdx86NxZ/a5LYQ/2qz8rmLoE2Zb3owkjUEFDb0
5fnW9d30pWmKodVh0pJxsPKTu2pch8rdP/84v3qJ+d9/9xKYZdJUdqm8KPlgjoq9CPsnUV7/f7wI
IdskjFr0WB+j4u9epEH4hFVQygujvqmKw6CclH73zy/x869lVp/8+RI/DFtaIlwCTQzyQjjXWbWe
Miw88jy3n+PxF6/000hs/qV890rzn+S7HyYNezOzAOxcVCMZUbmFWOCsy46yX/XZ2ZT9HoH2twOe
n6YvvBz6mJm5DzISpfrnl2uDeJjqVpPcgB40iKe2dROE+zH7z13j62ZKY47493eNXVa+1dFz+hd3
Db7u211D40Ixr6NxI39MWPgcfrtraBZLKRZVHAYf3Da+6tv0hQsKlmaV5p8v/EpO/7aU0n9DLGWy
S2Jy8xHM8K+mL8bnDzE0UADsgEFVttaMYFBafX5G7LAiM0GpxuNglCCjtASb37G00Qm9q9OUm7Ra
rdpS3Y1ItadtYSUAfWmXY04wSyRXvh7OnbFPjoDW2+MCR/Ar4U/NsnB9cgOTa5jZ2cWYIEypJktf
E/KECF6ozbGwrPewdKi4GchJLYcLEnYdFqgGBldrSTY/mWYepq7JdkqetrT7SZKPy8FCVhLHQX0q
WdxRTdxDbLXJ3rWYszWlHNfIoOYNEDrwFMHPEn3RLOFmOCP68Swxo4NTtP4+i9JknSguy2OGS8QW
6xZkk8Qc14Nrhx55xQC96PGWWvIRPUlFrJwO/YlQHlNO79Ia8jM77G40C3W4nwlCcCKuRIE7Kqc6
tl7x9bIQKmwN82v8PsXxky0jfK+i1zLI8njSShGPtyBQfK+qQ0i9BhOFMH5rSQZ/pO1VL6e0LUhq
SSvPblKwb0wPMHm5ubvvFV9bWVJVzkQ5qAczyok+R3tEGGRnHWoovQ40sGtuQnCqxxulBDtXiFxs
VCwJtgU5Cr0UpjL8K7Sn3OKmxNYWQpXMqMZEOWghUVf2SFbdY1+SQeyrRrJvfQztG6gjI23yVLMA
Og/53fUAcaLjSOo2VOpAm5neMd8JErSrYNxyXDZBsGkVc1e2o36j6F0a7dDdTmd1n7vnUT+iFi0m
BxkKDGMDka7PdiqMEve919zkoBfYB4iCv4Z/qg3ex4f2P5OSeWT796fXdfRW188/n13zV307u/SP
uQa6B4ee5Qf2AswqPLZEUc1RtB/RDt/OLvc3e3Yr4flm0U1OFd/w29nF5NjVGPPapm3oYk59+DY+
/31o8TXO+K/zcPWPhfafQ4x5cmxDpOJ7mYyodbbqn8+uCahiqBeReo4mlF1rBkrQ0p6K4IvqYk9n
/Vpb+SFyoCRG0tUPsuSf17p9bqFR6ghkspzgKu26J6wyS3VUhg0U2oe8NjeY/a+MHNmSyxWosR8Z
amOrH9rVZPMhMO2GFaYJfS7obsshv2EeWxHapKbLqiJWgWngox9HiOH1vQmsKNOq5wn4ghZPDzqc
wGU2tHiFQIIPsb1MpmjbdMxB4nx60AJ7i1AxWoqkvRjs8DHO8ls+GAeSGx+oM9kiMfV3BVk6mLi7
RMtA5nXcTlxlPdnTBbcPTLRVuSnduFvifQHU38JI9rn8277ctREIKwUVecBBYFeA9BuGsGPm3FUS
5xifTobSHTg96Yt9rCLhjKWytWTEvT9CttVBQynEsNPh3cjSupJldzW2WX2bmuNzWjJssSrnLAjV
ezUz945aZMtSHY5BUpqEZ9nKyozzbdsrMUq1bi9EswN8Ab7ZN89G7UuT50+B392ODlerUVAxMGo9
JWpDyhYJCKkt3gwbyYFrarfWhJxOqqIH/uKv24YJ7ih7CwfwuI0byI102CURml3DexYEKTGIYxBj
wU2whdandmi1cOUz29+0KAKHfVuA+ZpEqba7wiFJo7XdEYxeSw4YDOsaY00k/H6FxKx1n9O+ksjK
TL1FRK8O2WKAii+WmV6QyZgKyO6g4ZelcI9ZV1UrwjBe87CGKeiz/WRmxLpbL/grqXpyal6BJsCm
B73EGmdGfzLWzukFbY0QosBMruypHPe2YZ+UEFhZq5d8DxUzkBI+pIN4zJ1BIrXtr8uOqYCrlLim
KvNLXDbveDreppatCg7pu8ASPAqGcYQ6zDah0fd1rkQM/VtjJcz+YtAxfxtushVh/YhhvF0bikhX
pu88ju089BIWCxBbfoGHIxd5KlFXZhi78qhxyPR0g2MaKKfgMe29PAjO8iH+IgZA2BnPC0EWXC73
Vg6bpCgvewPzIKal23KOc7SKYJPicKLlAXKvWvc+sKqNyT9xNHkfTNUl08Ulo/7mIJvH3ETw6Y9K
wVjBniKPbzUsVBCv2HgVABh4ppSwIX5u6BednE3XYXXVgfDaJUiBJys/TbiuCZJ+t1xRL1Nqirqu
xqR+/U9d+RD+zxq5v68rp7f++edgMa6jfNWnusLYHbywzhB+NtV+64nJHIP/irKfzGzyf2Yr7p91
hRaVwmLRrYLbmaf2f9YVxu54rilUDMy5I/6LskKfTdn4VFawFQDKxxEL5g1z7w+3NL8D1Ef1GM+j
/MIYoREA1JMLMDi3w8STr47wvl09PzhTesUw7gWxt7K0lYljE5DOYowadWG37hlUwnNuZgVGKevF
ZUyYdu7dNFW3hiRzls1bpUBri1z7kbi9cuE01pw/NG1UPTsU0uBD7fekJU7GSaqYdlJLFfhxkjsr
sKa1UVg0zX61BHuT4hEwH5LUvgvG6UXxnXzpY5FizHibRO1F7YpT5PjaRnW54PKpK4oBMWOPr0/2
JSKaZq851Ish7zGfF/zMEyY9lDVOt+uccE3199nL5us8VO4D6LOdcj/q7NWcYD2JMPJyGxidnzcM
9mHUxaT1VM5szOLKqQntS+FG502iWYsgqkbs9pkX9b6x1MoGmDOwYzM2GNjMJTbIlXjlKuZjNiU6
3a1vk2yhpmd2EbleJbEzK5jvUZrjBpO9lwocpi7jUEe6E/P87toaywIfmXnHBqNKlkFUi2vX7oKW
BAGzYInI5aGZbjUpCUTqHaRPnlm1arhKP8rC8LVGEFIsPL+Y5VyUEMfqVwklRU0H8JLUGLLTYQwG
wWaY6489VyKfkiTm2pRRpMrYPKZz1epxFYBqDxdWw3MTUtpaSlyUvtUUvAqHxMKkBKLA3g+1TUAT
xbHQVYWTkXqp2f3RnStoMhIGQkkdhXWWzTU2o9hWmlndiqy5CjJxpX2UY7nr9GEzxDE5kCZ4YCXy
t9AvINNWxn6cqzq1wd6NCknPEyVf6WtnYdEE0Btt1IhGoKE9cGgTJhfJCYAp0uiD3HN7OIg9TUUU
sTbgEniR6z6GTYi6ClT6mkZkStP7lMaEILoMWHX1wCXjkPvJLTk6j0FWXwxzTzO0zjahyWnq2VxY
hFtukYCMBEp6GqKss3mYaZGQkS0wij63Y7Rie7V3aaU0Wipc6K3nGxJY0txvpXV604n6Npw7sbID
XUwR2Cc0aeXEhLS1H6u5e+M2dKxp5yY4Uarh32tznwfVf5nR+Jk0gHparG0aQkOY58PcIUIl1w/x
3DVWtI9T0p8ojOsk/5LMxuK+jVeN9DdFhKrIZWvtQTa6iCwTf7DPP5Fdwms3D1xbiXKx9GfQlzkj
vqRdqo04w8KuL/p+vLGmtlgMBdQKo7Zv8jzYA/16nJzwmLrDpcEsVVOTfOFWpKHO5nUX27tlV7u+
y3gA/ZsUa/fKj/U3M8Y/GfXaDY/xg91intH8AquNddm4BrjqsV6BXL8ofJmQiKGxnwl0NhJ+bpJd
SjYXmeoak98h5ZLuXiUJxwqZr9XO70N1lYHyWueW+zL47XOSVhe+hu0IBrTvNRJjQzZWUMJic186
jbiYDGejcEWFMN1X8XWZa6/+aOAhTiagrMWBhLMXLddIQOxGkKCusmoT/RQyp1oQ6dysiR/N127S
vhUgIFcdGC2vntcROGlcmlPWdJZrM4832bb4oj5g4MP9rwENY6Idtlc1/iH8RcbOmgg+65R9kfFT
RmTylC1eVnNShDcGgReHWbdkwvKfm+TvczBK7d9X/F0+/oUwey7P3+q9Zv5mUctRWYsPIgYF9Vu9
J1AZ+x8Co985fVwWv9V7cgAtBEu2xSXTcJEG/Vnvzd9sZNyYrtmPs6z/twqk+Z74fcHHMsLlkT8D
rQc31o+G4LuxrBGmJfHddnvKEitcF0UaeUORsZW8xPkzUSIjN/QnayXCXg3zVdIncmVqPHmrAoNp
LpdijKDSVQ717RzaqkkCqNNJsvQW2mBVsDHNNDQ2uOyylBmLSCOIMYof9zoRfW6RP0211YkLu+vc
OvdsiKBiP5im5ASBdBc3zzZN/DQtWgtgv7ochrp3EY/2Yb2Jm9I9hpUaghaoIQJLKW6rAlCTA6a3
6goAySKJWVJXst+TnzmudSfKT3aadFdAeuSLSj9d7vo4DF56UQ/rtCGlLrKSgqVo4Z9ixRRrLmzh
FoUZhgxHGuOlZuv+rukKeUxyW560uJ9Ttsr3QjoNZi5dr58BdtKDt0LvlqFv6rvQjNsbXVbZknfQ
fKV1cjd9mEp2yXgUSaXbpIowrpxJTVeDEXC8dyroCkdDV2S2rbIzLHU81WqNNR5X5lqUWgnBpMk0
SeEH9DX1SGl9FTaQVmJKdN1QfzIm0tnCaQIAmOid/pKwbdx3VRPsRkRAD4bZGNzxdPydJSuwycm6
865LXnlL8x24Be1aa+g+ljGq+6NAx0ucWBGeRnhUXjCa0cmMmmbjuikn7OQ6J+AQ5hbqB7utEYhX
iJzpFZpEejCl39x1sC/WjRvnpK9E+pHBSjotrLBJ1qPrs6AfKuuS1bKyZorWXBiRUXrkbBd7TEDE
4zXJGayNCZOa4qwrcxzepQjTrVNmwdlQRII/W2wrx8i3VFyjDTd3MuIQQbQMA6vRyTdlAExWSJ6i
waxpzCbd9c/SWrHuWJDfF2qoH3TFKc/54/trJcFa2BQ6qYx1rZ6PU4jRDvjTLojyfkVsY8zithyv
wtqRhBnIajVG3bAK+slfN1XTBP85Wb+erLMf6u9P1q9Bq4vn+uX5L0d130maNPc3rlgCCadw7fl6
9OcRyxTPsrEwsYVghEbD/ecRa/7GetB0OUy/ooo4mL9dqdhAWLqF2Am86lf957+4U3FUfzpguUvp
TOi4SnHI4sH5QW1khDCf2zETpzB7mprTMDx+97b8Phr8pGea1Vw/vIKtC2x3BhAnbFo/Oqg7vxGt
bw7dqZvMla6X77gfyCCJr3jY3+lwvBoNoUdQQuVpSr7TbXdbVzE9BqeIpVjwKaWxye16qzTqTUwc
CM/3FyUlIl13wT2D50AWIBcTgATAbWZyMPq2Qt2REUyxGDCoBryJSzOEU8TVbJxIHlPN3RA2/rsk
p94wstDyMGXbBIJE6ZdKn3OsJjyQAtIoZp1AeYiJd4TRIF67cMjWrWYHTAHDag9Pr4Bj4ZzbJRO0
1Kkf3DowVpoOiq8UQl7EA0N7Qy/atYaqazHWOU7w6CnR9QObH47CbDzIoK+2QBy2ed5OHNYVQRHp
BnbfEeC4sWDT86So5MVrYnjPEuW8HeDaNdk0rTvheEHZXttxtlBUsh9xFieqss3L7qxFLQXfZbwc
EueMhhSzzVRjUwe/atvPvtYDIrHjbQC4r0ui55bMe8apBGqbzpbtxLky8eUYEEJff2yS4MztbA5Q
8yByCDW13h9TA6ZIZqzqstpaI3GLhXDv4mgC9J+kF7WPf6GZCBaI1Mey0vG8KDFJLOKmTbVkRgsm
aDXENVzFAtc7AKvOiXYj2hROS4Qofmxt0Bo1C7ZaT51wVxKrO7+LmcMGXIoYtTMWqEtX9PeigL0S
mierQUrSTkA3xFWY4S7q/Gxji/4YynpXjJIyHN+HPWbqzJXbtJeHUE+vLcIySdBO7wlBu4Ndf8/I
b13UUAgnc60M9ZMlWkg2rbtRjOax4IfXxwwmzzh94Va/4ha15MroGclwKCUOnK4CzSiYEi5aB02v
sP1FYNlPfArWcRQ/Bj7pM0MDGF7pOh6b6h1yB2zieCWM8qmr1UdFUa8bG11NwrSxH9ylaqYvU+Jf
JmC86f+DQxLXyQbKLaoxxSYD0l1WZRdyo6ZZV7PsxdVAEyhofMGM2ebRmeVwESlGnlJqvWda17Er
HrqygfCh1wzPy/nTE4Oi0eK90pXOQq/AgZsVFm9FM68GB5RlN6IsAZQyX9MBR7ppyYxdkAcnG+sU
EK23ikzrDl5bgIjOd15qtwWlSSgijPHS6vh8173fcClRwArGUR8RLRFR/0oLcg1vBYKxEmKkQlBs
jNrXEyES57RT1FU7cX/MWx+zvDMjjbMOtiAUfyccdTaJ9b4lba8UZQMKHaWgZqAf1PSq2bJ0j1dB
1B0sOshFk5T5RpvMjT9MRDMPurboRFquinZO4mHheG6nakquktJcEhwTLH2/fDWn8a72jWc7IRDd
0I5xqGVLV1MUZsnKwU8AuWipZsIqNYdlmxbZdWGCMmZA4Kf3XZJfyR4ROrki5yJCsainyzoWHlTs
zivKfG9XDK/x+fLfz9R1VIGlPQcBj2cBCrEUXXxMaFQ5tYc0VghaDY9qqt4nNZAiBKjS9dNNPiRP
YHhMBgTEJzq+heFKHRa+iOyXUpKHyFALgIGoZHbDTkKuUfhgFC8iUiBgIITOlCAMjerj5CQnQy+3
Cc56rbLoENEEAVUAHSZNjyOPzYLfrQIDZ1k69reWUt6wHAbuCXzJa+ouXI2yzRD24VqXqlVgQEcH
CELtneRflWwIuFm8nPDq0hLnhFCTPzYmNmqhOIR2Qz73hqM/vPcrXoE15E2eGUwXqJ5n3VjHZ+T7
nnL85cvUNpwd4SCw5gr7xqyKmL8i5Ay1JKK7Ufj+mrCEG8sfb5zcnGYnP1CJrmjWZhdoC1sO65Ze
bVOqPdFPY0U8CV+4qHuze6ij1FkPpO5B1YSsR1UC3i16rqqJLNeGk7FFyIpHqy93uYzWgz1y458J
Y/ZZUo23ahivejTrQJTD2y7VAaVW7n4YyWUplLj2Cj8l2rKL5aJU1UeUB4ZnDKJ66KxS88qCzUIS
8qDbRDSwkTAe9MFtr33dHNZOp7ho0tRfAU4+awwclAp0GHNiqWvPLPc5m/R72YueZUgPgjg/tXAg
iIXcmZa8lHWz/ucu4EML9Oc97tvrsBBkJche8qcmoLUnevMwP2VpemSaesupdOFk2RPHZY341OUX
MKbbfigJEUu2jR4ewh5QlJ7vOakO+P9wWiSXDOqu4OiuDJiEwIAJXfNBKFpAKPgIiMk5WWrAZvWP
vu4vGpi/fIfgBpD1A+sJ0v3nd8jMuiJq3SQ/ScjawXijxtkyLL4mMP2tHMj9QX6EnhwLEIAZhui8
Rzzon1+l6RIkzknXn8ogbOCEiJ2BUXWh+ogG477HgqL0Dwqx4Ze5yzPoqjvpSIycY8lBZaBGiDNU
ZFN3iTfXvc6pSvB+T4qK2loUklLO+G5hFsEpgiM7+Cbvuc7nxsokpk7XnK5MLX1O2nTJFCzaTJK5
aaNZqxAN7yppjVel1tcm2S0AAysWYQLCV1EZ5MnU8PuCktYmtHbVpL9FAqAFl+yOHDbwcOlxnOwe
Ne1IHIom46MaltliGrqQvgmIYOjGZJdHwZ3fadlNJckYczVCsbM5Fcwq261FTmdfUOK0kvl9bCer
UtXPEc/kBHwhptaM9OCrzx3sO4whnIuPjoK2wyZSfozFYwrOcpWXkApL9k0GvhsgVRQxPmYeEmMM
nUq2rdvMXGTacNap/XNCPO4riJmNahEPa6fhUS9wvhpNtY4MJsdMcq8ydlknl9AZzZqGfWU3v/CB
ssb/1DTzeeF54AM57+PxuLvzHub7z6VvKAUZdWZ7AjXxbLgNWe5ln54s6Poo38Mnltz4Q1HbaNbA
JjmtF5yoR94VpMRhYm/1oDm25ILLST+ahfNgiDxcN5lZrbtOFTt8f+QTos9e9E4/JxYIAm0p6p5E
KeJBBqYf4SBSs4JsJLO6DjLSE7WwKagG0CxaRCF5Wa2tbHqtC+sZcJK57DUImHVG5KA+0juPbCxx
Dljkyy9rE2xpLa2H2LGQ1+hfLBvLZCk5BoAlW/lw47vxwQZqXBXGtWWy70W92436tdn3xyQOr7m/
X2W2u7HG9sFJ0ErTN6orBjj0ghXL3072S8dkxAFazFN9ncphKc8Kz8SydI1HzVAetLCv0LJjPQ5t
FQaNMhCyUiA5rzeqGu9IR17phc1OsvdY8atL9tR7G8+X1HomOugosRzeQNo+uc5A6N34zJL4tTIA
JNjWyhz5c6JAYgB1XmC6sHNrLQvhhTZphFFuL3U3uoQcmOxGZ4LKOK6s1AfxTEMDD4l7CR/GXnEv
ZdW+R7bCxnVUIcXFa8YErO6b0NODdqlp1sEiQTwy8F876G5WSGFhTdKhJh2mKc1fJexli6IlbwUI
UygWQVis9UTZZ1TxUAZbR0tRDTVrrF65C+8NvxVVM/XlGqbWKq+zkh1SRV5homyYl+2nGH2CyypY
alBsGpVDd9K1daw5C1M6F+SzbIO83QeyOuSOSdfbpsp5Ws5G8NQ+E4Hcl3pcLU3QlQujxAYviXgK
S3mEYXpRp9YyJmCqABtFujI4E6IHJX3MCeOJNa4LsfXt/r5UgQ1m6tEy8QKQWHaIQ4lW2fcJRtZ7
0jxNTcMM6OcbeKJeSd+wLca28YDrbOueLsQuGKvYiATIFdN+Udp+8Un9Uemih+4Yu2XSnSzqft8c
s5xcjp5dizxP6qPGjeWf69HnFehPJ4PBzOD7k0EPw5zbBSdDUbxp9pd+uMJumQcPUmz/+YWwRn1/
cf/6SpZAQwSVg72r+aOIuGlZFaBIOE3aGKxwiTTLyNdvzCYodmGBN59ItX1ZRirgLVU7OjMS3Iox
XE7xpK4k33fZaMq7UJ3LITfgIxrdHUHS54VqX6e0b9x6MNTo1/CbgOpjDc3a6Im42nuFqe9V0CU9
BtOw3WAk2JtYLWksVqOmMtP1/U3eGvY9+JDrcko9JilnndHuIkPfTwHQzdI9l0mwrynbtsLqSYct
D4AJlDikSe0+K+tVlPo7WZKZlGImas3sGRKmuUxl8FgNbn2vz3EBemMEv3hXP89bfn5TZ2HwdwNt
Ug1y5DrOcHKGp3B6GZ2v+c5/20n86vv/UDhUJaVHDpKRtfJ1GbMyM25/8Vj881Nh/fD8YbBP1EQP
xpOpX0Q4Q3mb1HBc/vOLzO/Cp3aR8mcB9bZoSTXTsX549Aa7kWEj+CmII9Db11Zm9CS35K794reh
f37G0alhMgRBp82KXVpT7YcXGuMoB5paAtlfaK8UNe8mXfuesuoX0fJ+kS/ud9ayP7xcRcvwblg9
p6vxhU90s/0VoUqf52w//sTfF/wfGkAXrSyTbo6Rdt176lJdDdfdJrtkxb/CtVqvtQ3v85oo3wUB
givXK/uVOOWv//y2f3gLf/xTfP+R/0FfkfoNgQM17/sDyqAVhNq1e2EvzhtAZ97m3vwf9s5rO24r
3bqvcl4AHsgbuDwIhQpkMUmkqBsMBRI5Zzz9P0G3JJpWS8P/ufVNu91qqopVwMYX1prLvQBqHNjn
eDfvyztj/y70WLXvOfecNahsp/MYnXm2R/bBvgy6q9hBABR592QTnWUXF/bBPkD+3bfvi93dr9/6
Zoj/2wf4+q2/+QAltUvymhC7s+FUTr3rnupd/U7x0Lt6UGq9xC93xbEKrr9c+MPBcGnY0yNK22N6
JmfaDX2M3V9D9/7X7+qF8fKLD9TchqOvbncMN2MrTN5VfLCd2F33RRC+K0kNIVDTMZ3Qad3FyQPr
3OzVjwzS/F+//nb5/v3lf9xHb04bjhoJOvkyn+W18sU0nVaJSEp2F795KG2nyq9e582pYyWWNo5r
vpypqZ1x+iLP+8n8vGh+I4N4q3e//q1+/lV//63eNpNSweFvNOlwjgGaL+FtHd38317gTc+nzVZu
mgUNVGac1JQ5oC28X7/Cb74YsR0Hr64Lso6tUizcaBWWuiLb1SqyBOs338rvPqc3h1un5F06AgXE
NM+3suYuqlb3//Z7vLnAhmrthrIrlvM0zm5isqad3bW4/vWL/ObqEm9OJTOMpIXhHE8DqNa6zZo3
7680jWxXnLzppJ7HKPnNR/fT78fA4KFspnL7rdCMZDstrJN+OOvF87bY1GKGfMGvf62ffj2vXuPN
TZNHdieRYzKf0Ykwv78pit9MFX73Am+OxJXgWMzAzXiWObQZRmda/puP6eX5+Ksb/811TFaqhciN
65jewGnc6Djus0taBHhJbuxHVyzYT7/+1LY0q1+eNdtv/erWUZj/seCPeUZ9YDBccqpiz3CQHH9S
LtbD6FyT1s0fOIZfuIpj3UjObe9vT/Xrx+ZaO9K1E0BDRL2zL904+N3b++mD/HXp8uZitZKWpNKQ
m0652h7kktMFuX4oFdfJAt17KJ0j9O/Ts/yZ5qx9v5ywXv/m9FK34+lXX8qb732UOjNuoBGfe2/0
Vg9Dm0rq1Cn3bu2zeaEFg/eo7kKnZGK7awPAKq70mxP6d29BvHnu4QGWYOjX/Rmlj0Mk1+qkX42d
4onT8DTva7+4gHceSM8E/bhzkF2h/Hn6zXXy173jt0r7x1PizXWSEZxOOhaXZrubdziUnGSr6g6Z
+248zIdDshUt575wHkgG9IpdHYhrUpe9wY8PKAI//gcS+V8L85fG7G/fyo/b3XjzkViSzW6o5Ehp
fD0wSRPz5t26Wy+Sk+J8iQ7hLnOtA4leDlZKV7z3obnxFfVBtrtLwFnmwX+Kg3/tNQqn0PcR70Z/
+g+56fypgOp0emp/gmXafua7KAq6JL4RoCF/E0WxsYc6Tm4eS3NTY3n/emOPyBkyCE8MLroXxuW3
jb2OKMpW4D8aBu3MRkX/Bxv77TVe3d5bz4JJWQFDgghAMEt/cyEJpY5kJV6ZDZJ+7GRjAk/NYpfp
iUa3AzFan7owmnZNTc4EyXipTuBNZw2L7YlETR8TVRnCqzishuYAh6cu2Cukk+zXkjGI6xrewnTN
rXvuhrFZfQmLSTAPa7khgpRHKbanm6UkZ6xmyqb4ERtwNnrlJsxS9ZVo6heNSbPNig96KBUp6/Be
5N0jW/aUod6cr+q8etpgdkm3U8s5UY5FMa3VXbRiboMSgnLS70FNB7YWAWwSJS3G2JseiadpIGVL
408NiukxMxV/mhtE2ZnZ3hPfOihsrxZz9bVuYPq4qDY6zHzQzAbXZCiBE9JrqTvI9WpeDgvyW69W
K/MuMc02dUpRY1GCeBUodZz1dzwrW9tH+ZxfzaoZq0Ej+Pcl6qoP66QT+1A3EYtYJsmVODS5osn+
y0X5792pchD/97vzsvpZ7PD2M6/uThIABSNl9VvEwHfJov2HiehQhrZpYkk3qEa/SRYRM0K7k5Gi
fL+nv92dm5pRNcjuMv8/WLLEAry9PbEAk0uwQYdMgfLnTUnUrXKyDMbAWlwr1wvEasR2EOYVNzoS
eXRYq7OGjC3JkTLj3LP6UFSXi0y0kz9AKnPi3pDzS2tI5GLLKuE1Isaui6SzAoKmYfug7NUS8QQZ
7rMz9ekQPUxDIdXeKkdAb5xMSHZ96PQWqbU9QmqHsSrgZcQSmR7CABMxzOUDHDR2wLq270sSyrtu
7FHUyxDlk5aNbiR1EEGR25TqZVuaZPIUtNGLfFsuCegxhUV7Rb4XK8tT2YQXyjTf02duCx+Yr3Vd
BEN9IH2TdN2IoKLETBM3E8gJ81mQ0mih9h/ClbHBDANN2NeKjKQ7R+wiDR17ARxADtxnthEFbNRy
+arO/ewlw/ihnw2NfVOOQ1g2POAS111VLrvJHE3XHGz0z2PTu5pYZy/recLKS4kwb1N7WrLqy+hh
vHRQGibM41dJn+G4E1AztGHrFqHydZ7hoAwGGzeiHFl7EBSg5OjNwaklbXs/GAtnZTNdsK0b3DEZ
CeJlXSHpmJTEQEWVoboGquaEKC4Pesw8eNarc6pWt00zIc2uT6gw3BhoAmsXKhKBOG/IPxOnBFeN
tUOvyc6YZx5gecnF2nvUwwJ9jWUSvbMCe+3n1AFqnxGBIKQdoVuXBdaWXZa36QWR0mhCogeiYVI3
w9cRaARI4byKMCu2KABs1gdNfxwHIpEauX2IkEI5Kw3usih3fTT7yCFHJyVDICvT26gcLxJD8zJ2
0Ti31sQPDSKAal0K920Wxq4829cyU30CsbWnKle6vVITFmyU1dlQMDzHcEVKLXsvkIUUacNGvLmS
YsIuhJ0hi8kh61t5ukvz4n4SpN7lJEvI2qNcs5MTqRGMU343Z8ahjJrFMcMY6bsVG+5CR8uFrsYM
npGOaTYprvE0PZTI2wiw7B/mcLpX9O6d3rHcito1II/sKu0MuCkW4qb+8yyQBnVgK9xBEB3UZNgE
LIVEvX64C1PiyKpUGfxqiQ5Rp0eA/LCombCArOgj6k+sEsnC2AgnDeIMchZ0eXg/JjJ4ukxPvMqM
j5JUHWVhfypXi2Fd1DDBrJQ7prI7LC/v6k5GSVRdT3KyqdO0O/xOlmeB7XI0CBpRrF8moiYeJ0Ne
kOQP7FPLoFSWT0W0zvtsifbDCAeKSbbtllJWelqBS4Ls1Ufyzgj32owi+UxAiE3sGbtUQv/ktd1k
w7tiElykaq77oClMtHUTkmLS0RX9qYV/4VRtc66FeF81YXxsCw1smDI/ZYl9myIncUzAA+zBMCh2
6/I8jfjUx5EcWEwLugtUxdoyT5QgF6ybwxzDT5hx6ciaIElOqrgAksVtlspw4T/us2j+ZMY99S3G
Q3827cvBaC4VSX/K+lnzqjmnO8po7w1S2ldJfm4n/RRVyX5Zq8dSEApLi3MQGtuielZOctuQODhL
ZJQM5q1ORu4h6rck7HRLPFXTSyUrjmhlg6VPT8JWb1LySYo8PcR9cxfGRH/NdueVU3uxVOHVpm2p
rRgO2YIOS44j82RzLnI2Vty5ORyEapiCNKseyoowDDHZ3LNE/RokuvhTZPZuMk73dtcPzpyS86UX
JLrAMnyctV4D6xbvVZILncLCgGbParHLlvhBnZ6mlvgIYaTMKhf9FJvF40y4X6DYw10+9aofjtV9
mwrb1TrpXtWNpzgiYRwRjeysGuEkXfXFVnUk6/LzqHAx1KX5rm75wiZdgWuW9xQ3UYkFrBDXY5oh
5iH7SYomiaCC8cyO9pZf1ZuG+Ir8En1n6CiEohFA9poL8M6y5sWWfEC5nrgDK4yDPhl3ah2SJmLD
ks6Tp2IiHjbUsZ9ilis3vs979rSkGIqZVfSf2vh/q6QXK6fyyyrptKUcUBK9IG8PX8k7+P5D38sk
8r1Z2tGsKKaqMML6i+yYTQdcVyoUHBrMvr5VSeYfLF0QHSAKYumyNSrfVcebsYO2RqjQUjaG/z9C
y77oWX40w1sPg3rZIrxJ1omDkvU3RRJplz35L8I4x0Tnte9VOybb2i2XQvFiAqSFY0FETS47K9M+
1OAOIcBO+Y1MzJ4ta3nhtcncJ24v5BA1imV2zaGoWkYdYtQ27UlH29F14XHS8ikGU1at2U1VZA/1
VNyaSvxxnlCkolQ6LyYpnXppgEckTNAhge0zm2rT4QZV2bDja1pkCXvcEMAlxN+nZos3ad1drIQf
8CLU8UmaYbB7yJjq9j7LeQQWybAGo4E9qvJi/lbTrYalLy91aTH3S5zuE3STO6Zmky/3hDuFRJZ+
Rp7zMRpT0+3NIsR/We66GdweZde+SaV9kuCXm9vys6y1KX6MUEPHUrxPIumLelmXyyWZid7M0BLW
3wo1LQ/fkSV7U6CRsImwTNcbpTffT2P3gELTJ70QXuq/N+Kf9xS3x39vVy4+Zcyl/nYf8jPf7kNV
/UMD8okHx0L+hjn61X1IgrENawN+h4ad+bX83/7DoIOgXRH8ofxyj35rV6w/TBNCmWA2zZ3zD4mm
2ptxKnfidgZwNyIzkmWq6jdTaFtT6V2b0rjKxjw6SVHRhHfzTHjt3lSTLJhwgzuLIK6L9b4XJXl+
0Fv4j5vOdZ+FICuLRYWTNcnQetLcknfzQIGk8xhztEK5sAz0uFPK0zNDsy3ZGHBfbLlzLiMfioDi
9NnOXi3MkshsxmWKvDDUV8jEcXQqydtOyd2WXgK4tyhuEr0O6kg4d77FdHdbYPekcEeQ4L3CLZzU
6LbZor3lLeS7U4EsluR+96tytjv7SYTDTUIuONLXAxXLXYIMVCI3XNoCxMuwOjUkirdbtDjK/g95
H7kWmeMF2eNRYs0OO2SkpplW4z6KHnH/HDSr9lM5fNRIMN9SMZxlbFiB9sSbd1tYGtXbxnUY3Raj
KzIU+9RssehZq0Jyzs9NrqaOSKPLhgT1liT1fi2f+01HYfeVu1YTsI2wPhZb/HpR9XuDPHYKfWLc
CGi31zLyMxWCak14uyaW40qau9XGN8sW7x736WHYAt+Rp62cAhyDFmHw9RYLn5IPj+PrkXIywNeE
PFBr11205GSQ1fGXbouXX2rF8Cg8AxPFILsKLSjIoi9rOBnTFk+/dUR1GOu+1j4PJgH25hZlD2AI
aJNhemRmP0tb3D1St6smHxoHmTExXKJ5Z7WWdCEh/MqM9iYnO8we29HRR5AmfS1cIyoR6MnR8pHm
7WhF+leBG4xqm8AAkIWPOowII9I/zvJ600AmHFvlcapDyrM+fhaFjmxoymyfALdzIZZ91hEa3OoK
m6JhepotzBOo2mEY1dEuVYcvS9ziUzO0nRizLwtzt8pJ27rdqYnZfR5huF3g94OpVGyM6B5eL9HL
Gzma39/cY8LFWREaCWjpEUY6G3NLENdVcBp4zAagcFJM56BN+MRXSkAnCclE4rFOjC9zAifMkJrz
GIn3yyhfrdwMN4uViiCTrOmmxhTn8Kg6alqquXpkO1qzsVCSWrrC5K45YpYrX+NqI+OzQdaYKQvI
ay2ZDyBJDQdtdHK0rHkNxGhMfpUkPTrNKXLkcdwh1v5iydFVM5K0xyF1qQ1kvwrbvoH6Hnldnp4b
k5ZeVR6wTS53rSJlj6WS0oc2RXetQXtSwpYo854LsjU1orctOnq950FVotXUMEHSdVtcNyomE1GS
8KZMKFwpLYlfQy0gpOUyU3Hw28BUh4bccWJ8ZRi93ed2wGStMToYtfZQmoO2+VKOBB8bR7p/C/V8
qjgq1N+PKkNPxyhhygzRiCt+e1CWsci9pGjrHYrZwl37FaGeon5IiyLc2R3/36mdrKBccThkGVLP
qsDx3UmpzFSxqWgYtu83xG696uGJXNkgn6Zzwh3lTkQ/pnZ7E0/81jK5pEpUnZQFSV6BEKayc3TK
a4upyEZpFG9qfmvgG2L3WmMn7NN42RUlsg4jQQi/lfKVBY0nGkjEqOUgMbJHeWyDQerucLeP1OVM
Y/Cv+KWSXXZDG+2WoYjdRLRBWNd7c+ieKeIhJfDw8Gop54YFgqri+SjeFV2aX5BoDBNg89Hoie0X
FcLfqJH3WD4fKH12k16fKOWf5kpVQMsWxz6bMAsqcyBM/e7fCuHPCoEx468qhK57+tnCgZ/6ViNg
EbQ3oolGPB232l9yIIhN3f5n6z8BWT8WDlDPKSlQpDPvpJpndvmjWAf0RdgUfyOFAhU98uF/sHB4
mZv+deNgMDtFALhxYWRsjG9qhHGwZ4kqfLpaqH2FH48h8KVh4zBFSwKhQw1P/ZrhfFvQqmf3yqAg
tGZPkvSHekUfOI/mml100GNXP53VfvWxU5QVO9tSMw0ygycA2nndhqvfRy1HHI7p/Yxvx37+Mzd8
6Tpw330i9JAx5LraXl5XG0EIrzaD/caM1BWXVjZJibMinEft+ZJJXqiMgHxdKOQ7hNaLbzcjwPwl
y7wdI914nytSbO4Exwx7EQ6cEr/XvibheT9rZKY/T5o176IU97MfRSn8USJxGTllc3SE5pJ/ToiG
8OwIprGz1MvoS3lrQkdkXgJWJsaPJTEmYQD5edzUyetaaEHPNDfmcI70wFjiZ3OSiHQtrWcqHd1h
alH4oubPCGbExjUS+cRUdTrFUd2drO1QjRLYYkAXGae2Ei2BQAWj4uxrvQJyH45FSaYFguWoLIm8
t1qdOiScyk+Ktdma1yo61q2UX+vbzC2fFTuw6vIpE3ijtFxD6BmPetBVfeLLHTmjWSQQgxtDfp3J
oLobG/V4jTWjYKbpW1JFBWdpT3EnVXt6Hi4LBiQEMuiN31YRUBJT+lxnYbQ313wgA6siRL5tn8WE
hrNWKZFEQeHnTW3EirNXRVBVRXe0DTn1VClOL3nPzPEqszpmSLyTIZU9amaOfDEtN7YdGsFkVwUC
8Bjd11RklCO65UwDYt9ybXmblvYhLxk5Rk1KFHaryyhzBQ4dwjbRsY/Q4YANB0puNjfQwUEsRlN/
IxIqknVRGsj2C+RuDNf5bpXt2e9GXKWdPtf+rIhhyytv/HAus72SE1DN8uo/OWb/7oEUlBG/ODar
7n/+t4ye8qefzTn40e9nJ8taGivaEDw6TBL4o+/rIOsPm3WPoYsXlNXGvfg26ND/IMoBtw2TTjqf
rYn6PuhQwV5YCseqQfggDAvzn5ydNH5/OTmRTsu0WEw5mSpaoKv481dildQSlBsluUqwYVZDYM4I
9Obh1Qdz/efU5LXFGo7WT14FSiwWRNTaFEF8Bq9fpQlpy4zVSM99lSY582yZ3DabjBo31NTMT7UO
Br46DhdkAz7aYaJ4yMKup06Ia7uh/IstfTyhj8U6oUiGq1gDoHklQYYaIYZQi8MwxpfJaO/rQbmQ
1+mmW9TLZq2AI2lXrJ+PcprBPB83+JLc2DuxHS2Eri5OotpfSQ+ewOIzjk17AqnJVnlO2A8zhDcR
XRLOatvUwQvLI8l2lpkG5ThJK0LJaRZeL3UYRm3k4iyheWJkfQn3VtXvQyxtgcgN7aNaSFimwHkF
iZzFmJbALLKxWpoMJ4QCtdzKyPqJ7DpMD9hDe0FViVNs6RbKnIEjazatOHZ6rdas+1VtTPIq1Dxo
pdU0AqWaILy7tcIDt2E5VPRL6MizIV0Ryi1d8vfX3jZzzzbsfSWVgUWl5ZkD/Qici9xrhZXstVzP
jgMYCeua1+u0j8YSie6kLtVY8QjVbivRGvN1rBBbZNMPnpRONNhth+gRSrH+MIqYFX++gFnty0E/
gDSsWzep+47znaex6cpTZwMPAw1msuX2JUw+nlrPoMkGRuRNhCh+VI0R09Ig/J7PHAbU2n3qaLLn
ZYTQOFsqRKPkIJFR4KOKYxaGRfp2Hal35SX37Uqxb0FrECqcwhWzFhscS12APMl0b6xQ9jTJg1UY
4wVf3eiZTbL6LZtKmnBq+jmfk6O5YhIVtAsBJhHFLe1QP3e4/HDvNV1gauM+bzE4yvMsXWEpU3i6
FJdJmV+ObYd4t01u9Mo4WPHAKtLM91VSZl6kydedPd1hUB3fR+NsPRMOwlwg88xpNp+rZPCMguzA
sFHeydKwYziP67nKQJkxdreo1me6FpxmX7uuf0Iv+7Skyz0jN6/VxqON25/DA/zhGuizfLlYIyun
fo/G42Il+yJqx88sFWnfpV0+KTx7sDEOyxeyi3hmfQnlQfEmM9d4gke8CWN8NMzkc76aum92WXek
c4vIj18v1ILA60i9NOuB+Xv2WPP1db1GPW8Jxv7mLlKt/SCvj3PY+VERklkpN8BDI7YbXSkfUoPE
JWWhEeCW5ne8xYWLQS5ZI/p0fNf6KCeXsW5mIF/Umz4vu0ucRqdInbmYt6VNM6NJDnkuWsVysrmJ
ZKxQKlbD2bIurFq70OfqQVp7NzPE3aBGN2VTX8C+cUcgDMUw3sQ2UwK19lXwqlRKs6MuGeaKeMI3
1VaQzlr5nEnZxypTPtYsY5IuO1U5aIJBuVknxctVkknwhhp66jZ5s5xWIajDKBAwen9psLQNG1Gu
pSONZ/CW63S0qnXBc1iWx96qvhZLKFiLlTkcKbZSxqxlQWPXAT5G6XZdpOY3Ejc8JH8/dVEBveQO
QbPmn389deNFKbrFzJNz1YDEG3N78cW4ZB5h9flFX2iTJ8ZwF1VxQcW0Pil10900TSa/s1YLLuA8
3w7b4nYOvcwWD/LcB01sPpdZGnkMk1s/SqGWMVnZVSvXdB6SXRoanQtlYMXQDaFIWP1+rKrPrVgH
N0m7exVmuE/6AgQ/mSiUvHSnxu3mg1IDn+3xRylpG6j6SIZ5FXSF+LrkxR0hPMchzE5rlx+bgfCr
uroAXWAH/bRUXrcke3Vm80p+umuGUrWL9TSImE96ndzd6suguHVsHuWYHRDBNjKBPAogsHZ+j81f
d2yT0Y+6qFd6Qv58Y5pQwpPscqzXc9ylh2wyAoO0EC/J4ZqVGf5Ki211Ab8QlI1vRPVFHhUYSEv1
KsmnUz4Ue55p5PLU7JWqpdtVaXuVpfktUQuMH8ox90zYqa5WU+i17XWikdNYrAwL2zZ9ry86kO45
+WTL4pSMm2KBC9Ri+JVlzdeskVH/4AXVFei+i1doqApsfT9xDmldBS1RXMgNIgmoGV9DvJ9OrTYO
TfjsZHlB9Hy9nWX9RSLMD6qc72QZTKzF2GQpVMWFfZvBqYqutNVQPOLzWMrXqbVXi3S4rzRtOjHl
by9zqtjDrwsEtjZvixCT4BRLqBY+Fyg0f71QGUhsu7ciOcPPBMp6bDF//voVNkXpj3UOf6WGh4YZ
MlvsbYG0ieleFyCaCY7esqPonAOilcyrZEj2SX3bTilXQo4wvNnZqf/r16T5/M2rbr/3q+JqqLO+
1jVJukTmcQdPhUE1/0U1pg90dihpWNm4vWWA9NCA85UZKF5y6vKSBbWsJpVbtuuHShIXSa8TW1zE
u9yelM9WrAuvkNP3plVMHlaqk8j1R7bZM4hAzRy4msrKH1ZR+lYtAa2pSWUR5bIchllon6sy7XcM
sDU/SZIvJJG2mCDM2OMEXrzeMmWXdvoO9sTKkC97z9RKPRQR0V5L/5WB0J6H0ruubXdmN3WOaqR7
TY4lhsxUKPkEpHdZB9ltCpP50WTQPiXzrRqXoH6T0W20CGanTQ5PN4JdmFQHUc6h1aU9I+F380pE
kJwdjb5iWLol6yWhBkOrT0ouYuOQremJqbBXLiEEZEKxecBknLLywyhDTUnSAiLNHJQtjuxw5QqW
sYZHuOHpq6u0sJx6TS2vzcPLelscG2KvVOhdrGi+Q/tHAVdL74Y+YyamYa9dRR8ARIaUOlSfzKi5
bOXipkGN2EKAdjrlOBqjROus7QWDRa9WlPflEu/ncJ69sR3OkEN0L62NAz3dE4BGtD8bY8PQg6jW
LwQsyt9cbr+7xjdZ5qurjR26GFVCHi/Ti/I6Oku75tTcTwHIhL15YfHocb+ok8OA8rL8OP1G9P7i
9/77DbaxE0wVP6a9vblXL44m0SozQg8va89wygvVrXcDW/aT9CB2si+/v5Lci4fRJ/N2/MR/5Ofl
QnaOyS48a2Qo/+bd/PXB9+fdrgGNMgjHoIUy3ghQF3livq2k8TmWrwnydBL5of2HSeYvJ8rr19ha
nle/8NoWgxTHeczD9Slq9/Zy8+uv86e/g2DfRSi9RhjPm2+zmE1UJUnDw1u6bmzuB+Mmqv88of5t
3RUGgP+9db/89PXpZ1C07ae+d+0bFE0lHUBRgZyxgfzRtSOxNnAd6/huNAh/rznTgvwCmnO+MQ0H
DpLqH127+YfYtqEWPwBoTPtnOY/6i4v1x/3GVtRCJgqIA24ZyDZrexOvLz/AGUun9kp0FdoF7Syi
vr4jpiNf2rPW5w91JiFThLC+JstRgP8LygLIejUAuVCedGlEYmgbnIwTaSsiP81ErjirnRIzODIZ
laSb7bx2+opoL6vI72Wb1VCY2LYPdf2LMtREzVr4NwaS4JXx0cyLZwXBjgH13iEm+aNp555E83DP
o1zeg/M9RcUUuiI0UED1SrUbBq7sBDVopKiPQw4to0mYinaazqwNvMhu7sPnceqetNwwcfTLpm9V
KYEsbXJXZfHNHJUYoqd7acvttc1odCuDji6TjKNhSoY3bET32o4Rg4nqs2WkXwA2nQtEJ3Ae+BWH
tsv8rlaupRxdXh5dVvV6SqsELUJrEH6bqNdGml7LpTY7SZJv7KJ+hqOtW4Gp16MzdtOXsEvBEClD
AhXHYvwWG4uXy+k7GL3XaCzgCcgkz3Qa4qSpsO+6AqBCodyg7WvRFeqFJ9nrKc7tY9zPSFVjGaVW
TJ5mPx4iBWRJVLGfQQ+BNm0w0FMmHYK5WF7fd1lV7m1QTv4AI42VaK8dEeOnAHDnr4yG4TONseLK
pcyerEitQJssya8j7cJslEOjWzVrmjC8WaSS2UrT27sl4mlq5wURaFJiuuVQxjeVKQVVywI6ERSx
zccFYXrQRdo2CY9pTiOR0AfoOxJpEeqHTKTNkjyFCFG+EKVAL1t8AbyLyUnQt8HoLPy85OE4F+FH
RHgHM2rryySrF4+/dPGAi0IgK2dPXkc/CZXeH0uzO6pqc0vjF3uCtbqXzgYX5IAuByKytm9hnbnR
sH4BTKY5dTdQnhM84KRZaSMBq8Q+SVX0mIt1yeLV9qzZfGrrkSw+WzmXU1+6Ws+lTE83e9GY5Ls6
YialSOZdGWsfR5HBxqCHcjpL5Pu+m0kujKY7aQm7Q0jXJ3StdKYCiQ/aAfapw8hlbIvrUGaRDaRb
3xNr/Gin6me6nUBIAKbVubuUEEPzOaOw1afSW+Pm82Lrm0xPNMIrO9u8YYfeA3xemadRoG+Cu3mT
3mnTU44Sb46459XMIr5uk+np6PWWTbgnpuLR2KR8fNZM8jZ5X2Ms9zP9Np0RSzpgVxvvPPMAcCxu
hj7Q2oSCE4pBRkTsiTcRobLJCZErNkDckRguRvluRXPYmvXFsIkQh6p8TlAlqlp8KFXrNFrQfVAt
rqgXVRrnWAIDtskaq4WBtp4zDipa/VauzNFTNhlkgx7S2oSRNIMHcjSRSmbF42RH+w4NJcuBZxNN
ZbeJKyuh+1VYLMdKWj6pW5FHSIrhNHOPSnsZzSM4P2SV0RwObir6/gE17ljt5rjW0TFLbXWngYO5
p5WdmEyoEOlMuRvbvZZYxscoq4xj39V5dJ1HeWQd+kbSP4aRqYaXqYG0pIAn7Q024G8mE74xk6BB
QFGO0lhP93oF/mFKWZxOXHe+UdP0b3i8QR8ADLIAYUy4j8kagZTCQnNKIojcVXhjrevVXA49LtR1
dZGzXOfgEN4PxH35RZ1wPGW5yq44fY5acdOaCEekydiRDFDvSbbNXQGRnBkP84TxvjGqdcddHFgh
DhMbaFEjr9e2npyGDFhEXcuflI0wWZUTcOHiVpmU3O37sNs3KMu51sKrJZNVd+lJ8JXIfANYNSnZ
oaxoFDut/CSqMfY1dWhdTOIXSZZ+Vq2J02BGpqzuymapCVqBWafr3Ic5yx1oFu/k+aJkblhkewsx
QrkGdFuBNFpXkWIku3FJn00tJrOup6HWEP7nia9QsDmKBeKGgBR0A8V0V6zaDN2R068tigitNuC/
hcQYJ1UT/Dd4dBa9CLRRVtxiYuehms1tkhps3lpxEdbNddXJidtM6OtsVBhNrJ518HieEUk7OC2k
zoryPjOr66pozpIJab2SzQfg7V/SyYyDac5PUz2DB5z7U0j6rdGA4aiTq8UArK/25rEOQxQBab1L
oF3VnfWRST6qdpn8KVOqwPehLiqB8bqwd5xygQLCaAp1OQYBVX8yR7vdTSuHrWb1p7RgMYiMBiX9
Mu9asz3qvYXyP4lRZLTiQBgz5zP6nWyEwSYldwTRf2oGoHdshDJizsdKus80vmqZ/PZ2qHqOGyIZ
lOgpte29MVUA3vjTsLae+zH9WnfKqVDj4KWM+ree3Krv/15P3n360uLcK/ufsMy3n/xWUxJQgimP
Jcs31dyrmlL5Azgka6JverofmyCMQZoJg0bV+IdqbPq3H0o7mQ27QoiVhV6D1JN/sgnCnETN+Jea
kl5DbO+OnTx4dOPNFp3847Jbq3m6mpHJwaNJIAqOEANrVGqFmPtdJ2WdBgRaHx+ntDjVKJcCOMAI
yJskcUPMZ15YWsptFJm+ZAFbKhbIUqacSCe5Xz8Zoboy4O+fJrPpfJHiP/l/7J3JctxItm1/5dmb
I83RA1MgWpLBiGAnihMYRZHoe0f79W+B2UlMZerlvdOclJVViQQjALj7OWfvtassuNU7xTrQF0PK
2pMzW419fU1BtE7C6EFGaGFEEfOOORe51C5wDb2l4/QwRPmFbaQot5oVCLKdG7NXuUnOKDmn3E8y
xsvzRIOaoI2WXD2WRsO0XhPbuB8s5Sntldehj8jG42zsjwO5FkWZfwXBG3qpUK6l6Dt2qwJpekpm
Ye8Ci4iQsNJfUv3MxozUdzQFyQZ6iPLyrFnh2ipBzdkTGeJ1B1sUf2AXHsJ4b1X6Td1aBz0LXmfI
b1NxstRqWOlNCi/S2pCk/ClnzQu04CUqzLveZFkRydsULuEMmXZ2mmnizMOAvw/bewjamjd1csF9
RRnHZExWtQubuLGm2xy9/UraoJZaRyS+nhFZLQrUynPJhpjH6uy3ARYtRVotwbjhLo2Al+YKlutO
AXisZtpqJNXCSyZykdWY07pZKvqB6OIYdSAD7tQh+nxWGoLlR9B9Sim23djuTaHGTCSQjcEEM3cd
scjpQxEqdngghJf8llwJ4s9aHMx8ff3sj7o1sLLGw5q+3Bsp6rsx6o+RbFJfz1tpH2QgW/epMef4
K/4RBn+umrkok1XgmS0JirYA+Nay5TE3nIpNZQzlIZ+1+N4ZnIdGxuMOeuVTGo+5b9JGPQ5Goq0M
3F1g0/RDUMdQdgF6ZR1J2kbkrlS1VnxjTnW/TO/SLi82qW2O69lq+10zW7tQTAzMsB1sy9nkQB6h
AJVFYq0ku406Naafi5qDx1TeDSWAeji1l0mdjScSEEid74aKiPL+S0shc2kjKiOxJXqt1AgahYEm
LuY8qjhlID1B2yRXTHhhrux2DXO6ndZY2W1t1dmxL+3iLtUmSbspJrPYqO5KR66ktIBadTNUNTDy
o4U+sQtISkv0rqSGm46DdAMfHfvo51iv1masDZeSrFCOFQwz5SSex6Dy62h4IJSIJHJymb2SEdcq
NNzJ00ZD2SuKS6BaguKzmOtgFTuy2GJHS19S3Wx3fI8IKAlwS4do3PWzdBiuuQtMdcaUY5ko0gZd
Da4ARjsHp5+uW8t2KTgUjr1lzPuKonMzCmdcSTjHB8WZ0bsRKEpm3Tj/1/X4zV3Bgv73u9ThuYl/
JPPih/7YoBYpOJ4MWvEIFpCSfrNBIQUHwK5xqxDvYtf4doPCt4pA3MAt8ZuA/PcNyv5lMZzjgiXQ
caGTqv9qg3rv0n+/QUGbh7vFRslfwS/8vumBhYuUO0XMR5DoD7VOVZ7RUF9Ij3S553zj1NZW5ahj
TtgTR/cB/yVa0o4E+dy17hLHOOil3OdJsiaoPGhXtp0jgA058t4rskCAqolzqBTNXnJcJ50OqvEX
VkMO84XKTngJoS8fsRAKHukMODmY7Hidd0l3FihKV4Beb4d06Sj309E1yesAK7eqIjx79VjeTZPy
QDL5vU7h7gmNykE0VMHKdIxi54JdfjVF7Usz60TqUNb10nzUUnfP4fVB69tiFUnOf4FcZlMsk11Q
vE0NmRURtMPAQBGrYYmjAzMeZaM+1xklrQnRbkWozlfoyvNKCgat7uisQyFxpZURzkzcuwRIKMa0
H8ZS8dHeXqqdfdRTzp4qkXed7WPlt9EOR4tPrb9s+upTJNzPVJgEPmX6OWV5g073kMYYh5tkvpcN
EOdOra7VYKCiKd80gZyjiW/cbumb6PlVFeZ7NZ8e0ra7VMr+TTQ0ToQyAaHU9Q75MMJSRUmlp2fp
rm4VFqTI8kkH0laBRh/dpNl81FCzoX0iqauXMGKjcvClCw2zTJAG5CjY1mA4Z78Ap8cJxH4BTH5R
6MjFZZAIrx2Z7zsa52p913XNMcgItNWZgBCI0tQVKjury7fSBC/rmVm+12Xjt615kCOuTb3UND8i
8cwQwZcUbH6ajYpndLQnivE5tCDL8zt9tgFGxiP8lAjhb6Qrz6IJE7/pJRUAG42K4J9wY9ZDvti1
I9puo3WRdZUN+q5KiuaWBADjWpM5Al6N7DS0z8lqbrpdhC3Zby18kllvr4AUq1smihIwcW1dd7HD
0d/YA2J9QEK0E532MPRS9eH2ipVsNZWOu5ZcIW+kCUFSyToyoZ8EfaJ45C4aeK6VYDupqriuRl07
x9rSRUn7rWuAzBzCizzFSTjW2jPNdxOp+BQfSWwdiNY0NpOTbzrZDoz648w3h+LL1IL37OPHMlS8
2JV4+iLuZ5JN2dEwLI/9+dca5G8xJh/65qZAAaovGAvgF+86qe/XiEof+zRTXPWY5fep8dU0MWnv
v1k3T78uON/qmX5wCfC3uNMEa6RgxP79JaYqHNskBhKetl+69DRVd4X7Kxnpv0pqkb/9/R51C1wh
f2ZD+uAbXH7q/2+TMnGrUEmxGy2k6m83KXKIDQdQlmrweCy/8PdNyvmFJHMKK5435s94mf7NJmW8
w77+3KQYNgkG2LimoKk4OiPtD6PmtKgILBCJODJdaKKN6RADQWnXvTRJt+4NBGYiD9KdEtB9TFT3
IZBIZoOGWgRf4xeZZ7d0P1wMftqqkxKRQBV/IWdg3/b1VaokhBCY4EDiukdk1EvIX+rTYGP9ICew
vUT0uscwATw/PupEH+WRe6CT5qlNuzREAd32GJQ9RH+7Ik7IXMT4oHOAHCxSf5T5lCIMW8jyN5ou
P7uxrZC9Wpzhnqj4o5U7JYqJT+sZ4FHwbUJo/lnymMXT0xCKjnC15KZtWF2buvVVUnw5EmfkGzET
LkvtICqDnW4GGq4al7NZXfdFd+m0wdfKRVqgWU/aZKVnY8QYHBbBYTAkUmJN+Tw05prcWPW5IYOK
esxZdT0RD4EFo6jojXUSj8YaJddOCavTlIVAZfi7A5Ee4rl6bhPA+n2QxuuB5pEfabW5LcxgH4wR
Wignv5+q4Aie+Sm38FikNnYap95KA3mKm+cLCEHdOG24JWj4mGr4Rsxh3nWDCi5yJk/EcjfdYB6o
JbdCOr3fOsm5yIXh98WISmUmdtaBNRtUj3Fk6qiRaugGbvpQt3hx0lQ+mvNwST3cML/J30qnOWB3
C69gM1y7EXHAhbSIsKBdCFJs1wYMAts6vNOyZi+qKPYdm7DQwerQNVnR1yK0b8Ng2iKpG/FS4Chf
bBOdrryO+CjIr91YifzE/7YrFqOF0TsOZx7MF1EiT8W7HQNfhnVVLiYN185XFu/QKloMHDZOjlyt
dwnODqsnUlQuZg/+4UHt6nVVdsQyLoYQ2F63Kg6RBKeIMalbN8Q6UjnmZbuYSWQJcrrAX9ItRpMa
x4mxWE9mxNDTYkYxFltKij+lejeqLJYVDe+KhoclZXvJXHRrKbWEkQ4XyWJ3iRrwWfhfBD4YOZuw
HJ3Ynl66sGw+RVAYVxG9cqIqy8K+0SrMPgjImlw5C+K5b0CAExZMg3QD2GKTorMHnh68Yf1/DUxX
QNHP/ELU9oVdjA+t1XyRKVqhqizPdkiFF6Vntcr2DqJCn2JzVY02FZfdU7SLZuNAQIb9bvDhqnVt
24qnj8kOzrOxjnCgU/vYs4+ynJjrOF/Rz9zo1vQ8WtqqHscnJwB67k733GgEZomyn2LlqqijbZQq
+wILmJWyoycZ2STBDikQUsECmodDJKsxX+iV/KTWzYqBFMdCUNU9eiVPj0GYxxyYZIqUcrQRplOX
Vzk35EE2yXYau03nEB2bd/tYCWiEFDZpEu0qit1HDs3k5TTRVb9EpBFX5m7G3OKwljKJqgVDR/eF
9j0vAakZo12tU8YtejUd6Afsh2YZ8muiQb4xcG+Jz1G6Xdc2zG36IwrHVZsYdyIOc8+dyGbkWEq3
plgbjChoaNLVxgWwoRy8NbvgtbZans4+30s3dPyWhA6iz0dfqc2doecMX+b+MkI5lcSm4zmoTiKj
Owx2cTkq0PhyWuhG6ADe7zxpIVosADlMYkvUK1Gc/SehVfvAgO7dC3uNbos1bywYJVrljU6igx/P
zdEQCFLDZJex6FVxfx1Y8129hJFr8hxo3QVTDs+qGd2MOFDmWdtYVrPWFXVfloi9IMLMrLz6xjXl
pSjmjVOQBetOildX4guIW2JjtO6JGQWzBTTVe+KcTiqtqCoMz+rsXLnO1PvzrMQbC5WhQDRJayby
CaghMF6JXZSaJn7waDzpmQJ9ZTpprvOma/OmgJ7eWnLd4nDcoOZCf6fI4ySrk7Sd+zEmpSc3TeJ8
c9Ndj4mWPaZ6gImm6t8SDuvRKB6yriC/vLyK3JaQbI713ayttLh5M0OyRpZzP/LHTU0hkKoakQ7Y
bViB121hnhslII1qKR6s5tNYj5fDUlW0XW6jhiOdnIJDo/CIRvMYUojg1GMZpzQRreqmJ4sgu4c+
U4aU+XShbhB70syhnMlEvNdMZNLVUuWMlDvGe93TlyO5L+qzy8RFXWojDgek71EujUvdFOj1my37
1OdUesC5w0I5jVRZZfxJpexC3vlovNdhpQFEq30xHY0Syr3AFXhsrXE/LxVcQ1SOV1DUjRR3TAvu
spi4c1xDqyqLgTtOwxEO2ExnybmdlxoxW6rFZqkbzaWCNN5ryfeyMn8vMb85Pf3gpKotMoA/DyPv
5ukFwEbZjuYAP+eHirmtqc8nV3eP6m3uPZqb/lT7BNH47vPdTXsoL+J16ctdfIVLZRXt0E7iXN0l
h/8GA//315bLAqD4h+Psc/F/PGh+z83X+EfUsOWnfz/WqsYvqq4aiJccU1+CSf/svai0UYTmWIZY
wsXxavx5rDX5f9A20nehHvme6af/wqRhQWWYv3E0/s2x9qOWEV0ELnu6ODYeOxLZdfFB7+TiKGDl
16NrJeVFMHucZg4N9r3VT/VT3+iMp2VN5COCYMW2fXJ76f8HQ90m91OSEs09s6JeFzgjVkizQ+Tc
jLT68zg4JFV0qqEucnVoeZ2GGL9PNHzhpI8wAkS7GWCrsNV63sMHaMJ2K3GSRreOZArcmNTzXqHY
CDvmcE7u8jLr72ltJ5qfYasAhOGQNqYlSbSpcF3MpcxaKBcERmTgBB8KtVc6cltk/1ARlIyH3qzm
yTcKAvZ8pWWFxE7vnPS0rz7reZ18VsyKfcZVgYWpfRbQiFZDx8ucJD7MvG4doK45x5cfW4Hvlhp8
KJH7uZ50B6HY+bXNkfUm57DGkC6FSwQ+sN91SmDSzq+dJ63Iqe1d6Zazh4jQwifoxCbnCqiyN4qK
ohy3cB5jRLDnl1xTlgOOMbWFP4naJAIHDXpCw9XQu7TcO70utyZzAaVdxaPSf5Zxo6pk0HLcMoBI
kUeb/JpOO/+aVYt7Euvijm2VfzZVTbhNpnE4ZwtY0Y3K4mzbVbx1cMHP63wJGtHbinjody5joYQ9
FsRWMB0N39mNNKbgODoL0jHNWu1udAlvDj0LhwkrpIiznXg3uxAdivGlVptkhCQQG8OrNTjhK6uW
ve2kHmyyOMJYEy8em3Zx2+RKY69IqW0fIRpUzbGmN+0Tiu29v6v/1eAa7+7fL1qH1+Jr+fLD9Wr5
wd/XK7Ah1Fy8ggALl7qZ/+t3W5tmLNo5R3WJLaBFssi5f7O1GeIXQcOE7i29Ieg9C+zjzzLcZowp
qJpZYf7NWmVay6Dyz11vKcFNAIwI5GAEUYt/VHvbgDEcnLXKUVUynzkdUihjfg0GTEqpmXHK57iP
IWXTvBcAIq6aG3epCjS7V6gQ7KVaCN8LBxfr/Kpr1eZT8F5YmIojPSsii1JbPPhJvfjyNWfehu3A
f6MXvrUdAXVz8e9DABrXfaW4m0bVHgu6Ai9hjd+/1kgRKxcGwECF7/ULF0CW/Ft9YQWwLDRP1Ts/
YCEJzFFvXgyFfZEkje4N+IDNiIZ0C4Cg07ov+ajB5FvYBHQbcd0unUSwBdPCL8htcx2RQHntLGyD
vEnCtbvwDpgnMmtdGAgNmfdgN6gNJjddO5iUPW1hJsx4Q6D5taekLXQkCZJMnoWxoKrw3ojrYxB8
HddhtKJdf05mCe5RU4FEJvSEB4ZtaATbeNhYDv13Q2bScxa+g72QHphOxhfFO/1h4UCg8hHr9h0O
0QSALpyFGNFXmL24LcqRwfLkmaGLM48UTRkbF/XCnEg5251nBw5FQQrHeQRNQaJdtHMXWkWAbnYi
IXWONwQhQk1hnpXBflkQF80Cu5jfuRfjSDopwi5oGEkEB8mDlhTckgpWbfskqcSaB7vYF03fb0lq
jS8CS3EOrE6YKZimHVKLHy4Oat0FZ5bSz1lkml5UWM9hg0FjaBHxMBr5nLJRrANZvQm6Cb5Uwqts
YQU6yXTMEIX50ZS/RbO5QhnPQRw4CJN2w/aNxuFgWjAhV3pr3/QUoZpJJ7tP2NES0A4E422NiP9w
G1RJo9kBD5wGzfWI5hv4A6gggpjMwEEzDr1ZKReTbkMnwUB9Ms0WtQ9OtlCQoEhTQiM/dVUlmbwC
u4Q0kgeNSeNgbZrarC8toyxXSknMbYNeH29PtyX1/GlpPUtBG32ConIxjLnuZX2oAmULnGu4Oxsl
d79qSntlJfm57Lr7gDlyW9lYOzSlup5IwthrC9g2LOedYtLCz2m3k14XBGvHeZXKeBlneGAM+2qK
mFnaSbStR2KpUDzxmY/OVJDCRiZwr1yaanyVR+hl4s4MDoVTtaucsfumi8LbaBrDfR1l+yYB/V5z
k5zIvqiGGB9IQvgpOrrnsBt4A634OPYlRRsJdp4i+9x33NpXrWzvSnPtNGhAGpzbGMSAYrxZNpA5
mW+a2d5Uae2Lnk53qImbivZ3VCV7myR2dxj9QZXv0NQIwFx272Q0Bo3unsOQw0PqlhYKXte6CJz5
rarVG3Pu9nbnrPQ8X1uQBn0RjZeQ72gV9M+RpW+tpl+3Ib66xHROLRGeTql9daE/enmmv0p3ujGU
kRSUujpM9Uwct+FX3GM8PKBuMD5hVvL7WXD8CfIXvON3w/I8qmmyJyLzhPzjmDvoGBKA32O5s/PS
ZyEldtSE/1+M11M9+Rq2tiLoVgr8SPBo27lLdza+kbxKdlY7bhRzsYNp8YvFcShTqp0CfSaNCKOt
ymNBF2ZdiHJLQwvzTReeNAkMpQ93jH8hpipXyGc3UxYjb0LokI4wGfM3qBR+AE+TUaMfyAwe5GtJ
1OKIVzZxxG7i9BcPxaOJgLKdSWY3uAYjGyPQjkh2b1tpbYzeRPs13hije5clFK1uBgylHMQ2Nwjq
DVyewEDBty82jpu/TUjvWeE26Iv9NnJWlgOmJ2yjPTOk3Tg3j0KVF7Pp3FpW9ehE7U3YT+cu/1pM
1WstBMbWUfVsHeWKRdgLRXQa0vkRkx/q0ZnQv0PZ6zdagG5aAaPbCE8MtlcJsVPcfue0ykZE2W1i
llfSVO8b/lIbIYVnmdWStHjZim7Dq3jdus5G1dsLqnQuWK8J3SXdq2hXMDILD5XPy9CVj/wqBNUB
A8aW6T5vErqXaPCnYnhui5ZBmHKZyXI/KzauZJugtyYlrJFNIqqC2kdEzUDLsrea7D8RuPokQUhN
lb1HCw+MAZRTKZsd4Wp7MeYE8JkuNr7+cWjEp7JJbkpFRR84buKg47tj3FrInS1Nnk4bCl1/Bs19
WWG94xx+m8X2zhmDY6DP+8LIL/pAPVCQO17RxZucRkYVLFI74kkHB0Sme6Wr4+cKju7UMBeky3Ef
NNa5bdpj0Zo3AJGE56jtbccUqK8QuDbzUq1nV5kZEkpfC29A+d0sC9VcPk6pvNQac1tVhFPSW0h0
MiOG5dBTIAAs7ptqulC18lLRjOioBMz+gItkty2wBX/W5EWDhHoG29oDDFOU5Cs62vtE5mj08A/S
TpWfwUITSkyCcAkYK1a/WjkzN1k/pk20F5p6ZL0FarGEJ9PKR/rCe5nZqT8L9XNkttXG1dO7vJEZ
/bB0S+P/lKRECKcu80oyyDf4+3dBatE0UvJ1TD52j63eppXiq5O2SjPsilFxQg68TYLxYoRbXClY
sdvkWQIgXmiBvAH01pLeppMTrptIKXxEywgMKWsyNgmYZrtecb4S+LlpY9Ctvb2Jxbhmlsj606If
DceZxmBxOUnSzaR5hyqfvQa1UtHWnoxTX4kG5aLQDJ51FJGk4jZquc8UeZiV4XPbVC/4K3GWMq4I
svHQGwxSGSPYP0kh++sIj0GRqlkotBez0keHkByapuniQjmKHIk4TN30hn7urwXE344iOef+5RiK
H4pRqQ79SX9vznxjEcLdICwMJspxJG8amXX3eSzBIa1yBj7fnNB/0Of50YH32ystf8k3VyqDclLn
gCtpznVk0Cm01fU870vrIeme4tL6idXsh98ebxMwB3xUiEK+v5yGatwJsjI89cqT7C7r8KXIXv79
J+K0zGF56YfA4Pz+EgFEVvrfVXTqDWhw226a1lnEYD/cxvTuNHn9z5f7wScySDGFTcEjocEt/P5y
i9NAm4SMT3BNvVgHukKAQPqTz/S9zfW9LPnuIh/soG2gSNMKuEhCm0Q2VxTfq//dx/jQ7uvlLPuG
2eoJZ4WFcTgt7wJcGv98EaQ+Hx/r7z7Gh1tTpVNa9Xkbn0ZF9zBeu/GJmAYWuM8mDuz2qHXtT674
o7uDMG7pX1ooLBdN7bePdxrTwikSNT7Z9bkWpJBnezt4++dP9aNrwKqyDCD7ZJp/NMsHpq5YTt8k
zMGidW7Bgyv9Ibv/54v86KvTMfWZhq7qtuZ+uD906W07jseE+/O5sK4iKsWExcANbpPu0sByMQTn
f77i8kx9KIVZ4v684oebhcUYJIE64WRCogJeFZjnTxaDDxFLaIVh0NgGSAlYNhbv64fFpy0hyUej
mp+SK5RTezbPA8DGtXmObky/WMebn8f3/PBmffOpPlwSj1o+wkZKTr2FB5lwLY3AC63c/U++O2aO
NF958j7mi1qzatkSo/UpqF1fw7TiyJ98d8u3//Hu4DDkaXNRlKBC+P7BrkAI4+NTkpNN6Ts5GqfN
p9ggxjtJfvJZfvSNfXulDwscFXHZqLaVnFSo3M7ZDG7r+SfL248vAa9ZdVGsg3f7/sPEato7xhym
p6I4mqhYx1jzoJ3/ZKv70SvEw/bHVT7c+rTpIzmFXCVOXzIF1oKybkCBE3iQypOSbjPzJ/foLx8L
phyqeEMgemRaYnwwE2tuYFe5XWYn2W/r5mmw1vV88y8ftA+XoJf27fpW9CFfaFRnJ6DknqoQDZOY
P/na/rIOvF9icaUC5nXps31/iWQccyWj0jq12Ysy7wnN+ckF/vIocwEHfwLvCY23v5gHWDrtQS2I
1uOcl3dYS5N9DC2ocF/fv6v/urLLxOfvu7Kfuy/Pf9VFLT/zR0MWd4lwlxWYtid+cc6IfzRk1V+Y
Dgka5oijHMvW/mjI6gTS6C6K32VG+GGABJyMoSEvM6UHt/bfuUto5PKE/bnWLaNIm7P2klrFuIpD
8YflIZMN7aJyFEeZlI+BW5hbK9WVSw2lPAYttTqbJQ06xvHu9ZgGcFNK+rayNS4aRLMMDEZGAIZr
XjVLEWc4KQa1wdr2A1WjM1aHtGWYwpTZiwtG3FjKtHzAA9AFq9ka9m7gbGK7EqsqDrddG2Q8mBg/
7AE7SNHsjDgq7oBQ4SaoqhfGD5dlV903KtWyQVq3B/7hJaNFuipbo/DwlO1G/H5+OJdRccb2RcFr
GCdFty4Da3DXchAkrQwKQb1qQwskq09TIJ/tLnwJcvxzOBYYlUxVvXcKN/fqUrmRmZOdXJS7Xm5F
rpfpVGTBZNurAKGhHypoiItgOkWj0WBe1b+2sQWktb52JAQiAqEeY02/k6VbrZREe62Qza8JsLlv
ejbgut13FkTHfFZ3bGVfhUiLpedJGtV4LkRyaC3tc16El8ns3oH4sj1zpq/daOKushPSFbgJMqpQ
Wwe45DRpPk8gZVBetI8OMKiF4aF6NUzlwRAnJzNA5AfxOXZ7whvywRkupknAay5ogoJGFlZx7czx
ZT+V4V5P2pvOot82mmBrgCq0GA2pQK2MUPSKxLAZvRzzHXQ3havZWDAY3+ErLBsq3KJ1jq5WTdsM
Ka/XW9DTCrjxYdu8anWPX262w7PS4SKYY5PkiT69riftLSvNCZulVYpVlGjuNSYZEMcF7p0gNcMV
YuZ0U2RFdYFB9BhB6fVF5hwHpcRFa7nCC6fyLU8NHYNCedE12nVVVoXf6TOH+tjAQItD1lNN4ulH
ipde7Z6sKnpIU7aohkZYvdBQZo1qs2VICe1laZq384NN01oNyi+kEm07VTcujEI5q071ZkQIK+Ca
dPVISgdZYr6QDYNXgESVlV+MNCeNUD9Oanpk7jdC2EfXI8rkkxiCexP23E7SZ8QOa983EqB5q2r4
IzWQdE6HQ7gmJ6UT4iaf5IUgS61Ok5s4xs/UZZ8H0XzBu1H6aqoSV98ySmjSDqvR0HilKA4m5DrP
JL8NpiaZgYK2b4fzZ4UQDRCR+uJoNONaOX2q8JB6vUrkMe05r5RzvZrGfp8GM7iZQlwP2fAl4rte
LyEufmHFtVdq1aNeVAcX9YjllJsk0luPMM8XKYaN3dS5p2TQo2CPln7K8Xmc6MJObpaS0mB+lYso
j0ELpKbkqg4aDRpdnvqppm2TqH1ykvoSdd+9ms4PqtKe+fuYCxhwzQf30IxAuviDV+HcDxiPUqLj
F3fvLG5aV3+apFsdQyMCGzQq4wWJb8q+zIdmVfTxFXzmW6NTXqMqvXGsAg9ubiBAM/TFMm7zW8Cy
mTt6/OsmqLtVoivZPs/JexFkZjkUwn6ttrOnlPR9CPglitPJelqw9hEVDbInzEUrZhgAyMPxnGi0
nAJTvDiz+ltw7n/7rMbu9/f77OG1eXn9+teddvmpP3ZappgmU0x0GrCk3rfTb3ZaVMYW+5DLXmd/
M/rUwYDScQIK4qpMxd7NNb+PPmGDIFq3CTnQDddiE/83409wOx93WofcFDozIJnpzRgfm1u6ojFz
qNP0qApDNheujCtB4k9uKPj9UxtXhtXkk9/VSX1W7XTVAdBk6d0ROiqCZFssUIhl1COdB6Yn1SJx
u2NBai7FmJXRY7D4xC2JyWyiQeTn7ybyFIpCkstdpZm8F1jNy3Q6jgqJXa6tPQccGH3ou5cV9vTC
GsFCYVhHj7etFgd754wPwDy+WpV9U+moLmN9rnbhiF6pc8qd0bpnBB1vfdlo6zzJmdUsbvlqkOl9
gIFeMfTZB1oM/G9Uj7jozkNOhJm1+O7DxYE/Ns6utypgu+mwC9jsjMWtP5QTguzFwV+Wdb+maE92
FWlVa7chK8osAwz5dfTYpbVcFWaVbsM0SL25EupGB+MHaUKHnTxYMtrh1KDVXAPhhD6PQAwJi5Lt
okgsOkjCwlpVzS4JsQhvbGmPn6yeRMzSxnZBiIp5jIHG+KEaq9fTxIBzNLRTlHTbskMGGRisehmy
8W0DQG8TlblKfz7n8lrifArcWu4KTccLHzWg3XqV4eRyerpIMK+eA+QTl07V0GXN3QkRc8sGGV8Y
tmKpezdlirvRhtTrJztVv6i1bqywgXp2naAA6zs8hA6YFwwvEVh9zwjnjTDzMxF/zeCPU4lWpklf
Ycp8Qsh7VQpgI7k9bDNYAj5Bo4fGVQ4tLEsvyuOVWWU3Y1RcVFrzWVPSq2SASVpr+Z0eYvGVkfNi
YNlnnbtGAYPcOZJ2CoFlirW1rvc6UQlmlMwHOOMFQuNhnVZk0ehGHzBBjvZdjghoDNh3EdA663wO
X+aREicQqDIrl22pZB/3TLeIfNJBXpjyNuxbIvWBfbcrPRrXnSpXdj7dh0uUH3E4JjOpPvGniTE5
gR/X0hrylSNMcAwhgiJBTM0Y8y/JYvAixho2zUo/FQuDx3RJyp2NfovMiIjlUVzbJvmlaQO7ZKrA
agohL6147H0mnto6zloFT4D2ZI0qZ5CpvEXPz8BgGuiBF63t1XC63RjMJ2oLF56N/ZoH4desRB/K
G+bLhKzohCZCZ2Ibm0j9UwW+ra6d8nWJqmYZDrgbh8cf4X24KgSngFVgStomCsNXSBqJXaYXRSvL
u/9qNYEKTui0T/5+D7l9l/0V8Q95APzkN/sIUbl0t+kE8mu/k9BQsdFq0KjLmP4uO8LvEhrd+gXA
lIb9470oWxSdf24jqktSDq0qJg7vEsJ/AdUHAP1xG3E1U0VBiG+GjYsN7fuWARm1JupdR+HpzRM/
K/c9lHavyCwcl6osMQ9OOwUKj59E+RkKAAkjMS/DANYYq0W5yhLJtgJxoyK/1ydfqPS0YQpWde0M
q7htvwz5+ABK5KkS9WHqdCS3lnNV5VmzNuB5BJV+H7rNNleJ9gwly4eGfQWlyIulxuS0WC3waHF2
MQ56gxOYmA8bIKX222hY4yYZKnJxkvuFrL+e05mOvmKjWnPrR6MDYhurFYASEgYTKr4VFRgwE+IA
VaXZDqmCsz3QKTA7cDYzgpWVGZTwBAYT7m4wGk9V1ivTORl6p98w5x0QP5TL68OWKiqwd8t75vLC
lcubVy3vYL+8jZgXbcbZ+rpf3lTMPKdueXfdgiDP5W3uRPJV8noHy3sOLdD0dHmNnFFrgd0Gy3ow
uNCmcELe2staobJoJMvqMbrsjJCp8Z+U/aUVtO1FLYovlBoJx9IsImYLCAlIBCs3tHOdhlSTkY01
boLWEpFwYndAjsZULLiEx8IoH/LYLo/VPJZX0BcmX7HddWG7Rz2s9kVWXrdqu81xN2WufTH+P/bO
Y7ttbN267/L3UWMD2EiN22GmSJHKqYMh2TJyznj6f25Vkn1dVaNuu5rnuGSZRNhfWGsuy39yPEGa
a2JO7JziDU282OudOjn43MSLjGzv7SJdiHQ2l/x7Ht2gjS76yIHmz9fHktZH6j2Y2dl3xR2tMOiS
0uEdaDsHmUVtsmiHKsIwqhnpuk5t217rg3s5G9O1aGiNhd1UMB8KXOeluFWbeL+qc2pt81wF3kYb
DXyk9rUVO3tfcS17TJRiblZ9G9y1bnYevX5rjAaCDNHT8avRAm/12CIiOosfLae4cwqQMKAFCDQN
IJc3u7EL7kryc+shuoUF+BS1+k4fUUTEaVgubdSYdJ2AlXvgPUIHljM609HOC3HgktNxdfF7TEpt
X/Nv06bA4pgbADUaVCuzswXB+oKfd+0rfXjbpZdz4N9kVlXuJ17cR1OTt1E3vOVas86au7rT9aVX
eddBGK9KdPl5OV/Utv4gvHhg2xxvm6jekQuK2Ms0L0Ebv2RdAJPHsTdlixHJrMoVeUORQl/N3KHD
q+frxVrAF53t+TQI2AzCfTTABhSNtirI1jFc680shb2iZLydg/A86PKxqodjaOkPaSX0tTCw+EAL
XkaJdvKFt42zHHtq6yrw6VvvwwMzB//oBRP5Rn16SFP+M907DG3XLoY62xM7c+zV8l1m83ocTfPC
KbD4JO6QGhs9wmliz1qe3YSC5QRU1+A5plzIrbhDFiy+zXS+SdQ/g9/eDB4OI5d/gum+tMi2so4E
2wKOgql3AJEgiQXlE+OWEGEVmrVBQsw0uhtXr1hSj7A669p8irp6P7BST7XeRzUnr01UMky9ro3c
i7CD9ZdWjw9jtPKtn9funs0LQRzONnKTx9hIjuit7h30L4s0FjdtqADo6WWYVweCKx6TTN7WEdeC
8IovMuNREzVIewMYC36cYMJnAK94lxpQPT3jhpvkoujAiYR1e258sQHBjh+j658yo0I0KNNN34ir
Ih0OmGEP0OcRVA/aHsDwTjAwb2G2ZfOwG1DFeGSfjF67bdP5GkNEC36pIiGoPowlt6ybMdBt0nug
Zi8J4j5ZWfsWpGkjy4uwsPdowh/6Jrq13OaOfiBdsOPc9FaIAMp9S0SJ1RvX1kwQm28QX9rmFzly
Y6YQA9KO5AB1+WVMzVtPxSuDc1voRSWWsS22so82eVmeLQzQkeN++682+ahNjL+tTS6hQH/5SXv7
qSz5CPtxWe+r1hERL3/0qb1lVkyOBSXBh4D3j7KEsB82WDhfLTjjqgb5oyz5iAGixoEQgbrUEP8O
AqEyB78fI0vV2NqerlMDMeWmL/+8K6mKCjJWGIdXFaAZd1d9ROpYzlknq4XqI/jI2yHaUoXvdOUs
PFiOKpVngtqLK09kens72Cq5Z3CbHfk0pv9aJlmMSXPIU+bRECj9Cx2Rpb4OZk0LrnABRXCFKhmW
/VLvjJHd1mzNabRMG7Iq6GVzx4SDOdlw9ui4sGct6qlzZtDSURXuHBB0Fc+8pSyA5CjsqqAmXTrP
GnrUakhrhkkqf64zp8FZBy6kPN5xvFjnlkGShWt++9+t/+utz13312X5ZZG37+Qj/OTu5+c+FeXI
2tmUsJHF5yKpvD/d/QSusEGjvvgtz+r3uBaKcmpvBG9o2j/d+6alQmnZoKBkwYNl/zthO9GaP978
IN6wkrKWUZGdPFTf3/xZmUqUPq59ysy535TCl6tCOM8OzWjhdI9Ga98n87U/Uc1U+togYbVrg3tK
nmSJ/tdclojPKtJY7WNMMqs5JPdwmZBLmsr+SXqr3aJHB/KwL8l1FUEOJqQrkMrXxDWq8FdQHi+a
ioPVVTCsqSJiid72QZ/GEA7JG/SD+iIfEOrEZviYoV7MJ+95RuGYlm69HKLqFTPQtRear5QnT2M/
GUtUrpcg6YrlFCbFqqziQ9dxBPPW7x8n4b5EbRkdcmIhKfnYMYgyvk+69EVMzkx1hkyVZCeU5vNu
royXvslOXs6ywXZu6R0SoFmVB03ciof7Loye3UjbDaJ4bGotuHCMcuWxNsry/qTHxBik02mcopPs
VA2k9gFR+LUo23PQ5tAw7eHkRQOVfmTsJfNogvzAPS0N41bBwVEBt8kzFXe14J+4bZpZjan6VSrR
braQABhSG+gTJaWD1TTMo7xclbxo8bSjnRUD3mCnhxHerYciRkVsH2E/zhsJyHbZp+muKtKvNeq5
VWs0FKe12Nb2HEK36q6obHYQB5j6+32+DXN0wBFSedYiXHvkq1ZAJKdTv4l5ilaNQHjizqyyYuzG
vqdwqkcUiue09E5ZKVd2THwV8M7jEIQEOTgrxyLiqpWoilNhUVyGhI6z+hqX9sCKJ00kbzenaZbE
N2YYmkputgiPb5uBomydV9Tne6iy7aZraANUu4Z34npQDZxDJ2fT0U2qtZNVfJOrZi/kyml0fywE
F5VqB9EauMcK/2zqFpclHSMYnoeQDrJUraSumspZtZeFajQn1XIm9J69akJ7utFOtaWzalAjOlVf
taxJP+44CYpNHYBwnSdoZBimTCMCmkWpwfU4FJQekhYnoRQBjIa8GZ00KH1EyZQrUA1eSCA6tJQx
hapnMEFcgFw9CgodQ1U8KaWPSwkUN8HeC4OtrWojmyJpoFgqO+0eXd5e5GqFJN8L294nhF1qFFk5
xZadVHyp83CUlGFQvC47VZch7r1Os347+tFRdjZozWFXesVeVwoICjv0yheBpNKrJ/NQUvoNlIBC
1YLdXK/8oH0aVJXYyHkTUTaWqn6cKCRrCkorKg9UyzuZTPjhVM0ZU3xKitCgdFBt9zg6qE7xiNw2
RfNITPvBH+PLjjI2DKabXKTAunjokzTcoC54DCh8raDYZXbk0rTkUAOojSOnvTRVtexSNkvKZ7xF
15mqpwNRLUMK7N4TT0JV3K5IsbdThA+hdcQnTv+t6nMkBk8csjunIz+eAt4YZ23ZUdKbqf0yU+IP
GvNESv6U0j+HltOoVqAJOjDOxnpu/Kfoo11wPloHQ3UR6UdD4areYlJdBqRisoHs9AC84Ci9ZE+8
NmQBWpMwDM+SVsVXPQsq3stBdTGRamdUX6PV6Umj0akK71Srzscdxk2meqGIpijSu+NIk2TSDumq
aVKX0KSNKmmniiZYQ9E56IH2ONJumbp+EgkAVNuBVkxDZqjOLFI9mqRZq1TXVuvWJld9XOVmLyWN
3eRlLTvIepfQ8gEiGdiE6w9I8y8qmsKQ5tBqtOs+gmFoyDsn6IiAmN/i1LkFnRAcc9VfChrNMssv
NdV5+vA7JK2oXtpbh9ZUqh41bokHGlTfmtDAGkbwnqiOFsGcOEw0ubrqdnW9pO+lAXZUJ8xNUS4N
1R3bgdg1tMsNbXNF+zzRRvu007nqqzGDPuSsIPnMd4T9PrZV2O9HecXudBXTmRuxTSZeNm4tWcC0
C+4i1cS7dr/T6Orb2d3XdPlzqtPOeXw1+llTY4CQeUDfGbekn0NVYAS+cms19tYH9n72ZfMxT2CM
wmyhU2MG62PigAT1YOSYaDI1jggrWAkVLqHI7Xk652MFZ2Jh13wkRsS7epy2TpB7V8AgXJwsrN1n
jSWm0VcEVfX9uOi77K0HHiztPN5wwmAWQnyxKg01xA1YN7Q7P4TJO6YtR0zv9RdxOqIN0KZveQ1g
kad4kUxkhJgxIgGmxy4O8vSxLwJjJSYbCiYJDBs9bCBNZLFNTEUWHNkDlee80tunWHfAqVhzrbFt
GazrZiC7OHVnpttDKqG8sx7SWanM6WrWtSM+swuwiVeGC6JjjNeOMT9MfXvDq/Yi8whsdEyUACnZ
sblePfkMxpTQfF3rDQEPCbtq6ZN02LZvfUyoYuI+M0+77AdMT2W0Io5p0zKwi8zmDsfDtHKd8JU3
64Mw6x0uvbOwIHDE5gFCMkPvEE18ZBbLRjOfytk6OFF2SaCcubQhlMQpYvsSp0DHEU3VjVGj9s+x
sFZpUty0jeJWZvO+DOyjNUY7vSb4Kin3mUcSRiGSVeRAHLBj89obstsWUlxfTATr5PldTprJMtOS
g4iGvRDapSf1JaUQg6Jq3/oAQJJwHzjVAfz6oy3NQ5rrF7XJSWu64DjKL35MmGgSXI8+lcKEcWP2
cf2SOG1V7TtgniM4imXDTTeSzNZ56RfbhCvRePm+ENFNbcRrAs6XnoynhZnBkh7FbZNoqOhzTYOx
QZY34zOiczZ+z7RRUc06ryHCV99lnfGEFm+Zxvq4sYjPNtlJUVqgoMnTird78gT+gpWTxaiDyaGX
0NJ0QUpAUPxAZuXWdOcr0eO3TVr9bhpYeMXlY0EmIb4kYoG0Pvrq10W/HOOhY3ljngZLnPzAJPMa
Xg26r7X0nW3sRXsvEt4mCPxDn8zv5WSd2lLnEw+YzWyDmyUoBgu2vjNQS5X62p9s91ygq8hltyZ+
y4Z6J65TqR3TFmO0FpibpsGx51uhvqgb1PvhZD9bA7Y4jzcNJofxOI4u3qSheByt+brU7GfDiP1N
GVVPAr8Js8JukzQ9aJeGT+36+s5Tr54KB1VfACIN6jResu67LFkbJShvzppRH0o9qFYG7qZVVWff
2LORNDpV+Uryv6ZkWul9dRtEY7klDnQ/OFibprYjg02d2pZ8GnUetJil0aoeMRpVkzzpSXRKhmQp
Y8msJJybIxnhiohmPhrgyC+G2r/2mvQZQ6LcqcedADr2QDmnOSJI89kN21vSzq/1YYyOnpmv0FDt
g1LcGZDG58ISOKK6bSCKlciSYxUAanVQpwRW9o2lKhNu01gHpnuXtGAg4LcnvU2dCTioMdqnSa9u
vJG87bx0TrEekFQeb1JHTkTexw9V6j3L0bzBIFAcLDPO4ZXbcN5a+TxnEAsbXVuC4cu3ec9frFU6
oKAIZimck12cprhXMcOSWyAzYd6OemzQRtS1JtdECEojxnJva2tDhxb7m6rhLy0ZNHafpgfAFdim
eDYBNZzxeJDFDw2UEQkxGkYeneMSbWJ+2czjwpO3n9pKRmaYZ/PPfDilZPtT6fb7LyH3EBme0s+p
Lu6TGyPxSZ3UmiY6i2mv5fj+QwiLd+3w63btLz8Lnej//jUOQxopLLgQ7g+COl8Ijy5AULgb34bi
XjP/wSPzk7+fOQ+AOzh3fF0/fleNN9lFYWfpOR+40Xauj0Dxj+77J1/Tz/5+FKN8Q3xRyvr9/dcU
OCQ8mlaVnV36DuvK+o2h95ffzw+mmF+v9afv54drTZigHsInZmKZbbVsmegbsAGSRLX3NF79/Uf5
ya8iSJVAJ1daSMW9Hy5F6gZiHuYiOYt4h2EJaltJsolccgwT9fD3v0v9s3+4u767LOoW/3R3AVrO
WH6l6bk0l8QxELjHo8U7deo3f/+LfvahPl//Hz5U7sQePp9ff5FJWAABWeGGc0QdxeU/3Gs/eS7x
6bO2VAFwpmEo1fenD2VauVFw8Obnxtz46Ws/ri3/y99/nJ/dbp9+xY+329xY1ErIB865+xr7z1L7
P9zOCkrLEBRFP+Kg7z8CsGerlZqRn2PegCbxJ9P/4eUFG0HYSiZkmORsff8bcg2xKNTm4jw7r4Nz
6vDrifYf3l0/u+jcxIxxwSRi81Hj108XgriWMp/cOTtjAcWMTkaJbl33qP3KFcK9v78iP/ldruBj
GLrjOvhhfvjGQnZ9phdb+TlUPfWawDuUjk61KKixbj5+1X9qNmVK+eOlu3ptX39jZ55es/f/+X/P
RfqTTAL1M3+MO/VfwGUQHsClho753bDf+EUyY8fgQ4eIK47b7fdxJ9JwQ8n8FVVKV6fPH9N+0/2F
EaWwQV96Lv8RcQX/QoRgfNxvf77tlGqcW4Q4LaVrwIXj/XDPtyQ05qkRj+eyxZxdAjtHOXbXGlm4
jBUHfdbz4i7q9fRstFl22yheOuFY0OXwQzKtx5FK6krL9N48majw1m0Kwnly4ncTINGy5XE7hFX/
5ilCe6FY7YmithOEcxiMxtt6pAjdZVa9MRTjfYy8YykLeyVzM1sOllssoP3ILb5uwIxg4vNJ9LvG
1cY1QaBg6ZM7SzHlDUWX11LXXY12D7+mu9IUgR6fxqU1OqipFJ3eVpz6FCLuUoKu14Q97DzVECuq
faX49qEi3beKea8l+bjU+WLOke76gNNbj/lgobhpBmPHzMt2Q+kQhRKYZGLnM7b/wHkqoPWoSE/E
71127Kppm3jgNS2dzOSig1ZEF2eFKLQ7iSIggIAR9BdJrR36wn3gO74sCmDRoi1YI4NHXuRJ+GL1
kimiN2KkLx4Dhm21lae4wgMEHEF020pEq2aq2Qsz14mCCIgcmPtqp9nZO8qvFNiCfWHX9BTtnHcL
6EXxptWsYBP6g8CqPT9z+eOlZ5e3heafZDq9oR3fMXkGFlmaX/2pudKavD8mLp143ap57+CezJki
e/bnk1VwoduSqn0arpLMfDPM+nEeki+aX/JSC8MLOoazDQMBuTl0BF0xMbTB2Ft4EcmmHkkjC7wz
OtB2aWQSvAF0zDEDm+mY/sLSw+cymK+llMD+GU5pDKPIeE2IofLVfNStEvdswkUx3/BfWNPeoSNd
O4Raaz4RnMtar4NVatUQOB3rXYOHGXWuRIUygfaDeuXzerwUfXrRxwjWHCvH5UaqDCsIYkKRpyFw
08FmWeTOTBYAl0p3YbPMxk2NdGfZu0CtZZB8qYxSLhCjTesoQ/NYxB7Rr1CYmGPwJUeNv9empiIR
E7TFwGMP8zvdIfW4SXPyuPpI7kcX+ABrMnGXh36DKlGSnUnIVc1gHS61na0MfyDKAHWeOfnv02Ts
IhJA9oll3dWtD9cqb5cOTwLmkBMEl3Q/SIuJytAJ8n/sPSgJeXbaqVgwJGqXpBvYUPrkbZ+g7vZb
60gTXgJEmbylIOKtTrvoQp+KAyFbBJoVEVep9Zap+dTo/lkbApJ1nHEjmSW1VY3r3MvqLfG27AfJ
oHar9C1MrY1blLwAeEzK0iEPGphIGTYXPI/lPtEcdwXBTz8TEG2ufLIeb2KIN/Sl0DFwP5/6SiMm
w7MBlHoMe8kvQcQAL9Yvx+tJB1EwVWVyUU2zu+gMw9+JqqW/wSy5nQLfWwn43Puyyg9BCGdyCjrz
orGD+aKKdW0rWYGvi6q8tjVCguZkutBE8FRqmXllQLslYTlP9hpumGWYlBcanIJgDPy1HZfPFeSO
b02eqaC4Tl47cfw+A+iBYO/BMP/1AP/vVLUoHv/6VH0AT939LEBS/djvB6vuovfmkORw1Dlb1R77
9z0iC3YLD5ROgeW5gpf5nwer/AWhFLecxPuOUlUdh7+r+8xfUPxBLHBMHHwff/QvDtbv622OVVTX
vNdhVjo0wsjJvi/zRgGtra7z7jRPybKqO8gmzOPc7Ncb5C9bMP2jSfzu/EYRYLjs7Gm2KSak+od8
qif1tO0rO5blSXSWd5+ElWYjD7dalNnJWEHGbnMC4prGn2+RyMDUo60mhMsJno2G2ZrP7XzQnQwR
OpvzkRBi88acCtLF7ClwGqZKcUNQ31jZ7tXgV32/iXUQwz3aEd5uWnoe0Mcxfi/LwlgXQ8rSwNUC
xMK89PKnKJkIQwHQTeBj/sVK5XByZAmZvhNluiSUPJ02hQ+EJ0UNraUN+ygnGgrzLHrdSo59Gp/r
NhmQ7HAch94VtdI7nI6veRVs/EbcOZx0OSs+S7OLrSH4FAQKgyH1N162tsZs709TtTIT9NGASlfp
VH0L3fBmLpkOGeW3zuxvyTHK1oOs42eHpIWVFyTdpeaU9alqLPsijTxwukjW59looCBq5jcJsmsn
/RDWYluV66znGIlSzVobCOag9J4gvqDqMtx+FUSzsW1z537StaeUzSXhCSHT+rYNDAc5AvO/oPFR
ac02CW2Rtw5rj6g5gyzL0qmcaWW7eXjTBL227hy9XnujGJ8kOHC+RYMioUm6eiW1elrF1nxT2a1L
OCB7jU/P3k/GCMb3jd3HvYzvVGCixlrII/dDy8KmFucex8YJLdwrxiT9dr51FtB0IZvmO19fcEKu
s62zrtc58cdyY66Nnb/8J9rHRzzWn7c6Yx8ktMregVFcCEQqP/TLFsy3DkBQcfKN4GJKifZJAkg5
5SCNheskHqEjvrmpgV4hTHfFZeDUCE24Riz7MkrS6eT55O7gmXphEO1tGuhAm7YtN7ChXhyLgTmr
YlDx8/hYpZj0jBoWk9PE5mocfPIGwzhbWCjZJ5MlmA5c3meNLV1yXS1vR5TkYsL8RKgKXj3UX/AU
Madl+Q4V4qrA3YGhq0QDExwNH705mhdSO6AoZ1ncrHiIT8PomdsqUBhoM7gP8GrqZnbZja7ASFZu
RcKN5niV3KBi/Yem9H+PPCghWPLyvsSkav6ITfBmY/DKzK9Pos/iLS8C3A+1gE0ThWuriCT5Y8Hr
P9xVqvn87moCDvz8O3+4mtrYO3WfBA0QKPPZ8uslgs9iNTfOTmYADiofI6DNXtmpECWnTbuwZD4x
8CVozNWsI9CiJxGh++kb7ZufyE1ZVZdGQbSnP3+xguolQwyBFqMqf82+/u9MVpSZvz6TT68lV5iD
mYXt/uv//IbnVT/z+4EMsBKIrTqPkdtLT7Wzvx/I/BHcDwi7ePx5Nancoz87XWRwBB+hB0Jw8+H1
+v1Adn/R1QGOp1qZwcS/63RN8f0Npzpd9faSyhzmGZi1fzgp66rJpEWA+7ksG1SQDNMXtceTWFrT
vR5XW195ZAa9Wvll9yY6/yWyR9KNRnloLD9dVYl27/XVSljTpTWDY7KA0xk+7EURRGebbNvJd69E
GuhLFtEGbZLYJqN3OZjcrFmxdQNv18UGqzOA6K6NYqgOaDewvdzaVtGByNffNTs/gP2EK9PL4NKx
qae1MvEXbmWtJ6MlmFWDpmZGe2ENzrI03AenNK9YcZ0tTGjQwvMeZFefErs5bf0xMVmLeddpHNwG
LEJyCwDcZGGHDVK8uVMr34ciiC/nuStf85bfM1n9dtaUW9dKlmU17FjPiU0w6ogb0iFk7R8J+rSg
vOhEkKyNkui+ThX41B3LiIrfo/IPumjVqlag7Jtt99EdFDLeIqgdN44IN8WQ7Oo8X4+qo6iacFWr
HsOg2TBFStdB++GrPsStRbn0E7QzqkfxBvu2Ul3LpPoXNFJ8Co+exqW5yVWXU8y4ci3V+TDlOGF9
h0pJT9TQHDWBexerbinSzJ2kfWIeD6gerJirOqtG9ViG6rY02q5C9V+V6sRQ/UCFG60928pxJWnX
cJntoFo6y1B1cgE84mWhujt0OmKhq46vpPWLWHytZ9UNVn4qoWsmX2qdVWRf4R9oVffoqT5ypqEM
VWfJOCVcaVjuNv0gvITBppGBv/Tzvd1p1g7B4gBG3k32pWutRkcihZS4o9nCxNu2sNJqVzdB4d+6
hFBf6MRUBFpRrl0/8S5mlWGhE2bBEX6HMKlmumDspIbXnEnnugk7a927rLb6vDjkbn3ZqJCMMSe7
gtgMMfZPZYMQwp6jh04la0SmR8YGYRu9St1wiN/oiOHIVB5HTTDHrBI6iiLYKndwPhN/52sP7UCW
hyTUA+Y0/+qAPhSnXEfshxXhIoQvShJI0mxjokFSlREivPaFVLtzL5J7b0TvlREnEhjkiqA4ykA1
V9G6VqkjQAVePWJIwkBbjiqXZNaqq4agEhBAcl2x11tno8U+eWzWGG1WWpCiHHVJOumJPNF07blX
GShDS+GmUlF0lY9iJ/IF9M2h0Z2vztwcWCyfZgJVKObkomEENKqslbzOtqlKXykd+2CONfp19sOa
Ed70gegWCZEthnOXaGs5uYeSLBdPhbr4Kt4lJ+cl6sHht0l6DfRWWxpF/Vxq7U2swmEQalyF2GGW
Nrkx6PdXGTkymmbvZkXABcYNCrOG3laTOpOSPuN4Hkrw5IyEdtlJrrQB265XgTVJNr94KsKmzWpG
JTuEIkw1VMIN5caxG+a9R/QN2FM8zrq+clUqThnFt21qvXkqL4fpDHqgynkISG8jcIZUnboIsSWG
Lc5N3n8QANJxyzc+Zb8Wnf+dsmrz8ten7FX6+uW9/sk5y0/9cc7ijmZnSBLfh0hWcAT/cc7qv7Ah
4+G32Vp+nJh/nLMeY2M49Uhu8dmyneWn/jxn6aBZcqpFAZZq2uV/0fjyY98Vdh/nLJ0vjS/maPpz
5OjfdaT9NPBUSWc4tySFLWWbPBb9dOMUPdnTXnAm5Cb+UkR9vogm885szXjZmxpvL2f4poViwxhP
LmZTQ0dC0rLIU+Q+DrqeqPbf6oDX7pg6NWqf/EZiadgKps/bofcv3SwlXKJ03jozurX7+THkDYeE
hpB2pnNLYiuyXeKUF6Y6/TOHNFvTyzdzatzyu1ZDi/+D/iJcGd2kwzxF6OjP9iVkh3u2qzwGSfA1
btxLiWpAyPEcBs2ucPBkQVO9NkIhNtLF0RbL/mo0kJQpXOHCMUinA+y49AMoH3O1NBHV74VkHDuU
2JngXG+8Vs3EUbetO6ywazPxt3aS0i2YmbfzS3lXeyCsJ2/Vmea6Kxts0Phclwwa90AJJCGpoYu4
b36wvK9Z4a9qY1Rv8QsydJ86MUfLMoaoLFV0dTfBZbF7KmhrnN57geNQdzaOqcFmFuFDoGdqZK6h
10PEgvCCtFP11nbgTTu0nMGS1J8HaPRvCIgPWFpR6MwrG+5x1ej7zk+uyRLKEUDYNy7fkI/7DM4C
Idxpeqqld2NH4i0ZmYhCHtQXNJxKNDvcZ4Z8jllRGyWDeoRdlPKdDu5udA567N5pKUooexYMyBms
D3l8mE3/vhzrExrPQ1AzC27S9F1q4cvYa3eliQgwHG9akn+FrT0Ru/slZcq7sCxCXeoyIKtXydSM
hnSSaboVHcHglfQuuUzHIXaQn8QrX35DXrf2DT7O0M2b0mE0YMjotkCHbcdsJUTgbOfYwRSZFy9m
bpNd0EyAMcZX2Q3cXzry0izAwt8T5UKOwVefO9KrzWxF577VU/uis6ddYbdfe40kYCM07yxOxSCK
CJr1qytdDAzLUdGueL+Hi1qb4pUWAqGeTJcVAQFXccuXNOc45K2Q2ZLMjJvWLtf0cdB6s9pbg1Ut
L3zopCejKx7G5hmeickz95xRKhbKux8GqLfmVt4X1RReT0Pt7f0EyWrhNCPuIKR5ohskHAM9Xk9d
yABLK79RLLUewreqxf8e+vG0brOkmu97GkWyHPvRbeD40pHd5r6JVBlJ0UMk42It9e5WeBZRiBOB
L7nEFzUg33bjGBagt53KoQHnwwqnHer0gsPbUcMVpZkzn4veIkxt5nFLQ27pfGgJfOTUjVgT06Vm
q8D1xlu3HG21cziP4fwVvDohboG7IoZnI4ZuhV0Sp+qIzj233ZB8g2BTSdhz46PWBasZ+11k5ZvQ
tTAEumhs23YfuSDc0c+lY3GVRt2m7LV2ie0N7TISca1vL2SYB6c0GYlCtG/5cvVt5clTE9dXY9Xd
e4m3q02ZE9gwvDW2fCgK8ykTDu013N84NdEfVvOs9LwPTBZQhc+c4qwET4PfewtGWwNc5/QohnnL
/2uwHwP5VbUW5YJdLowKNpuZfJvm6r6MnYeyii7TWr7VpIwvReacbcLL7K4Q9O+hiQlxYEbRUiwJ
X38TY3zjGvmRa1cR7I1NvU2c+6zvBx4Qs11agxuuEW2t8ABKcrkZwscJE6yWZ2niyXNmPmdo7BlP
9YsopHrpeAkY+gVmzANghCNJANBxPQdvwmAzVukzj4isDK6DA/ZAZvq89pP2XQvndlN4FXupzosW
Zclgzfe0dZ92085A8ocz81WbMiLb5nttMhnEjNMXra/i20kxompgUWUDNSpT/CgHkNSAJgWpMN1D
AYEmcllAluWXaHbaJfzw7I7ydqflxj2o9Gzpl1yN1PE3ExyjFbFgvDWGPQNRn/i/bufGQYSIdwUU
1aIXxOHRW6gDUdgOmIc9YV9PbnXtwN5adNRmxroW+oQGLg1I17KRCzYfOdvGR+b2R2XwX4lkMp76
6xJJmf8vitcKevD/rpPUj36qkzwdIZrN4EHqH6iYT3WSRXQFqD6MSBL7/+d5BGQ1wi0I4BFkf31e
EDgUV/pvf9lH+OW/KJNYff9YJrl4/+Dusv5nnc9m/PsyibV8No5yqs+T1tu82IxOrygzcjem7Qvz
cyTtyyh0wpNt1VtKEeu6mjjr5kDcmL68SerunYFitRjHECdBfwgdfUMs1xEC01Lr0R7n+tHNiZIz
uO97Ob5RXRwFubALs8tOQHY2PhCpJtQ2xaRdk5Z+70z5ozW2S9ev3l3pIn8nd2fK90lXrEKMeuRy
mHvLDR+Qyy81KYitTE8djhcsBaeRegM7+YifdSYThz1nFNxbiLM1PtE6rYc3L2rJqk82sLVezCDd
9m17kfs2gw/v0Mvq5IfhySOmz5vhsYXlqUPjaRYVtCjj0ZHWLmSy7U3TQoMaFuvxCe75uu+8VdXM
q1D0pGk2V2HYXQbDtGShvpVIZ/EsnGoDSIz3rcGEAdxm6HBBdBez5776AOGBvz3Gcb/XGm/VW81N
GMxbjRMpK+eFXda3UzPRto3RObAcykfMMLF9bzXZbp6am8xt33JjJFg+P4V+deztbEe+wEVWT7uu
YnYQlN+cuDxZOsYIX8XGyRsndEoGmOWudQjLk+lwmXQoyvUJ27GfvJqFvPFKexlGPu1d55w7rT0G
Rraag35fQ3FHfn4Te+NeF/6DVDgVz1zbzJIXFTJuXxkGQl9US+UwJt+OiJChwtMygekrIvvV6bH+
lNW4dUtS6IKxxHJeAq4bxjcXQfhz4f9/9s5kOXIji7K/0j+ANAfgmLYxR5DBmUkmNzCSSWKGY4YD
X98HqSmlkqqtrLdaVZVUnCMcz++791xcuuTjvGzbTsHICd36TXpI4bocO8Ud91rOM+yUFJe9vQeF
zMXWBN8waBz0eAH3qu7zRa6+y1RXnUrKFNZtzZRh5qZ9xi88bIYJ1k2uodMEJdZ6SPTpnWVa+8zC
GUBK4pCWoNBQwWgYSEwKpq15xorRU0TAUmTb+SJd93AFD0SxHPIX030iWfJ01PFROedmu7mHhq6q
2lqNUfuIWgQZxgW/kOaULfsTPqv0c3QwJASG9WDAO1O+vfEneT1bzk42MOzabNxkI6CCPPzg1n+m
kOnJYKeTnpu+o/9lkv26rgDz2W7Exl/dWqr4StVMskHy6vBOk/8gIU6mopJvEeG2lWiWesEWIBkV
NlfJErbxdPo9MPDPDJLH0DBw384s/yOqgpdysh7hgH7w/cc4R0QLJceGmFYR24sLu9rgU0C3zBjQ
Bq4RVd4Qc0muh7g4cYn/KvX02XvilAb+Sao42WmDIEoUf2UdtWWZVV9N9IbtiiEnjd8b7lnlIQbU
GCwuOszWigcqeSS12yw5nseU8pS2Lr4bahl7NRg27BXlLs30MTTyfSoIGwXz8A1UI4mqTl8nwnuj
QftNywHHiC547XoupEiC8F6cI2c1BpOLBTAnZ39iW/tQWc8dcY+lN4arBDJd1LcUIiTPU2TzyQ35
noQ1ZakwiIO+ezPYerWWO611KFD4wyc7QryZEOtmq0dqInBg94bF1ZO969xUDzHgi41IQZyTx8Nl
GYbP9lItGVahx+vL3qHtMgMFI29TVpYoWLw1G+LLfHv2ZyEsvR9COnJ6dndJllA4XtRHkj0u39tw
qvz2WhfYR6a5X/mFfRzZDcbd8LUU4tSNPuYFI6A3hhF+1Qt9mcXiHjfFhVPGD+bk0S6UkjSjPWXl
y9HeuNq4xKRi0gqUPTYxyLwEVMcmh9bY38dxVu6asY3itaFC6BZ1J9YGiOuj7JJdDMdqVQrf2BNE
hFZVsl4q20LtdG+daCm+rZZItGfq/DZRQ7L+dx5hFCCIzKP5n+eRG4xmr+3fjCJ81E+jCJghXKU/
mHWuj1Hzp1GEUD+StLCQBJbw/m+SDV1euBSwPUtyyr8OML9JNhgcFoNB4PwOKfqfZpFl1vhjF4dk
Q3rasphpFiYBEMS/zCKSNzQx/cm8dnKYbwfAXNaqxlt1TkPKXOf21o/np5Baeqvu8j2GrSc2g+2q
iLFoofYGi1ss4RJED0W8tVVz6w5qH0hx0YeEfwp9tPF5zf0BvM83FUXcSrlnRddmGkRnBHR/jXUr
2HgmYYGsJSrqTvP3XPJ2n3onAxXkf4MwkKOpGB2eo46zBv+dZUcb2xlukrGzt3VpJPx7cTEPmvyr
bZ8lhn6uGvnX0uDwLxrxkVTt5zhb33n6JhvVZ/EareS+8DWXLC2/jZPx1MzShQ8D68Z3fWp8gqvS
naYLQ2Z37jLX6xKmnA65sSLP8V/aTyfsWfPO7XszmBvaS6xNaiXsn0NpbYqYNfCs7HeRPTuwZVsX
IB2kQGdsUBEoJwi5OGy45E2SGnDKXYj+2qi+FaACknaYCV7NRFImmGjogXE5xOtAl9kB2Hi9zVN6
FQkNV1sRAjfHg7okS/x8J6YpI2k7MIO5PGko0h27WyLFJj9Y3twOyk73fQULn5sPvyrIequ2kWIV
1ykdI2UGxa92n9Xc8ACl6HorG2ZBinWzbbdoADpQYHOCELywN063WOUkLUOp2EBrotHZVaeAiA6o
V5mcQWemG5BK7SmmyWSvm2haka+hv6CGJrEyaL7em1n/aQXMa3Vc81jNwuhgusbb0PHnw6VTbwfY
pyuzZleWkEQ/SOF+BIZyVj2Y4C25WYs1njxynrdrDJb5jW+zmjLbEsiDMeEGMUu5l7lNI8zQOns/
rj8KbQZ7BwcBUpqR33izik785rjghmP56quFUjMl4gAmit+NMPDwWQNPe7PLmo3peRkvJ6N8qya6
LFSbELdxlge1b+BppSn4Ihr7hnpgUvp0Mdn7qnPzLX88uQpb5zPB4E6VWEwvkbT3rZiwHIi5IKce
MIk1vi/fRIGSgjbIagJMFI1SxJbqSg5b1BzT4Lss3U1a9vkb77no1KSWOIz0RHfbmMoisdW2zxQ9
oPZ/5oWaDpRNWrcKRQqmEJaeDiYsmecqWTdCP+SGiUNS5M6qtBnOVV5/nYwgWosZU68Ch8qSSBOC
b78ZUf2UU62MtyIYt3Ex071XgP9LhVesvCn9ilP4Jq3b5AXDHu6JOIpJn/qwWSsyWnN/m5REeB3Q
0Wv6/+pj0LsfPLFeehHuxsiH6xMYn2PatWunTL6BfjwR7X/W7gitqcXVlBfNcogEZ34Vx56JXvE+
Nfplh1r4D8J3bmozPlXU9a7KRl1BnH+33OCJRmO9MRt9080gg/ymOai5vW/n4LGO3XArOhSXum8A
VU7JKgmTaU+RMyn1klHap2iHIYzdVnwXicZhoseg2+d2feGI+VWnKY0Sy75J4XP16OK0x7Ohbdi7
QEp4pzAUQFtEdElyZn1i2W+pX5Yvbtalh8jGQuXJ3iYaF8iTSzHHSrqqpZi7eAtahzNL9CWhtPpG
jca927bjPs2y5BSRu11pFXGrmUafbwlNajIo4EL9gmepxui24Oa5anm73PbLm2cWIbrw8kW7yom3
aZgEewFU+i6PmmrjW2SXOWH6fZu6KLaODvaVNKftnKIsUyCWc8J40173U8p9ILHJdBaSvtnUJZ/r
fNLyPm8yOR8JKV8LYuuUsV7ST7DQp4S1t0c730JHCncZzYY7fLhiD+eaqjHYkQfL1Q5jMkNOzDQY
EiHfW7bmqE/5bpl1I2xVrL3yktpIN85z+I6cUqIOzf1Y8pM6zcDNcGBR36emy9WNhX5aoLrXUcca
u2D/yjHV/2K7+1d6WcaPfx517pLhg/zs94+/mXb4wN+mHZqWJdZLJAS8l2QY/hh2KFp2vUVBYdwR
izr2+7BjU2mKRGND1ncD4ggOksxvw45NTGIBAeMu+bXT9H8Ydn54mX6edSDIuIw6QJQQhsg9LDaR
nwyTsVUSUsV7d25UXVfepZFTxAb4WYq2EBvSwNl10Ft2BhkgZCdExnPemdNkekinsGTpF8yve1Ub
nM3aODpOaZ97HjQb0gzlRREGxT1LkPG617K6XBCW713UjSerGLN7aY7NhcQdXq47DYXQSrAbYCDb
mWnjYJCn7PSFTZIIkJbRMpsRD36QczM2uXzmpfM2oBR9GnYy31mtm5AoiEEJl5MJ+M9HGqrcegPE
0WK3kgIKib3spij68MFi1rjrf3Q6i9TBc7XPf7Q94w7AU9ZQaUANtOlxHecL9oIoP9l9uRRGc8DQ
Ho2QNtw2yEFEBkAEyw1y1CCuKOZLt4WT1OmjwS0RLXvIaKbWlls3xJ6XxmpnoHAl62FPyqXQemYK
BTnfrRqq3vyuqjdm6cQbMTSBczFUdvMaponLAEJWmSWHaDmO6oGb3pSUtr3H9p0eJ4gNwUbN8m42
28E7WINjbpSXvneAAU+Vi6BwdmDHHP3aT4a7OcVoQLSkBIwY88Icz0WAqGXs/738/HL54e37zyfC
IsZuko/ob0JQi7/q9xPB/SJ8UKe/+rjMn6xhHAlcY5ZUosPl40erxm/WMJvkFFXo2LZ+Z7T+diRY
X7gS2SCkyE7RjkRNx/9wJMB1+sv9Z6FK4UGzUWkJFzIZ/PlMSCgvb2O4EGdMp4wDDkTqCNSY62Sn
IinGylqbw4xdcQX7xYIZUk7zfc+uNWL7c2n3qfeaxSVWayIeon5Jvdw0b0azxSSWDhMabTuUwXUB
lf8U2X2eHKGLWA+I0IZzNFuBHhIERnddhHZ4yiZXdFsry1LzPvGCXF7Qup6374hl7nhu7KpxuMaj
nrpl/hFCv9ioMulBm0pW1nuxvNqDHy/8rp66o8wt6KXzzO5ki/e1f5mlh27l1bG4sPogvGjqOg0o
Z8DcFeugXjd10217MSUXTjfJyzCcK7iIlHe+9m1Jb4asQ3ZRaOrzOivj/ia2KKuYyhcoD++pC6uF
9Gaxrlzno+qKDzdQZH6GopbfASBBnIFpUUfjsZyFs+syo6ftJ3JXgyWSZD1mvYkha2SeYxv+ZBoJ
9KhsDN91AoCkt0Z1E1XGtE/iiTPRbFhJ170+zlVV7zH2qXUzcLIUS3LL8RmlmWhYMOMM4I9bbTBH
r9uxDTd+V1z4PX0NeE69Mwje+ZhJrgKJRaRJBvHeS+pi1UQWA//kp2vV9mgmZbap/ABZPDb2/jAf
chOAJGfVHikNdE1bZOw8G4YuiUObyk70w3lY4bjdK5PwVt/pdRc341VmI7CLmJE6yB29aQiKblOj
sq7x02X3xujYd6Xrlh+pkM2pqJPyKR1oT2WHSfHpkP7rZTV/ObVQWP77qXXZJ+3/uX5L2urvzi4+
/PezK/iCOkIQM7B4iOKu+WOcscwvNkMOC6NA2It488c4A5eOAApoOhLXnHsBH/Xb2SW/AKzjw1gw
/Xri/Q9n119PLk5OfPkESy0+H+PRX8w2jWU7La7a6Bqixaq1qHP+f1Vf4mb50+m44BYIm/KJaD4i
SMwP9efTsTCVCKp80lcgp4686YMdiIe02XmFPmubCxr7+6ndIzlCVDEqTGZm5zv3Flw5xdstcM9e
4wXtsYzC+tw3hl+vi95267PrGnSbSkDY0UZUJvjoFoy7qkZRHTK6t7cgK8Re63reN2B4tiPhlT2S
aL0lKZLubRfnWjm4NymjC22SjG+9ipp9gs8P9EajUmNfFmAD7stmjj+LtBt29i/QC59b/ZY5YIFh
BDn/a2tWbKS38Q9iBsYJ6BmsSerbjmsMkMl5NxumQ/wwfrYr8yLWMU7KHNE4g15lD/UeYsDl2Lvm
yuuMqz4evjqZ/VAH7X0Dyigqh6+uQ3bNd2uFN1Be1o3cRrK+BBl1NClbgzCGazbS7sXIMMdq0F8N
kdqLRAuYc5g01HRqHPGtSlNwWrm39M/U103ipgdWM5e9Fm+xm00sunHjSKKPKz83uV1TZjIFwXYC
Gr3CvGvBTLDJPGhckQh+80U9VRdDaOx1kR06g+qmgrDkhnYIzK0VFubkXHAkbUMbBB07uf08N8ew
Se5oRkL6L51yQ3c1eykFXwwPUNnqhlbb4l413UVscw0zJuG+T0PGCqOJxjUhzZ2ueKlqM9lK2THf
4T7F5nHUVX0eJdBDk/bkVcZpzZWAAGaUOveOJLdoawlrrKSACnsA2looOUin7ly7g7HGCnwEizTt
VS4+pNt/N8FE7QFZFxd2QDHbKs6c5LYq/WJjapk4IJOwgHumcQp40O4xs75nRnycXeOqM73HjlM+
j0N35U8NSzWf8iHzci7826EsdwFR4rQJtwuEpXAxM0NL3vtjZ9Exzy/eKb1DK4Ync6l4qug7wsDz
wrx8VgLwVNLok5OLm5lPOphwkv2YWhwTQc54tVoc4IY+Kjlf2qFxCLyvOnxR/nyCsOTvnJTGYM95
rGcSN+xXBh7kfed3ALyzS8eabohdmWvbyhABsuBbHlnfbMx+XCPMy0CWEcnTa2ipUyHjdTyjOzhz
vfNi48HX7aPMBgzZ8NCcGCDrsHQZJOxaiwECn8qO3ADI+w7m18qIH3y/eDQqiqhLeoJYcVqePtWB
cdJaoG+mLhnLYJ+7OdsQj+4HZUL57mV3J8f0xM934aTihQUN6q6dgyBXMAAtu6KBQursoI3C+qYA
Fj23vsItq6cpfCy6MLvTodey7c5NFMmQAvmkize1sZDLcq76lBbStWQZYjPytrgcKie56uUMDDFv
hrBd95W7vMNQh6jFCJYtXh36b7OLwSV23K8GC6Xt0Lpsoatwi549oK0GLS9me+nv6POLiVwb/hHn
rhO0iuKlqTfRUPkr00zJb0/3RZWBrBsVjsCqjXZZIJ9dF4yhO2zqHoehp9vy5LOQPocVRHg9s5zJ
XPUm6aJcuRiweMvBn5fOg4gqMkDpRCHKFF2mGGWoaQ9v4Qi99TogdpRu/NQivGyI+6Vsxbarl7bP
trNKD0PafXrNeJ07c7qLQkqw7DH/ZqX9jmvTC5t+srWttZImM044Yibq2hKRB6pcGzqbaUpwJXnb
tLa+F26nWRWjzpTDtwGh1pEdlMekf2k7LHoNf+aMprXQezLL9qvT4x0wFY5gnd7rfLosg/HQ1RDx
jTF9iuLpmIy8RbU+D2Gxj4qQnWju3nXdfO207jcdO1cKM6Mvh6dxbtbmCDPJA8E6yIDDgnYz/hr4
trKXuU7wBqbuntoXxOgch0HnJ8eo1UywNp2yqePemzN/tTaH4B+V3kM9JKfOhh1Mo/Y3ngQs2lXG
66e8YYfXHVQaPTmUpa9s0Rycwt5y3KArajiK/PRF7F0C8Dw0WXQyMV4F1cD1V60rP7u24SODFV+R
rsTyZ2Wvhm9snDE59JAlV3UfvoouO/G7xj6ky1VgBSfZT7dtJfg2JR0ywjg0jvsSQrIcMGbIbrgP
4YEiXsy7FqF9VSTxDW7Tz1BgN5pAYgqZQvGek3Pg5Ps6rB+KskN9K9VhiAhD+kGx8AFtlhAWTMfk
xQ3VhWjY5VoEBndlIcyVknK8ERaeVh845zbzm+dSxNHOEP61QPBF0azrxf6OTzzWxY5NxzsBx2JD
M7DxPFYur5d54eGg6a1smeTfdZd4G8suYhrqJus80tbz+dN89jcZRO6OPy2ofhCfJLXBCDZYcjDh
/EW0MTPHpE0sNK7SFDjg1yx4k84vN/h/jNL+v77EX+6AE69iN+v5EqKGO4jxorrW6c1//zHQt/7m
x3BJBxNOdh37Lz+GhbcYk30SXYuRp7x3PXfA1B4MY/Pfvwxa2X98mWWlR67KtSBXYYr6WeKKVDrZ
XjZE1z2czRqrQGstQspjL29GgLJuy67a+QUw9K8kusRd//kq8dAkiHjTfwqiy4f9doUg/kZzszAl
oC8r+PP61/7y40W9aBgWL8lftQ+Y7kztgeeRSIdGxLXjj/tD8IV/LuiNAR3PLeJ/i8V54s/T/bL7
dfDSLLkA/oP3119e9/Q7aLcmG3dTMgLLc2v1zJtTn4gCg+M0WgHP3GHACeZV7/VQvMxqjvc0i91L
Ay+F7b1NA+JB1UeHBjd7XSUlB7KT4yDxrkRn1tgTsASpinVKqIJh40CI2Fk8jVcUYlwZRpgt5peO
x5q6bqfuu7Gk3pxg/C4rQ21jxaMbJh91EMmFljPutSA9G1V90wjlbFRsz3gteMay1crZQjX4VJZq
zb5ZiLG7ucimPZv3N0ObuxiTP7ab6OB53VU5Z4yZ2bLBrsdvJKce827K12lm3ttO9xyhZe3xwtM8
ioZ8HVHvjIEZJz4L6WZrTtGrx9pwD/MK20bQ3LK4uFayZtCcrXuuUfUq7pNbbYlTIZwP2RV7uxlf
W5lcSAsiQIOHVPvWBd5+/t/BoRDNM7mFo9ILdTiLnlXrPgfpmz1CF5T2exsE743VXjdz8uQo/Z5J
JlnLFvPGd9wbom0sQR3iejH28bQz4BPiad5NWXLPvuaK4fJqtutwYQZCgrJYCTkgbY+pSX7WMZcI
lJA3hjPmF/WyDnaM2MMcZl6ksRvt2TO7uzqiSaPuBYQN/ei2xskaEXkx9558xZQuguK6muBl0BEJ
JLYqrf3UjSglqdo0SR9DEs79febFDZzZYti6QwiBrLdIzeX8Ww+cCdeDr6HvgRXub1zRXwsFHd0w
gnrfYKDmxknKIcuOFnG6le7GaEWkjINaNMfCcMhfWQZYTccO1yMNPcLDgsOfgv9n85YazR3uo5sx
Esco9cDGWCnjg2KslIfA5Mmcze5jxy5PFNHXVnUfoBaMdTZTreb07uKyCeKd38/PZQoaGJX8FHoV
rnH22Hk7PhoBhjM+FEoAV8KtPWT3k2FRy2Ph0TZNykxb8HiJqs5yCq4ziYurmzSZdTVycxvGrfa1
uvbGIuK90vj0ySRwvLGOU9RClMxu9GsXVumGlV24sRsEPTtLn3rMznnyaHfLhTFIvC3vtY2UQ7/2
O6/b0zZGGH+kIUWbVghTDnZwNZ7pPJ03RcoSbzaMW27s8XYqa6ZTq7hKSioyJ0MDkKCcZK2j+Rhq
9QpGQiyvtXsJuXn6zASjoxE1d6QEtvakwYnH3tan0giX6yeiByFIT342s/gWtAHW9fyqImdhuWxQ
oCPHW3fCqTcV9V3ct685lB6CQEdfzcxGAT0wJldeXnspna1LqHD6tNrmJTL6i1F1t3llnGHZg/Ep
QVNlzGjBAKhJsJ2n8YlKRUzcqz6ISXp03SdAlwKr4Whh4PdeE8rF0X8FIT4jI++p8c6Ovnvq2Guy
wTd8cK7ymVO3xn8CMWjI3fcOdw7IDCvZcCBfAEbV+6jtGabn4dTRYLW2mujOjfVrmoB6hf5P8Uvd
kgqMOnPdyvrgFu4GZyb1ibG+7xwcDhqaZ67BzGOLpEyndBredIq3hO9i3ifrp3R4pZbQi+xDvfaM
6B4zybWqgvsglAdbT9hlykVTnPK7sKquosisd1Hn588YwxKQ98OlITxr3efLG9tJnzyShMR+xmzH
sYq31orfdEkHRi8TEqfliQP9bpJqONRYknHW9bd4DawV2Qossb6/j0VC5LS1ibK66iH0yxNXY7mG
44V9eLhNCOavLNgIIbzhlacac1tGOR87DPcOYZkD4Km3FnT8KqgaLESlFQMEhtcVzcYnzF+eF3GT
7P3AuC0n9ebavLfrnIZIel3JIuko4sY/l8xlLLVZ2j2bfhGuO5+BuZg04CuUYVjPgi0QZ7ZTlWKX
ElPe5ct9KUieyGrI9RiWO6IPwCv4k6943FGWYHNJ6LSIduTF+Z2C7T7aNkywSEJtx77JmwYQQi+H
x3jKbkeeiVQBYoJMnJbQjedEa1aHvNxgT2z6lH/m5xTUVsaMe1Sm58mwoZeNhJoiMaKEZBiHu2mP
E/S7o5wbetE+tMmna2XKTZFMztggKLl9ecnsWFMKxx7LF3rleeUB7e/Y5VWzlpPVM7IL9VznaX5s
5/rRBn62YUH+ZOBhRTr/Ptb5DlzxIw97cZG4WP54/h9bxk6k7QfKiA7QUyGtICJgMVbQ6CWtnY6N
yo3ZWQ0Sg2PjDBs2M++JVsamQH1b16qad5Py78ywqLcOvGxQ8brcVhVtjYQ1wqNoplfX4MXQxYO1
yzKfpAVeGT80TkkUvTaEqyJUlpVOK3zCio/3qhuVMZGqQETkcZ13ugfgW3TJNykwvqS1eyN696uS
7j6scn2YI/szFZS42AOrWctq4q2vS7I6HmJD57YUlVHfsS1Ttg5mMgUrtJJvLq3KgcySLdgXhH2D
UxvKTbTh0juuXSN9FaV1xtUZr7skTNf1UF0kA9EV7KP7acbq29tw23qRHdIIGZ9MEM+7jvVAbdHW
rdIm37qB/50QMk3aftTsBvh9RE+GYaMEZtJsXk5V96nwIxNMXOisi9p4YBnw2ARc8cokWAPOuexb
BMao9wmptAqrjozvOxfDM4SBY48hdl2I4FGW/U2U01Nntx01s5WBY8rl/WST8tWRkW+srDwaTE68
IVOxZif9VlHgSiKRtz37XNGmh9olT841+mOkbseo3E9XGA8GROqNV1CQgaL56bUFQcjceh+m5iLg
SQ4K23ln27qvfcy3ZWQS0YeIjO+XZKWbPUUFxeK1bqy137vr1CjQHt6gMV8yGGCjkaC8zD49VUsw
oOrT9MpKqKtCBV35fvYtMpwKD3r6YDZ+uSLWd+cVhPktmh5kMD5pZi7MHzNiRaXKbd1RBjQ5PWa1
rObHkUgA/oigqpS88Gt14/vIhZlX52ved5+uhT2J14zeRpm9Y7n9TIQHvagxbwnpNCAx7bPtJt3S
a0ajUVbduwl/IwegJuOl5pxuyjOt8PhuXXky/e49LaZ2DW/5qdYYB4pePNJVdNJT/mBJrskjOo/y
BMt6ivP8sbRXlHSMG5X3l1Xb7Eqh/ZWY8IkH6AC8atOPgNk4HshIVbr8mIuGdAKupqiZj6CUn9lO
bjovfawG0nQtU56XcfTFNa/MOMAcpfKEb7L39kI3n27MSOcpTR6RmW9AEEzy9Ln3ymOIBwj38Gvo
Z29p119LWbPc7MxNVGgI5yVPSrs+oINQI2tutUMWNKzVvW4BHEqIq46BAJDiorLZxpsT4h2CC6ZM
LIaXjVbHPqnWuSMGnMapOa3ryLOy27yc3eeJ5IF/VRvOwD9wOgSUyXfXvVMZ/95Bf11nccP/5zvo
soQ/v3Yff7fI4gN/uoWyhCdxRNhocebwr343IbNPt3ABQk2zJVruT4ss7wvka1q1XccVYqke++Mi
6n2B5gIvFy2Dyu0lUv7/s8jyWLDRuwr3kZW/9eOa+pMtp+3Hvi7caWTuv2kiuZ14Wvz0S/kbDYnv
9GdVxGExiPnox4UXQA101T+rIvgIM7v3+v6aBy7i4ldDXAf0NABaDJFFaNzc/vevZ/3FVuD/x1dc
vqOffiYLZlaCUtYDQ+8NdglRF6ymVlkkbCPV3o6N8k9D51TQSgidtu7OTTH21qEOHUK1HTpsVLov
2gqso2vTKwPxUG7MVhHl9ONLR+Ft9i1ALY34PhjZZ6CNZ9pbbpRpSc4AYsVp1CyhZMydsMbo7kTF
I5WcRJTQuOAa82TnOJ69i1jU7cNJl+uEgOnKa1gOsKKnBcBK2En7HNnJnU/GjC47BaGNAbMO+Sul
0KtC4sj12G3kBGzGHW9DQDEo0/ZBKfNmIHVq+QBaBK2qGaQ5RfC7t43HBtcpHM+XYbZvtBcfBkgb
W7Nr90mHWbeCY5Y4ehW7atyxUGxh80xn6rrhjnUiIFXiTG15rzBwHty6gghS1jzWYqO75RnPP+gL
TqTrPJKXHXdxGq9nh5JzhNIhsMI3igMOMTuYauwuuyg66gxjRRDSLJNdTbP7ZOY8fGqunjRNLDyx
5J0ev+85nuPt6MizruSJZPhmyKrLLhy3hOGPk53cCPL9ZYjWq6fLcdKXvd+oTTcXAu7neNEO4qkG
CyQlRbdFOT86TLarsJiyq6Qvb8qsA4mCP2DOToIO+ZWuXPp+Opzdteah2A5cbCQQ5zb1HrGPUIMK
snJnFVV/7Puxw1JpYdNP6ukyn5SzaxEX8oKA0XgtY/+u7RsTgBmwojhudiZ9HmGe3PSlcT8OZJ5p
sFypxXWZBCuv6L57MdYJ001vLTpHgr5Aq9EmXUFwedPptusVkiLDgzvK/dgMO4HfoUMWLkyxUUrd
z6W8KUK4XaPGWtrl2XCnp/gOP92xIYjtV/4znX9r7TkN/SQGBcdJ81lCT8A+h18U9WIGVICYxppu
+BBjdFEii9TSBJ/rBbQ/0ZRm2wnL5nFlhtENLeBn6TAKOMVeC2ebe+W61+FF2yr0dfqY5m4p5rkC
DLWx6OjkoCC2G5HUSsic2eAC68D+KpsWXAQ39TqjPLh08umQjeCEmhzOMJEk1DDjlLXzA5TfGJ52
R45L3acDzveUGbYPMdL0vvUa9Olr6vkgzHI601PAS3SaTni/xwLPyeAffhwz/wqvEpfYf33oweJe
4+H5T+11+cjfn3rmFweDu4OzlF6KH8DPn556tkmzGRkf3KWux0f9Zj3zvnAsLWuHX+s2eVb8Zt9w
v3Cwg9z0Fp/YD5DK//DUsxY0+E9PJT4Ttla8b66L8krm969UsiA0lBv5Pi1CRCIxmlI01DB5o1iU
T0ljA6pY6ohaq8nWeUZUnSKpY+2Yn4MSPEaKYjxR9WLjmMyYEkV/iFS0XcCkCEU8J1TZ0xaNMpV6
6dsYNlRnL4VJTHtLVo8SJW+pUzKqKbiJ6+LRWeqW6tGeVg62BWpXHkkvghJIngiHPhRFUl57S5O0
0ua46uF7bAWL/FORx08hHGRitsGtnwFeIHD2QdV3v4ssY3wo6+DAVHKRVnraCe6MRqvvanMEpVTl
RzSzqwHiFH6IvcMFZT04IKW85h6sBUf9pM6tQ9dn1Nn7jEYOWCrtOxPozEM0GrbePAE5TULQGfW9
DKYdGAU6jSS48KZJjkPuvZgmcuaox6thqZjxZyoNdc1OX5OpUVAYdQb2JW8yIAfzXRiZ08ExTH41
fTJc5AlDfOFEV6CSToEPAIF+le3cGd/TNCfUV7M3jFSyH+cxWdehx156yJCMaJpa9bO963P/xo5K
ZGsEodxbFq6dfUeS9U613y1ffXp8up7uVD4V431stq9xX8p1G9LOLb0OMdC2VmzHTcKm1krlA9pE
Lmn1m9qDr4K7sEj72zCPD7VO9VbUZkUX2kIr4TW8x2/7IOflUjcEG6iJj3QPBKd6SIkyk1adkuTa
Z29I4jvb0fh0gfYJ5ZWnVo5Hfyx3Sgf9xnSSp0C2cl8yiazD5WoY5PVuTnDP1dMz2dedLIcXOU7U
PtnDHUBGHh7z+MFX1oRR8o/Bq83rUlHiXpvTTaqhaoDAPAe9EV4OdvNG/aW36hrTIvnJwBMbhbet
vT4Aele2MIDmnbMMSEQkUbsG4/+yd169jWNpGv4rjb1ngTlc7AKr7CBnl+26IWRbzZwzf/0+x6G7
qqyunW4ZWC0wmotplG2KPDzhC2+wjnMRPvUvkZT1ElVpOYBsAEzPnC3dcUstw3atRZn3q1pD2sHQ
upnmlg+OTpavD+i3RjlfAWkHFu+q7MjnGoMhtj0XJxN/vNXyTJlQqe+mWm5d24V5UivDNvaLaEYv
8ip2URg3x3Y+Ju2ZSi1PcajqRSbwj7Tyn8Mxd6BLW8+9hQQOmTUuIi1WIplSXdYkqCzEtRshxken
PidXLKfQfNBTjQAFAWxmhtvNBJUL/qJH5w6ew4Dsrvt7nLsXMR5ciGfUMnTfBpGwBp4ZrY+TQk3l
eRPG+QrwBjoqLTr+6XEXqtUscNWHEALOhCpTferrkrzWKPBsZdmNbjJZz1dxa4MMUGKfStq/T6cX
hKHORv6L0wmLd1pCzY6zib/77myiL0g7HjEKKA508v7MyLQvloKds4EvA2QIjR+9twaR2ZQxfpBN
wWB8Fb5+O5tgjFKqFN08ytjgmB3r72RkiiXa0d9TJeBwAFWENUlqY3IrHJDf5y+K2wArKc3soi9l
a5GKwqBOaRjAUrfyyRIAxgzUoeVOPuch5BM5Tqjmmli+YSRKiTJI3GrN+dtPKk0rrkN6KSujb6qz
LnLzZwwnEA0WJVM/tga2UQX0SU7EymmmSP1FVSb1eRGG+gNWDfVCcSGJTCEOYaCXuulZBFMeKiel
6z7Gl0EBy6V6frccbTO5pTpsPMQozF53qtGs68q3kLFIM2ojjRQtFGPIvmqNTDisVeo2M5r43pDj
dOUZ6ECkuVttWugrc1+2g7lVOt3SCqFugOvLL9GGx3uC3iJ5VD5rO0Vvz30p1dsnLCZ9/UShWD30
C1BTzRIMWCNtdc8J/TP8BRtMbt0qLc8tPwdT7Cm9f+2HDqlh11C2GWtttLozCuEU52VP5ySDjwcU
KsWLIO+AluBbFpyYUgqqCcz38IiDaJHAkHLAfLv9g9nF2maQLCMDqWimC883jeMBoanrusvGjWYY
FNJSPLpgKMKTCjxokG7eeo/MpGAqp+O4cSt/3GJ+eE8tepF6wbEkpK8SBSuPzqCZJOUdVUxbafC2
ABF14in1cBplPZoEtRNx8CcZaLug84JFldQauWGLKnceFXe6FXDWO8qtFoFCyyVQFr7ctRPDLmvY
sJV5bft5clRLtXOby4V5BhxdniUqteGJWhs0Hio52eIr5zxKVicda3FtUTBLzoG8S7OybiHpSwQW
8y4uinqGhSviG1JWHQ25m8LetVGokEfzmzcq1mx0KKj1bhSeWiGl+koqwgfFtbIptgZAoaIxexib
Xjph8iImYMHnIZV27/Ht6W5TUfFtsp7UGD+6C1/UihH/t+JZSvutAg2E0WML5aaeV71RzcjBEWv1
UsOEq6JuHRMaQawdW32nXRLuIbghZ6ayzUV9vRAJiZNXeIx0tvHvvfi1PCZKOb/Yi+sNFhsxBIUd
uzF/+cduLH8hSRB+Zioi2Oy+3+3GQleRBEG3De0FqfHHbowdj2xZhgoTBQo9RTL2yPdMgfoYjH9B
ZwNmaanm36qPvZLwf9iNAZKj+0iqooj6ncytf78bgy3TorKPs/MGmdJxjZqqEZ4puozoVF0n0JiD
okXWNTbODOARjVAzZj+cl2pyg30PWDIlOS3U8oH6wHFcpVcBqvi1RI9bC1FPNIx13meIBFvdEmoq
PopVdMoCvRvDdIu0DgY0rVrBlDezS+yuF0pCfckHc9EAMqRbQXoc1+Ga/W7Sk1nNSq1NlUcVlCcd
bi+G4dvayhGCTGVwDES1Rp4UAvQ4kVvHpIyUa7BJATSyY5htfmRBMV0WFuplWKjqN5pbEw67tAia
meOwy56WYVA9hHT1Zk2LZeaibdqQJmsTnlgwv8Np7BhVx9ZN1dp5kbCJUqsd58aLtE0qVG4soXeD
HeNjA+Vn0sXpnSU0cWqOEPtFJQe5nNyF5GN1KOiEQktH+EQHQl1HrRCPRlp3XozIlPtI8GRue6si
ySNRtK+R6GmtZJq23RHB5qxFwqfvjHMHJtvERtynjNWroQo2AFxO0PiRJlndrKnRcyYgDGT7KASV
jnLVNtKRiXQQRaUzW+BstXKSSN2K1sNxh9QQcPpTz0nPEiSImgz3cSSJHBRW1NC8jUDa+EgWuYp3
bvrsSijaX8eIGllpMItzedkZ1VVZ2zNA2kcQd+4SgSlHFMmxq+NYqCShZKLOQ+f3VAH5goyShpxS
J2SVcuR4sgqH2OrCieoHxOZmFrawOXJMKXJVaDOc20CHSabOUqqrFfJNI+ZKLXJOepKe8T6nedgt
4Mefgfk5q5B/GjWDrl99HBrhkrrXN9UIFzZyUblWP3oZ+lHi9XuWc6OXNDQSZWkjNKUIrZ0G6alG
hahYhGelqV5iQzStR+nWQKoqRl5CNDhnUAOOKsSs7MCeOIhbkc1M2zS+sxC9ymT/Crj3ws2NU8ge
CzThzuQQsxlzUE47ZLOgJdYY4yiALJVTVByPqQxMSx9VJgS3OAFOOgS4soqEGrD4trTUq9bpr0qh
1eV6rXFJkWsZmB06Xq4O3UjF+S2Ww6MkipH7CtRMQ/uLOApJzuJcNg2UFZlSjVA0IJGiu9fls7xy
ngevP0MhgtBfO7UC77IvanPWI2SBdb0104riWx0OTD/NxG3HXSJnPCwkzf02lvG6Q0V5YSfNDWyq
uSZp1iTSa4R+shG4PTbWEy3Rranklz3ydlKKApCydnX9SselC6EvPK/DnjfOmXYR5tKy0pNZDrJn
lfsRrlsVzqVFr6zrsFmi3jA1aGrKHRLYzA7elqrS6Wqqi4Ia7jTVqxNVA+DrDxX1Sawj3ehUKyRQ
VrQz6XrnqtBGLZInerW8jFGiYIedRugODFZtXhqxfYQEoTaD3UGROnIj4deAIDg2yBkYt6nqY90U
BvlpEtATjmow+mp2X1s65Wk1oeGZjGeN0KKKgme49SEEBMwqcmgFfYAmbBq2V2aqfoW1coxN1sqW
mngBXxSAT9Ct2T6GSauzA8ApwC4pT5uZWrjNpAvyYhE2w2lGWWNiasF5FBW3rUkzFK7XjWcije4r
qPHA1W9BDtPUVaZUXIBnlyGy8kk6dQJBrzOk7hTFkPjEN8xo+u9c7CUXM9Cr+evz/2brb5LNx7Nf
/NUfZ79gcqmqoVOL4+j/QaBHw9YAwJeoziELKPhf75mY/IVYgfOYM5lj3tCAVr6f/Q78LwvoLZka
rgM6+dvfqBIaikDs/nD207ZDJY7voklGqeynTAwRZLTxuY3z1vGjahZq2q1nyEilpdJxE3u0TvRx
akgtZea2Oeq7QaE2CKNBaZ3j2ojMaa5pysILhxtbyoplEyLDmSoBuEwzmYdN/uSpvaKQgVA2X5pm
1kgzTWq+VmzWVwOieUuzNF1KB4N5FPbWzCxUlDCttlwb4uQ3gBQtekt5rBHEkdH+XGEMgO5eqFCn
EsIxQd9cDUp/aSF1dVlAX516UWfPyLgQXSZfm8SOKAA2Tj4ZnNyZJNyV3UeL0GuklRJa7jwUQih2
EzwrCO6hoibEaWsWK4ZxABa9fES0VcPeKHJT5dxV8Tjom5R/8510ZSE+N8n5+lHIcJRAZPkWpDlG
IdJBibWYOeh2oAF6HqLj0aPnUZds53Wqbmp64iemEP3I6taYtG54lWEISxB00koycCQT+eogwelv
FMsb2OncbgqEhV6kRQCV5mN17aA5kpNKHhnFeFF20TDT0CXRCuspQ6ekEIIlJcol8PwujNq98Vqa
/x06ay0aJyVaJzKaJ0Qz1PSEDApyNtYyj7P7sIuPUf576IVkyoB2Si9EVJoaAwJUVYzU2eZCZkXR
sQAIhfQKcVEGUocQSxPaLEGA/mEk9FpUhFtsBFwioeTSCU0XxAb6uSR0XhKh+DJW1Z3ZVg8cu9MM
AeN55AXAhrwAYCeCMZlQjkmEhkxvm96sQlYGP2p4amqrTYMWPnM6Yn1g0kLDk7q5yCtEhmWrC+fl
2DzpeX3f+tEzcsn6wtWU55y8jDKuL+QhVYJCmw4l0dvC7EF3jkWFkg/TddlgzQw5Tk8QZVNgauS6
diQ1jrP07CScanbGQsjs3wfU1fSoetRE18YBjzVXwgrAlokYVJqb3O2QTFn7+TRPo3iBTCxYE5c+
GOicaRGwRgBBxliX++PMBc5MmKtNuqFdei3kKt/uz7XWXalGeuH36bkZ2UeSFCwa9QjhO7dbO1yz
0utr3DRqirbWRZSYdxZw2SgFLdxp4TBzw55gWJnKYHKqtL63Yp8+GsjVSRbm6DhbTjnNHHrHdUhJ
NsrX8AiWQEpvK685igrvtE4QfVZUjIphgalxu0KDGpJ35zDb+/48iVWiFjl+8KvgzDApPYAAso7C
wjpVHWCfNabqEhBBuxpU4EoRypfA0SC3KzbqzUpw1ITBqdoEp0qSP8QKuEmb431iKu4t0mV3TVmd
q0mESWeUObM+VExMLlF3LtOaFN8DASY19RJQHTg0c+ynaPledaZ7hyJmiqwRUn9jgEZNzd95SYyf
aB3P8jA6csdyW6SaPldH5MUKR13JVEeJHMxo4jCs07b271RXu6w7xGG0oBnIuit9FrWluYoK+Xdw
7yd6EJwGvk8/Nab8HKf4tyTBw2hqN67Ley/dDMnBOpboTitXhu1QBQDJ6GnppSpBX1RG+3fTaZaE
lMOkSG0X3XCkMPxm6abqTetXmEcijGrRsQ5wTJi4VnIZ41rfW4F07HfxbWDU6Uyu+2NzsOet8J+o
e9WYYmYcg+Lsonms97geyf4aNh0lbFwtZ1IZ/+6N7k2RewQtiiCiB3Avez98LnNKXRlFNtnuxhkU
EHWaUidEpEgaV7WdL6yOivNYjJcDUMa51IJMjhzvuqdb2qhQCt38xHGSdqHn5TFoDwRnFR9sX5Eg
e9SZzTQ2aR7Tlb5HMG1Re/KmqPpg2as+CQEgCbNJblWjPR0tWsBUkuZ6qy9KiIkIrp4EebkK0Tte
YdRN0xNTswmuA8vBUp5GJV8bHns2HlfYKCIsrZTbOgzWdV9sxt6bY/tGT3loprqmPGRwQmFdgvMm
XqVQvrJqhJo8tN9aJgEkQ3ZujKGC2J4ZURrDEbRugCisR93YRjUbZaCZGQLSgohJgbKGLkV8WU7A
Mp2XzugtVb37GjNvQWySxVpd6U9bVZqw0C7pF7fQf8D2y4D8OTvLeRb4uNP5MABggZvntmAFUGRT
l2VVYnGnXBtocU3xn7lVrPoBBSJaFewLk6pmakCbUNhBlAWOcI+aa/fLEstJ7u+xDCEDp3b2jDcf
+jMhJXvk30iaotDAg6i44MyDEsvPutw/qQUJom7pdQlahJM0z64gSshW8ayhFhyGTjV1BZmiRvFA
EfQKXRAtHEG58HrSVVfQMFhlxdS1jTMfQieJAmQNibZjBntjMAofR5dHvBhIh+F3DILoEUjhN1wT
noTfkAYle+m60BLDgXfgtteKkSsAJgvreJSso7z2OYpTgLMxoREuSOMAvlKpzlH0nXlDAnQ8ysgr
6ftZ9PcrCXigFiRT4PO/21JKM1F3Hjoh6ysVkE9oBSGrAckv96R7GTbdJejANbt55bhrvfWXfkC4
PIU/YB/Bs3MKUNNx5puTMpDBDOMmSsIPuaLwT/8dR7/G0YSVv4ijm3hTbnfE0fzVexyNmgv0PJaB
hmLCa0T83m1/MeXUkFAwcPCTv+9oaOYXcPeC0wRiiiBWpbL1HkcbX8CFEQERlbPyTVw+/0YcrdpC
yPL7OJovpmOCy4Dom0B6ohnzfQ2NiolcpEmGLWecsRlBZqU4ixlfRC0ZG+DZUMbQWN1gOmTuOijt
bmYoHfpvaXuRVNmRRbseqgBsOuEEVknBid8A9LZge2ZApWQ5em7hIqDN2oJelgB8uJ26RqcOcLxs
etOkEn1++Y698Zta6fdOgSCi7TvEPUKP1pHGRaxLEsR7HwlCdGEQdyO6ycOvhp1+y4fstvVh8GR1
hTOWaX4tkTlKAQrUjnSHZ9aJD28RYMy6jfzTOgu+VRmOo4FjXZSagQuGZ88THowGMsIlEEKPGyV7
SAZ5mMMqpZ+Oa9e0iDtYpN3toOblHOWqha6DnlFDnAhw+43RVLSfCx8tX4y3Tqs6vulgUk1tz5gb
kX2VBc5zUTkXoLeQlixgusheWM/djrZG3t7LUfrk1tmDW6jnVZY+0R0DMxOV3rxJO3ZrK0HixVkJ
bVE99L7FKjztPLbzWYclCttg9tQpzhq1rXqWDECjcmoJs0FPCHkLtkaKe6f4Px8XunsKBWE2ciIB
We8Wctkde46zEvTtYWzRYAy3VlLeaCgeoBd1n3gjAsGi98JLcmSE/rrOopYgwwlS+8K8JPhd+07/
OyWlbEaZcpnJrjxtyhARVFm90z3jSq8HxGWC6Eb31N8b1WyPhkD8uQFdRNeae0zJV1XmU980TIpd
kNFJlEKSrfgBqF4EJa6hlWzICKla8bRQavwGdAnrrWghWzkUcVteFrWP7VkEOb3JeWtJrXZT1TDh
2hFBFWgEmEEFWK4CwQ5I/xj2G3VcaicToxuvrNhYdimFNhDTiLq6gk9FFkRwQkNnrMIZJyIRCL2V
qT0yiYeKd5iouTfvyvEaYQ2+NbUBdrcLV26uR1s7DroI1oBKVlUVrjfzYvANyBI81Vl/b8ObnFhm
/igrGTKImTstu76HaRaA2SvBkEj+Ssa+ZCZZYMFkOVuag7xUZGTNEOdwVhRih4nW2tskLE4hSLWT
vArzOYy5I9MbBnx6gK+AXca8BMM4Fc9PZmNC7aV+rEgkMclSTFzM8vECgqN6oqcRYRnsYu8oVh1f
m0VRd6faUdnOS6nyg68Mg1tjcm8BeTMDQ1uYbiKnNxY0mmym1/kIjruMK38K/cS64JAMzIuhgJ+t
Fb33EDT5vIqZQhOh/nOWVxU8POIpu+snMnUk3yIK8wtZSFUY/SXaIYjgFoE2761WQ8sU9dEZyVNV
HDWWjPBEEUCqnoIXivGnGzQI8fFllpl9gcSTpt5HHcnPOk7zhn0m9sGwmNaT7DW4FmH9VyJSC4zD
EQYbulHgX6Fa3o1cW3H1oLqtBxBcGymawvcx3W+REfj6WlbLRCIP75v832Wn17aTQb/8V8cliP4k
3XVg8nd/HJjOF8WB+oYmoYJZtEBevx+YqvzFpKZkWvSdfjow7S+In2lQmhAw5VcEcfj9wERhkX/g
0ASS/QIG+DsHpvkTPA2kG40mAGq0GcAUaC/wue8PTKU1mBbAzM5Hwz/WKBHpLdK7PWtpTMNs0RrQ
IxGJXuPqDL1M01dyoyyDvD73aV6kcThDVP0yRSml0ZTjrso3UaM/uFWMeli97keFBoa+Gn2MCSMp
G6Y+vtTgki9bwsy5mSTY+5nmVEe9eOLGzMyRdXCSDLE6iSMOCTup07tM80+aJrNPUy25sH0OCoJe
eTJa0hR/z0dTMhaaq5CdZ+d5SXE4d8L7TmlxCkoJ5qHksZUAuI3wMThvzOzZzDLoXZQf0PC34EK2
kXJkDPZpXVtHmpvcwHncDvq4rnTnMXarG2oBGagwb5mZzYlpsE9krXluZNZxXKN04/jGrQbFf8zq
b51vLqqWjbRUJJRjHftCd0rq4BhadNFZ2IULuiguWCTAZKjIAckppTsnKSk/jflMNsJTv0Qje8wH
ZG0izn7MH2HBjHCbTSdZSKHzrecMRd/yVG/s7CwvLuVMWySQn8jCzi3DWTRaTykOJesQ9LZWKhtN
8eGISPet7t6RSi7MBtKp03bGir3nMRia25y23CwZkZtR+vBsaBm6Imou5d6FLRiZyddCPwKOZtcQ
vz3aiYXVnnky/iIddbPEMLvp0LTXPuqx/HewgJEWz+oi/dpwGy72R9MogDqld9nSCGTGxlYo5Q8n
Rct7CEPMyULZjmfZYMsTfBCuAjs76Tr3WS84FQPTvNEz80qidDtFBPfUwQMNkraFxk1OgYWs/ErC
PtIIax3EPIzIvghvbDd9suVglrrJJcjJ5zAtv3oOERgcfeh6PNQqd5UOeX9OSVJyb0qmvdB0AdOz
3CmxYwQkuAFGIAw/oqWst6tIRec2bfqBEkGzpZ+az3QTXwIO7/sMyWxHyeNT32C0ixiaJqUMQMY9
Hl5aBSxToqs0GXuISyb+r2tAjbfFGMHvbOBByhCTskBSUOnFHitpqJrGJboeQLapyUQLJF3uA9M6
hep/hTFqMLUCJ5lKyjgukxTeZYpA+MIZYCIBJvyWp8W13fLijc7DDnbEOd7FnkxSZlprYD5iXzWd
u+o0KrKK6x5ZRHwTg0k/ATG76EdbcHTJRVUvqiZ5RxQWFrh8SOOw8bQR8WbyOpi0/HUtlcd1K83k
iEL0QFNTER0fkoNlMKrJfIiu6A7jgQfB2hs3UjRs6ta88fr2JoqVWdPbF5EKvaHz6Bii9o4bTCB9
BXQCwRCNGmEb5Q+teYw2HpGgiJcaA18NwDEb3utwrFcGWmK5PomQPZipkr5V+2ody9K6l+t0jhVI
OpeHcUMXbDXktTGlFj7wugKK0J2F3GsJNVItuuvE6jJ8KWplifE4UaEG+bVrcRvsGmYg//67GhMq
DUbs0lgTdepYuoIrv60SpoRuJgEYP+s2L4uzKobGgab/Ns/lc0vqFlUIg1VSY31OAKwuTIXKpzyW
p66C8Fmq87YZ8RPU7SGpp8ympk4f9CQmZZfYg73AdqZtC40uHryVq5v9KlOGTWHC53DYGmE9Lgqk
lmhC6eux9s8rYTkGAcgG+6ldd2HSAbvNLopKXoalfpOP7JWZcq14BZXAETCwnFkbD7/f3PRp2+vB
rAtkbHbl5lYyR2WKXKtQokcBoDSY1FHlPrTm+FDWsLsr3Vt5sbQCu9oI4x2E/OvmOreVBC1q3q8m
oQ6nlXjbglQUIuePAGvYKjBv8Z1zNrqlV/jJRNWrG0QWv0ZqfVcWWLXEUXOnO6NMxbNT4GWr/gnR
azsLbN+YIuUr2DWAizCcOSqr8Do1teWY0wV2I+Whi3p54sThwsATELHJSGBrTQI79WtrXnbV8eje
d2g0+NolXP8JmLivkBlvA0TTTCWtl2aa4VOIJkUeK9VKDs2twkY/V3rnAvowSxtRjJWEtDyR7xhA
RKBMHuj4vzvdaZXHtIbVldXHbL+4A4+Dcg0q6MTPKKdAMLizapjoclEfF/WZwArUBrQZz0KQC37J
LM6cYKliTzg1yuBOGcZlHJfhKYR+iktSuXYGS1ogVRUttLoPJyPCFbA0YDsbbjLvcu8YAVacy/C+
A56bedDch0bDDLjPtjbmsesurYH3QU4xrLswS7pliawPXZZiHM4UOOBTv+I9WzBkVp5dE1S6Agde
Hbv16JwrwM3P5ZEqpAs24qgFCBBTBLM3jT7QHOl7lf0YP08OjxCwmrdIDGUNguWI3ejYJOGObB0N
C9yRKX/qOAZaOTtEWyDzUEkryI5nul55q9SXt9ogb93Be+TIQULM77E7hKJso0CEV7WGOgBoQyWb
RX2McmiECILnL8nkVLxzqRMjo3qPqlG7HJQ6nHfUvAoYVXCJceFrJUJuy8TqF4jEYy0fK7p7FbnW
SpI6FbYHyXXeu9OgSZRpFMu3DD+nuBJv8z48blXPWuRARcrKXIZ2BeYX4NiCdJ9UqpTzWRCj+KUU
3X1a41zYx9cGOlNmbNwmTkEmEcLRH6OjTjcXZRBfgJZJUCroF0qd30DmemJzvaidLp3GPlMgMIsr
APYLNjiU0HWwmI5SnaU+3XNrVFapWauUFJNzSpoDTTEfAyAnGuZlXzMfwOOgbj3iNmBW86RH/DQ3
9WoSZOpmrNCAiDsAj9BOJ8jhnhHk3pdlftpbsQWrWZorAQKrnf3A0YJ8gHpVFu0JK3cFAkqGPOCL
nhecrADcgcJRGymngVufuHF2R7XwvnPRAkQj765S+3VG9oNRGAjIUAIG4RjeV8oRWA1L8dEYHJd6
uYb+v8g7lYZNYF/6Bmq0pmTeNnm7HnuME9LgMdYNpMhQwai04bTt7WY1lAMtp95cJ4qNd2jCRij5
S9kIIBEZ+irK1NNOHk+aUtPgZoFGMGF9hV2SXGgukipoKUjIlpXqDM+GkYSWbLLTVURTknSY5pWl
z+2xXFU0wmalHD5aHTGM3TcXVl5pS6fE+8Rzquo0KWDfFVp3EkMHYlNyl1GM1qLzAmNSXyBNwBmA
N5m1dAxqNlmafnbkvICg4hdA1PgCjvr/Ur18ozTNNvVmniJEMFw223K42lak0NV7WU/89CJDvuMm
+2e/9OsL/bZ9+eabId/+539snmGszIKqLoOnWlQxX3529Pyf//Ga4Knod/2Q4L3c2Mtd//I68Yan
a575BuCBKtA/XVG5oviQ3+GR4b39WFKQhgJjrUMDeq29fjdGfzUKv37A1+H89e/89c1/PwYGhdp/
8Pw84J+PD48KTAUodfT+xQeExA+PT1GY5FdF5kqBfMfn+7n8q6nw6wfcbxA+zAR4YP9kJLjOD0MB
aJPatolqufgA8fhhKMRMYKZgj3CQY0Al4GeUzT9ZDdAZcL8zxIjyodD/wxgwHSw+kI5B2bDy/o9X
w4eJwCAwg/feEgQqWMYF46enp+BDrUd1NOSk3xbLYY7B6wx9VVb8Y5H+rW0R/zIFUgnic7snAsra
BhsHkgSv4314E0HgwPacCAyCiTw4E+HldX88G+Qv/BCSjyjD8TnUodA+Y3PU8d5AfYIzR3x2bY4q
uHeHBuBhbgzqz8Xgv707ovmoOy+tSQq34kP08cPuyP4AI4slo7x+1+EtCjGF91wUtqiHq1SwaQeL
jzhEfwiYqIrboCphpB3oTJCpxu89CDLdaZh/aIOLz8/nJLEC1BIbDSJ+cphnxGdsj6p4z0QLfzET
BBHSBir5RsU8vOWg7T8IOho7tqbYGiYT4vNz/gDggs6M7FiHGTnz6vbOodgXLYPDQRVLQnw+HA76
F1XWNSLnQw2d9f1PSPqEmqqyMb4lSh+2BAUhYUPRdXFsHOaWwHvbe19Euck01LcUSmRlPx8O7JjQ
44RYFZ9DDRaU1xvbJ4JWIRiotgEo6uVJP24MBtElhF4ETg56KASNcc9ZAXyMNjmP+rY0fp4VIqvE
IwcZmNeT+fAOCvkz9gdhrqagwfTzmiBWAJNnacah7o7K3oUFhA9ACLL5fXx6DlATvU0SqdfD40A3
xw8Upr+fPshfWOt4C7yfED8vA1Fg0nSFrBqvKD6Hujm+hXN7bI4iYtAEnOa91rZjKNBbQgtQGEkc
5GGp7F9jQahKRk5Rtt5qLD8PgiJSLUxQIZUd6CB8UAD724sCaDE0PBC/AgwlPh/CJpIIaHXw9A41
bHqrgO2xHDRiRzEHcJN4Wfhi5f8YNmkE0KiAayK0PszlsH9hwfiiQcSk4vgaD30YBKIEkXQTZR/s
IOyfTppfeDy6DPpbne3DnkA/hp+RZRzqILy9nf2Wg4roM4zZt8LCzzk1xWdoITqFtkPdE94C2f0G
gZQZCUO6DS+fD3U29Qu8C8UE73Cge4L+GfnkmzbLW7Hxw0wgy1KAsFKcPtBB0F7fzj4zAYXnFxsh
uOWvn59PB9yLVJlw6q3Of3jpE8rTe+aQJBA6XUnh8fr6+TATKDvzY6ECdKAz4a0evs9MAKxABclG
sOB1ED7ECQRLukM36mBr70I+dc9qwsuSBwktWGg/REmUWjGes6nFvh2eBzoRhAzFnmOgweKTsad7
C5U+xkoWwRQ67UgMHuggvMUv+6wG/Qu5tKrZ77HSh/nAcoGGoVucouJzsPn0/vOB181zEiq8HRE/
DwURE1mkQsh0qBU2oea256KA2mphjmDIb9XnD4OAiQKdGmz7+MlhZlGvN7bPoiCfFn6FKsPwPul/
2CTpUVNUIV56G/DDCxbUvauNmoUaoM4QwNfaOQikko6JXhBWFu8R1UHOh7d+2T7zgZ1BRlgdjMrr
k35YFARWWKaxR76CXA51k/zA5fv7pSZBfRcsOUAcO2cFSwOwj6LANjnQ/UHdv8AgQkjB1n/PJYiW
f9gfWBo4NaIq/NbyOMD9Yf8Q0vyCjKiIov8qraRXS1YJrfJQWzLG3jGDaMlQa+K8fKu8/jwTaEcI
3DNedoe6J4gMYM+YARVv0Y5G3nv39khOgaQsxeeDjR7V/QMn+wvrXQzD28b4Ibem3ibUPZBnPOjj
Uts/ciAwQFoYAMNbq/rDokDBnXFC8P1QA2lt/8aU/cVALpEg8S06+jAIAggp/ke5XnwOdX/Q958P
uiitiZThr6ELeEfStQXm9vI50MhBONnvuVUKXx3KTyQXf+wCP0QO5Ji6rMp0+Q+1IK0xkfccBGJI
TkxdZVa8fHZslbi9EWI6r/nXoS4N4Vex51AYEKMwhWY7fB0KHvXH+UBFlvoUFIFDrUHpey8Kgiio
MBQdtb9CQ6vkFCBEGakD3Rk+aPP/k8QK3QnwS+ZftaqIH9DnBS39OusOL6d4g17tk2jTudXQewGo
sHs5iMTKEUW4t0z2AAdh/+wSoC98GE3+K1z8yyAQSJpvqMIDHIT9s0ub7BJMD7nTzzsisCeEFRUA
bwe6GRh7N+pesCwKWE8qCC+fD31r4feHqR+75r8+CP/CPPmDoDz1g/j5hZqMGu8uBvNf/cI7ZfXj
z78jHr+Qbn/4TUFVfv3yP6nL//Ujc/mFJ/ndT995ky/f9Pb3b4/48ct/+LL353r/x1WwLTflkz+8
/GB4u9GzTQK3+b9j/u958z1lWNCmRab7/m+7adZ/BAa/vjrio9v3C/3JyRYs1D8f9SOH+1+7eLJ5
zsr3C313cRbO3hef4FSx68aZqXtfe7qJNy2vpHq/1nf3znzf//pollUfXimxJnv3J1w8rUs8O7Oq
3vUVbGd7f8VsG/92lpU7x5+9Z+/rz+PfZlnJ5Hm/1nfjT/S/9/UXJQrfuy5OZLP3xZfxNk3fr/Pd
jX/Gcl01yWMWP9cfLy/Q3Xvf+lGSb8tgE79f6s+7F1SK/S+fDjsGXWBw9770ybbcMeaCwbn/pYPU
27ERKJ+xVk830Y49TODO9r7t001VbXeNyWcs0NOs+u2/U28bb3eNzGcs0fXmmQ34fRy+m4ifsUTX
mzLYNTSfsUTFtZGm2nHroiW692tdb9Pn7CnYtXsJCPMnXL982j6/X+jPcRdNzP0vnnHv79f57tqf
sUzX2c4x+YxVyqXrbbkddtz5Z6zUs02+a7Z8xjo927abj7GjgcPO+7PsETuelxu2gPcLffc6P2OJ
XsSbp+2O2FGUofaehxeoae0K7kTrYe+LXwWEjlXwvGNkBGZs7+tfb55KUoK03nGWirbBJ3xB+ttk
i270ri/4jKV6vRFfUKab8nnnRiYI3Z/yFLNg6+16iM9YteIhFqyAp6B62vUdn7F8xXccZ5ui2XVa
iTr4p4zSaRNUv50/BlW+6zk+YzGL51hv6u2u63/Geub69ea3yaZ83OyKGUQH6TNGiu+YYs6wY7MW
eimf9Q1lM75f7M89VXC09v8Cf7MzJxQV9P0vTg1j59B8ymL+tdH3L8Tm/qVCxXUWb3ZFD6IHtv/A
EJjsMsYTxIr9L/6/ue7uPTSizLLjHBZaC3vf/S89A/e98xtifNQP32/zz7UkUDf73/qvbFr2vvXm
l6L2+17+K0/f7Fqrxmes1Ycs3rHPC8n7vQf9oXncsfmKcvf/culdZdk/dO8+FmvfhQ13/dmPtWjx
G0/xdlP+1/8AAAD//w==</cx:binary>
              </cx:geoCache>
            </cx:geography>
          </cx:layoutPr>
          <cx:valueColors>
            <cx:minColor>
              <a:schemeClr val="accent5">
                <a:lumMod val="20000"/>
                <a:lumOff val="80000"/>
              </a:schemeClr>
            </cx:minColor>
            <cx:maxColor>
              <a:schemeClr val="accent5">
                <a:lumMod val="75000"/>
              </a:schemeClr>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series layoutId="regionMap" uniqueId="{00000000-D65F-4739-9856-83A347D1B901}">
          <cx:dataId val="0"/>
          <cx:layoutPr>
            <cx:geography cultureLanguage="en-US" cultureRegion="EC" attribution="Powered by Bing">
              <cx:geoCache provider="{E9337A44-BEBE-4D9F-B70C-5C5E7DAFC167}">
                <cx:binary>7H1pb9w4s+5fCfL5ykNS3PTinQMMpd68b3GWL0Lb7kjURu3br7/VdpKTbrff0wZiXJzG7QxmxlEX
XdIjVj1VLBb//dD/6yFZLcsPfZpk1b8e+r8/hnWd/+uvv6qHcJUuq6NUP5SmMt/roweT/mW+f9cP
q78ey2Wns+AvgjD96yFclvWq//hf/4bRgpU5NQ/LWpvsqlmVw/WqapK6+g/Xdl76sHxMdebpqi71
Q43//uguE/3dlJlefty8Rv7+eLYsdW6q5QfXNFk9fPywympdD7dDvvr748ZA5OOHv7Z/3wvdPiSg
ft08grAtjqikRDBJ0NMHf/yQmCz4cdnC2DlyOBWSCOQ8fX7+8vNlCvJv0exJr+XjY7mqKrjFp//u
GGHjfuC5/LPH83hYP5c1FgHA8vfHT5muV48fbuplvao+ftCVeXpw5eCa9U1/unl6Sn9tovlf/976
C3huW3/zG+DbD/l/urSJ6f+A9z8JPNzH94FbIiqJ5PYzmmILbkKOiCBUcHiRnl+yZ5zfoNFumLcH
2APlbZEDA/nMPJqHPz+jKT6iDnKYg/kzxHwbYnTEKGHUwfYmxnsrtBvhTfE98N0UODB0/0lyna3+
PLy2POKOzTgGAJ8+cgteMNgCPowJugnv/hrtxndLfg+AtyQODOGzVQYTWGfmHUB2jvAaXiHwbq9M
7COCBLdtBwz473b6TUrtxvnlEHtA/VLowNAGerZsV+Wyege05RF2OMFEiGe0wfducDCCjrhEDrEp
2PLf0X6TUrvRfjnEHmi/FDowtG+WDyVQsKx+j8ktj5gAG04B0qfPCw629uDrPzb9Scl/B/1tuu1G
fccYe8C+Q+rAcL8ol1nwHl7bPhIOplLy17y2OJLMRg5HEID9jvb+Gu1Gekt+D5S3JA4M4X/S5aMp
38WI2xA2ISKBdm1bbyEIcQDdXdN5f4V2A7wlvwfAWxIHBrBq6vo9ZrBzxDB4YPQa7yb4iDHKMSZb
M3hvhXbjuym+B7ybAgeG7jrflL3D7BVHjqBMMPQjL7IdVUFehNlYcuHAld/t894K7UZ3U3wPdDcF
Dgxd10AWbwnwVvX6380fznXKI4Sl49i2eCZeO0DGQMuYwFsgv1Wv3VjvHGUPyHfKHRzySfMu+W0H
AmWInCBf8kpsRY4QkjZ3KNuc2K7ZV6PX0N6Q3wvnDYkDQ/gmXL7LrKaQzhSU29J+LXomR7bESEqy
FT3vr9FuhLfk90B4S+LAEPZWyYdzAytlf950Q1JbMAo0em2/158XMTOFeU5tWLfYWrh4k1K7cX45
xB5QvxQ6MLQnyQfPlBBM/Xm0IcctiMMZ+UHGHGdHSOWs42nGd4VUb1JtN+Yvh9gD85dCB4b5FJZu
3yXfzY+EjTljsNz8/NkCfL2oIRn8wVteen+NduO8Jb8HyFsSB4bwLFll7xFfQfRMEMPO2gdvZkcI
JL8lFjbbMtx7a7Ib2E3xPXDdFDgwWOdNem+Sx/rP22qgX0JyTOlLZOkR5thGUG3wc07/Hji/RaXd
EL8YYQ+UX8gcGNB38IibpxD6TwfPQLAkBEroteAZTDTkODHiaCt4foNKu3HeHmAPmLdFDgzlRZqv
Sr1M/vx0tgksVBDJKCD59IEakQ17jdkRA0fNMOS615+tZOdbNNuN9osR9oD7hcyh4Z0N70Gz+ZFE
BPyy+LEotU2z8Xph2uFcyq0pvdhTn1cQ/l16H3R///6BIQslipmukmXzHnUF4ohTBMyK209TFb2o
K8CQ+yIU8qFb+L5Nq90o7xhjD6x3SB0a4iZZvksMJY8Ig5BYiB9og2XesNywhIGoIxnariK52Vuj
V5DelN8H5U2JA0P4MmmgrvwdfDOUYttcQFrkR5T8IgmGjhwqofTT3oqS99doN8Jb8nsgvCVxYAif
rMr3CJLZkS2eVpifqdWaW23MYKDY6wUsbJOtqr999dmN7ob0HthufP/QkIVNH+8xdfkRgAaF9ZS9
muDicA2KB7ah3VehV7DdEN8H3A2BA0P3ZpmtF5bLZnwH68zXJQSYop9198CpNmbv2v8SKREUeW2u
NL5Nq9047xhjD7B3SB0Y4qfL+B2Wo2wwxBAhw5ao15g1OXIww1yKLaz31Wc3yhvSe+C78f2DQ7aq
Vu/ghSGhSWFzhXR+bIhD2xmQdTU2XKZQDLQ5j0+X+2r0Grob8nvhuyFxaAib6sM/UI6brN7DI9Mj
xAix5U+PvG2uIfmxDo2pgGm+I9F1+jblXkF8xyD7wL5D7MCwv9FVrAfT/Hk/vS4lsDHsd/25BXI7
6wV+mkPOhCG+tT/uLTrtxvvFCHuA/ULmwJA+Wz7Ctpo/j7MNfIwTWFaEos6fE3iTj6EjgBh2P2N4
A35fmdpfo90ob8nvgfGWxKEhvCofYDe2+8frOcWRjbjDJf+xwLhtwsFTU4kdsOA7N9Kc7a3XKzhv
yu+D86bEgeH81STvsUoBG14FrFBA5f12QAWWXIB/hlXmzQm8ryK7Yd2Q3gPUje8fGKSXyfJh9T67
ZaTztCPqeU/MS5INSxNivQhJfuVLfjfR++u1G+Mt+T1Q3pI4MJzPzLstSTAoD/lhn19Uba5rBiAl
4kAgvTmD99VnN7ob0ntgu/H9A0P2tkmW5XukQCCjaSMMQfKPGbwjWU0cWDnGbItG76/RbnS35PfA
d0viwBCGt7delavhHQgWB9cLztdGP0rrX6RC8BFnHIrvt9vFvEWn3Si/GGEPnF/IHBjS58v8PQIl
SHQ4sDQBaw/PgdILlKEnEOS7EMTMm1Z6X312I7whvQe6G98/NGRX7fJd+j2Bg+VEQNnejyD4BbbA
szDsfaLbixLne2v0Crqb8vvguylxYAhfa+geUunH93DF9pEjEbPtH8vGL9eNIVCG3iKwtrhFs96k
1G6cXw6xB9QvhQ4MbVhY+6BW0IXuPQJiKNtjUOoDua1fsdFmYgv6hyCCoCh7a/HpbVrtxnvHGHsA
vkPqwBC/hX3p0JLxz5OwdYE91A7A3vQf/dxeVP3AWiM4Zwx7XDfd8xtU2o319gB7AL0tcmAo36yb
S7xHPgQaftmEQA+oH6VdL1KZwLTX5X0v/PT+Gu3GeEt+D4i3JA4N4SfLXWbL8vF9WrvBrhjYRoEl
RM9Pn21GhgXQcYogO7Y5m59N6FsUewXw3Te4D/C7JQ/wBfD0KngPzw2bKzAYcthgsZXKBtAxbGGH
t+KHT3+J/d46vQ775hB7Ir4p9L8A7P+s4sZdr9vw/vPzUe/opvz2ZsrQV5VzB7+eE+NYEIFhzfHp
8/N3PzfZhbZ6v1pAP2e7d+m0G9/fZTfu8fkW//ND+V/XIPkG8tXp++RCqO1wSIe8lvF6msKcwrLx
Jnb7a7Qbvy35HRBu/BU0Bd+SODSEwdlMoRvfg64ezM9HvWM6QErqrQ3PBdRgCshMvxI9kSMKXd+Z
tHc44F8a7cPzXwH69xv7NcwGuLubnq8JwMvff3iwQ4WuWpb3y3cpCqFrcNdtvH4YYMB4I3aGFSnu
SJtCNLXLQgMGb1Pv1XdgxzD7vQM7BA/vHfhwbJZF816d3oCCUQLvwU7+DX38iAOF+o7znDLdCqrX
s/ANyr2K/4tB9kP/hdgBYn/a6OrDxb2u8vfg4AwWMwiHnDd4gfVne91yXd4LiVTo47jD/r9RtdfR
3zXQnm/ALtEDfAvO4OyO98D/6cATIWCP3LOB35FOg5oEaL9Od8z8vZV6HfnNIfbEfFPowNC+XYXL
9yDzkDmFLgUcyrxfcfZQ6QsdXSFNvi5jeDYFvxcZ7a/XbrS35PeAekviwHB+Jk8u1KO8R+QGa1xQ
rA8bcl4rBsVH62oUWOrc2hz7RrV2Y71rkD0A3yV2aKjrVfkugENLKY5s6C70XNz7soQQHcFFIPuw
5X3H7L7ZW69XEN+U3wfsTYkDw/m2gYap6bsceQPNmSXkxIGTPwG5i7LBe4CxJJBM37Dgb9BpN8ov
7moPnF/IHBjSX5v79zDg6zNvMDQWgmrQp8+ObiUM9lNKKDfbRHlffXYjvCG9B7ob3/9/gezrZ9L9
OujPW9bLydMRgb8dS/efrz49HDjbcEv0x3TanXh7nmqLx78/QuWYDVYWljV+JePWA21MxufGiT+h
25RaQW/gvz/CaYPyCKpYGOySFtAKAVEg593q+RLEZQ6WUKcGHcbgGwyiswyazYZPZxjCz8KGxgjQ
CRhaxIIalWmeLrEjB7aIYFg+J1D/ss7a/rzRS5MMgcl+PZUfP3/ImvTS6Kyu/v4IG/Y/fsifv7fW
lyFYuuEMOpNKWMdxGFunCPOH5fV6zzw8hP8Tpwl2+toX535fHQd10WZndUcG7kZpm+fGy3QzzmRX
VW4Z5Hl5NyZ+jD3jZHl4Ukfh196ubtKwGLywymK3q5tZ0QVePAZaYZQRz+CEK+NE9/C0tbIzpieD
VRVeNrJzOEOodnlifTVdep2l8eeuMTi+qkUe3sSxnjtdrzLhN25iVSpA2jqP/Ux2qmiLSZlawdch
r8NL3w81vwyTQVyyTFahSzt/tBWHMy6Nx/wUZbdcWPbUL52wm1Q99uuLwqpCfdfQtGonSdx9jokT
2l4Vm7kOo2iYE1SedRE97hp2zQI6eL7I7tCY3DZU28qE+QOROlU8bO7TetRuWUcTyMDdh1k0qtKi
57whn3nf3zWhZq7dWadWa3lWSjMV6EormufYk0OHVZUJOsE0/Ex8W7opj7+RgN3EsruIopx5g6Uf
odbxNm3oCtFIT6oUHgqT9ZWw41wFfVvMOxhfkSCPvw12UKi403M0Op1XFGGh0kTeFgkmU5PFmcrs
2lJ9ROZhHaisbUsv7fTCDu1IsTQUKivFqCoUZxMSFckkRsOxnZMrnzSpO9ohURklcxMP2CUy7lxn
6MliaDFTVoMekXE82VSpa/nMn8SimqWZswxCcwLLEyeV7ZSulpal7NG5EX7Suk5YTXvfemTOOE1Q
v8j9/Dwoea5av/TycuTzNKtDVfn599pYpeK6i1VjpQ9d6PReO2Rf4JWuFXFaMee0jqfwel1RXNSq
lua8ZpGl6OhfJk59xQKjVRDiaz+3LLdJRKhQXzI3Ym3lwvvmhcx8aSJSKhPUxzUgWFfNlBWhnvWM
joqjwkzGjC7SdrjoC/YZV/W5U+vbqDaxq1F1lwbhdUhD7eWomeGAW4uI17Zqw/J6EP4t6tDVWDQw
RbDOvQF3gXK0Hjxc+peNP86HxLcWdm89lIUVeojm8WxgPlIjdhK3a9LUC1g1kwJRD9NhPDa5uIgG
M0yNZJ2bN5ntpm1Sq4J2pyzGj0mij3UjEw9K+M54lJdKI3EC+1PxDDlJooagcDFMAI/iaFmivJsO
Tn3hlPRLa4XITeHNUtGQcjds7O/p0Iwqzs11M+Zu3Yj5CE9GCdGPimZmdOu4/US6MZtbFN5OP8g7
VSV6lQxknDVCfGEdu4Fa3X7Rmli7SUkWkMqyPVvK07C1iOK0kC5KKZ12RXShA+5xK75Ok/Y8COHd
7kKBVRfFE506lyTIiimH82tnXd7ZXlH2gyoyftvhonVRib77hH5DdvIA9n1RdDZSOqiZ8i2yopV1
V0XCcdM0vUu7mkyI09wMQ41nmqdfzUBPmGUG1io5hBU9FrTnV3YkcwGn3qLBHcLi3u4yzxBWwCwX
uWpYccatvp6MsZmxdrwvbfK1kI49d1DWq9wRl2PTZp6sQ+nRknO4VTtTTjg8+INfLZCob8KsTlyZ
o2Q+IDOoRsSRm4b2t5zTmzqtpduFMp7ixu+8sokjL8rzzM00Om+b3ExiZq/acXC8jPGzKCKt1/pG
zOM4c9zWoolymsJRKeps1dHuwWphJuOK2nPkd+xc90yrtip6T1ok9GxSXHcZr44HKeoJHttJrLMe
cNLTOrAHT7No8IYozM9S0S2G1P+WZn3vpRZNJ9AsJlC9DW9rXkYPXGRC5X40TljmTwNqD3OelcXC
5HQah0R7oeDJVMoxVWAPx1kWFd9KyaZZac2Czp/BzsvwKrQ0d5nRjhqqDimnTp1pb2VGcTb4Vzwj
+VQUeFEE9mkkdDCt00jOqqINvA5WzFy/HYbjsGke4wJF0zCv7WOS25HL8rGZxH2QzcMsGz+NXQrY
dIM1ZTIwysoA14CkYBHrdmGnfqnAyY9uwtqTIHGOfWc8sfSYehLn5dSPx6sy9b0gFDfSEvx0rIpC
hc0YqqYdLvMmvM3IOIBDxMk0t0utmtAq3ciuH3iRtiqFxgyzXta9O+CgdiUZe4WT8LLW5DLzR+TF
RrezPB9P7No/9RPbi4vxsi2reGJHBfKI33GlRXnusOhBZul9Uvk9vEOOrzi3mJdY7NjYcpj4PGjd
YCwShVB3h5t4aWLrMin1TRxYxl1XX06iEnNV0nyVjOJ7kCI6rW1aeaWmMKQmmdcl6GuurVS1jT73
ncZMYb9b63VF6bvGj08ymaJ51EfBXREmnu78r5zUkSIwdUWSfi/T+iuzLcXC+jxv4VWmdfrgM+JM
sKNj5aTJXWOkVkbrVhHLuhpRjjwr0Wc4Z74yJj5JSmAiFHwqs1owYBivelnNReOfSn9IZ0gPx4mf
OV4RWypi2ed0KM/7jGSKD2mqyoi6AOhxUeETlqSPVi6/d73VKN6ZRVZYc7+KVtJqp1Vj6lkl8kmV
w9XOWHcoQqdjcJJGoSobscireOk00X1YgfFtLaSiUiwa7a/fGhm4FS+Px6qbJiIGeFJLqyivTvoR
3mftk3JKCF3ZyNiKMHGjowC+DAa8TfGpLhOsKDKBi2HazYC5fQMGttC9mRbAdJRd8+ORmdRtcn3B
C6l8p/uMbRg8743q/Ogk7ng4s9P6gQbO50D4mZunxTkS6eWaxGAbHJ6TBTMW4tQbpH3ex/pT2XWh
yiukXSsvLnPtnA7EdzybF9eNVXZKRAy7I01njelHryXRhOMuVcbOparSNJhqH6ZONtpgLMrhJm0L
uDWZtZMQeKeSiZ5Ymb1mD+VC2OFxN0TfQ8z0NOjkxYCjmRlnlRN7RM7KIfNwfyqt+DZM2lhZlKYu
kmwWRW2uBgFExh7vbdlNeRfcS65PKWlKoBwoBLCKpTGkVT3pIgaOuC1PYPrcBkOfK13LO5wL1XOj
ZFVO5NwOkjkxyaKtY8+Xdn6V8TIdXJRp3k00Zdj6HLbGILcnWVUexz3csq1018p2apLWGq4GQCdD
TFse9U2gglF02pNOfGw6BFrEFsw2q5yNTtCo0lhTS0S5l8VWN9XUeDSNG89vzRdf4nGSybZQ7RDg
SUKiT3aZ3XSU99PKpt+LqPxMtWAqBeJl+bqeQse8RSjoMs/6y147TIUij91Q16kLvKty45gWinUt
VtZgenAnA/BCBI6tApcG+K2xA27eOIMKnPC0KDFVSU69vhbnba0vnEacwtlRjsqqaImdwasceorH
AdiNye/BtwwKSIQbZ/JTpTU9rhu0Gv02m40R4mpo5Zy2zWXBxxBI3jjrIZRQwGs6j/vZY9mlc5uH
lsuQGadFxU9pkVyTuIUAULQuS003B7t76nT2TAwMnB2rqnnTwoyOCPxCVoZuTJNKVbgFejNyNebR
LCfAdh0cf4sL7dLwIs5jsACD6np7wcrKVo5sz60qK1SW1xcpix7zoYxVgAe3G/S5CdA5c4ZpkrXn
lFzwOlXWWHhlaQXHLTKf4y5Y1KH+Wov6U+6YUkUjmshy1nNx0weVC7z3fCjIN53juVNZYBnTYDEO
YlxETfINFPwUaot7ArjgJKxzfQJW4RtNTfs5HdtAmSI66cPYeFUbGXdIx7OuHYhbcPwlb9Gyj+Kr
rsuWcS5Lt61qeBOcrwkzp9oOP6ddqNXv58NvBIoPBu5TB2H9HDf++vG/bk0K/zwdGP/ff/lvOGH+
v3+arcy6zqva/tI6oP/1LRj3R4C/DqA3fngR0f8MZbdi9utVBdHaKxffFtBD/P16QP/ruIsdMT0I
/orpnSNI2zgQ0UPLJBuW1n6L6THkfOBcAMeGFVk4dQsC958xPXTY4gLaLHEI+GGRxv4tpofzU6Fr
LZYMS8Shwy1/S0wPJ59vx/RQdgm7WKEvKnT0ojDuZkxfBH7PLNxWF4iauy4b8LS1C8+Cs0nAkFfl
pTX6wTxLufnCaF67DksKVQtLKJmOvVtZbXY8BkOj4jErXeTTz3EVC6+M5ODmUO89HdexVqpHrVjp
l25NGzMpfKd1i6rqTqNohILrjCu7l+Exz8Unp8oWQRhmUz6WiRLMHEOCO5iXtljUuv8MFCZUbZTf
lCYcFLe0M8coeMhoe9vb6MRKm3ODQqAggY8VKiM8HRjOVQ5RddLp2VDg0TWjcxINyVe/Jsc1B18b
ds0NaoNkGhQ8dJuOI8V7ds/L2JrXNfiDsmfD1DH9ihu+EtKJvCp0Gg/o45nT218yYrLjvEmMgl7D
S9ICGzVAEkDNBydLL2JWKmm3wrVCbsxdHw3BBGqwZjH2IRDI+TKJ0DQwyVXqh5YaWbriCZ70Mbh1
k+QzaoWPouyuOx4Hc+RoqdKWBZO4G0cvAjsxaaz+QoRA2nVA7rQvz1rbJwpSRQYslgRXmwPvi7J4
lrTdwub1txR3iSpsCIsaWV2MI+1OJBruZBJ18rKvuuA0r3tg24mkpXMaWvn3sQkhLBraaFJFDXVN
LyAvMSb9LNWQ2ih05CzyYgiv7Jh8whpMTD4UaE5kqMYgtr+OCAh+qhynuW14EpzXdZYfjygtnUlo
xfOcmUkXoWtsDIO0j4xUpocKnJC+0x3LlR82UtlWHXl2AMF4zvPeY6aulWWZyyDygb9WwYxwdCss
HEH0Vz42TT9HCT+mTQaPeEg9P+o/50w/Cjs99a0oVhkG8t2VYLuF1SwhuzO4EbW/WiT5ZuU2UzgQ
s8GhRuVhBDme4KYQpvL6ZpxaBMKyYpTTIYu9PhJelsSn3BdnuAHyJgfgNGP2HSVGTtpGQhjHhtbN
44Cp1ooeMLe+wAan6RD210lYnw6tdcus8FudJKuwjB1VNNZJ0ZfnyPY/9Vl0MnQpoOWTuyC1Mzcs
/Vu/F5BPgyeUk4BO7Vx0biyd84zQr77oPsEpu6NKgiRye8spldDovqLOdVdG5wGEIUDWAiVFe9Fh
em0PcC+pr6/KCi+g14wLp/ger2PyhncnucXug6G+kzRwg4ydt5RdhHqc22WqcqSBJlTDF9ZIOYsC
IPqxdogLZg5CogKYsANsQvl9q91Wl1/KKj22nfYstskiROMdxGwSnodvu4XdLfKSaRdeWKRyK7mu
tH2f26kzF3FSqpHLGUQG9iQBWjbxa1NNSOinU+OM85GSNV1OowVEYm5f4akkfafWFhesFIaQl7aX
pgGCRYoaTSHMugrQkEO6sZgjeARgk67sAYLhxnlgHMO7JfgnwumZTYvItZsBA82CjI9Zm7gyBDob
oBviZEDWQ4hV8ipVVWGOoRtiMk9b28VJ3aggrbnL4X1rxuAGI3ov0iTzAiLP4jb0Z0FgWdOoSq7h
WJhSFUGM3YGIe6JFPMFZIhXl+WSwrVGlmlAFlnQa6+Z7WY/+TVSMkatLfJvpNlMNFvohD61zbtp2
YiqwEVp/7sL2AtKX85TJ72Nvukmd+Z0Kc+Ri7Y8YEqS+/uo4FcRvaWCJ4GwkwaBq3hpIS7ITJstb
Z4DooUwFUeNovplRO5Octraq4/GL3zq9Em11z2urcMemvKQ6OQ8DfGEz/1tfNd9x02QwjcvjZCST
OKDJpKnZVROPZ40DyVmOSgP3X0xk0p8C5bUhSMoQMFDIYOmxubV7NNc+Ok5MdBe1tVExNJoEbcYv
TtyfVcVwl7LuKu+iS3gf4CH0zac0xucjC5GqA52oFmWQSWob1Tv1TWYP5xiyFKiPTijqP2XEUT5l
lzyovNyBHKuE/+lpKDyR8F4NjIKT45ooHdWRmyFSqzUX63Q+z4psXkb1qERagdnhNVgie1AM+1Rx
7CcznkeLcZRoYcXdIot4COGwCVU21GRR6lh7ThI1EwiEMsiWQnjftRGGtKyeCjJG/5+V/VhmAQb1
Oit7Pt15ByVblzP9WGaBtRQEKymESQq1TtCndIOSIQLnKcJmf2TjNVn6ycjgUDbo9QE9P9ZbDZ/J
2s9VFuggAEsscNYA7FviUFwr3sLIbIK2GZmArl1IQN8uTOHYr/U21t9XWUzOxhhyVsDIEvs2NtUN
qdhJSquruM/BubU0PA6Q6lJM59EwRF4ax/7Ub3nn1n3jK1TkhRJD13hmsK4RHUc3zNc5UVpzVY34
qkYFsAMHxsqECSdJlOOFE5QEHF1yU4osUmNmpMKmP7MKZFSaRbnbja3lWj3zPVGLaJK0xFJl3UGu
IEtvoYsGOxPtmJ1GBOaL4aRQgV8By0nEjFZrd9OazuVhGKixzG7DTNqQbUpzYGjVosjZ1Jd1MKli
TJSg6WoswrsSJZZKCJsb27qxxhgrv6jOxnFsgSEF97DqFamCNYNbgoXLykWET3FgP7bhsrTd2gnm
xviQ22sbAq66ieCJxAk46h4SB2OVT/IhWnajyVVfA1mou2Ncg9NzENxQ2fqLqpSXwzppO2QTazxt
anzcU/mNRXxhUETBtzHkOYKdlkF5qdO+V7QFv2d6fBFz4K0BaibAuwESW1RglYJqIUqKYHkivSZB
R68cK3yAVMFVlcnmBFJ1iatxiKekMERVosVTm5fNJPdNDWtOZeT5cYdVieQp0eFiaDQFOh16kcyu
+7iKFBobPCnsVLiyGoAXO2k/4UgUk6Co25ugRrbrY8jwWCaCjFk+gyTnMfD0W+qMS2wF2SwdYlWj
ehK1oQM56zBWkIAEd0jzOaQniMvr4hgCiArwK2aOnUZu7OMMXea0zm6kX8AvLoGPxOZipOWDXtNf
0lqX8IIvHaMNZNOC7DiM8ZcSOHO5Js+WpBGk/exV3zWrVgzDtFpT7aKS/lwA+05hikIaj0D8rnk8
1cDRGQmqk1Si4zaKvubA4sc1nWcmnBng98UAjr1CEkH+Gci/icHrQQbwvI5GmD7tbRj490Uo5Dyz
wYNFVnoDS38h5H+azwVEF3FRB3MJ8QY05kyUGXg6lRCL8IB9KkMUHrfrMCWGeAXG7E6LlrVu7xgz
qQNeQoodApy2zCD37qzB623IDXGfe+AbPlcmgkB8bBpVVVl2XJGmB2YmhAoH4FBJldTu2FfmS4DW
oVYYlpcRLMOqDuKwfh2QySa9g2RvpII6nPZrn1ERWKHK137EX3uUau1bzNrLVGt/Y548D2kWaO2L
ChkuxJN3WvupYu2xwCzWEL9Vl9Xamxlwa7Qu5hG4uciMNWROwPPliYVhpoE3tBABv7j2kA64ypri
TAn4HwucaBQ4ylTtJwzOlZUNZI+Hc4eWN+3a+45VOgstH5h26o8qAxfdgqvWhmUqGcLLlDZXcdDd
ybVTB+de+VSoeO3vU3D8vCXHFIjAUFW3tYSArFhzBGQgDeoAbYiBPog1j0gHWSlS9md+aV/F2ZBM
+g5PBMmPyZqFDEBHKNASDfSEmujcavPLIhKFK4HA/F/2zq5JTqPL1r+ICcgkgbw5EcNXVXV19afU
UuuGaKklEjJJEpLvX38W8iu7JY89xxfnYmJeR9hhhV1VVAGZe6/1rE1RMDSKKGmUgOQDWynKdN18
snvdA8dFxAMx71rhnxcH5smkcNUMBV/lEx1rdqz8QNMDnjhCMtEuV5xVbfpvYcV14d3vW95fb+H7
M95Na1/+vInvr/uxiSOqgsFMJKRR4GPD3keovWElKGcUUMSOQ4RvNnGgVK7vYbP+Y+f/sYkjgopc
Mh6WjfiLH5LgH8kq1AOU8zMqEQGhxrPW8SgxoFvwK3/exOvekSTciLht3M0vLoIM7NPiuSKCvqh1
edc6M7vaxi74FAh/7o/c0Z2E/ujMz/0W2icu/PaR84pt8H/GGRKhDocPlo4eEAdY0lkg6jb2K+dp
ITDkl3LzE0WITMgS3EURCmBc8eMUvCvV+jKX2wtaJj+ulofARg0MHvdAVFPdkhV7nCeDbJmKFOr9
lQhqeOfWQcPXQ/xHs/Qiux5qzQxlf8T6CyFV+/G6RQplcrRLoMtug0UxG/nJL/s+nubiaJrgwZ/Y
Q1MFXipp+LoWy80W9WWK5fGl092joeSTiGoAEkU/51rX6JvIBnyk4k3STm2V4IkRD3UQXk+R/Uga
mctAq+umb8+jkOPeEMOJsyhsfOzBcTObKDGbfJg6877zN3Oh/dSikvGxbUawV6HWW9RAE/YEZSvs
y4tIFl2qa0Qtsy00H+FfTIn1XJOObv91s/2aSb6oLLLjUdkaTnhz9OSQmjCs89Xhie8PSxwRksP/
KRNR4zfoCm9OyinC6qDxbz4WvFjz9kkL+RpyeR/5Io2M+uJJ8S5ogSsMQ+1fg4A4Vca5rwwct4mF
IimatojLMbguwQnhUe3+gwiCd34Po7Fk4WvQ6vO20gezRi5UEhj3WmM7MdO+u5fLWVdeMrjzFPut
PqjKWWLij3DevSkeO/1UB1alQTBXubdUWWDQJDFUj85cmFi4Ue534XQz7v5muNpogMt3GmSAPahh
S9rL8X6bpiBmVNzobZTQ6mHP1+v4vl/rz8U0s2Mg+jFGwZyHffQhINHHsCgT0nsvqgHqs+yH4U4P
zhrBptpulQSpUpGcF3e4WNsbuAHXisu7bQ0+Vahkcg1DNO8X7JU+l8PJNesZ3Sq8T1Zft6RNo6bH
gTvRByeEfjawuUq8eikSp69yOcsbZppbACVnTJe4m2wE/XLqp7gM/dyh3SffcQB0kPfNoMo4aMMr
MwW3KwqTWAfj2eFwpKeuTZvCvovq8DMc/EsfjF9J0byzQ3gCg39dT9I7uXCpk0Fxi4IE56Gom1fl
zbjFthJi6aLG1OjgFl8eysQsPnY9qyFDNLek8O465ucdl58dp0iilrtxKKSKG9rcDTA5rzUV57AZ
9AcRQM9RqyKx42p1dtRoErb7NQWk4iRsmpe5KGQ2rOres8VHBUAhoRSgiuD+kUfbtdLDZfRkokb/
eQ6al4F6cAjxoTO5r02VqgJeESwPq9yDT/0jNQqlV6EuIwbhwZKLdL5KnfpEshgLLdplccXHgZ4r
r0cxu8jCXi2Th3ph0zCsCd1Szrvh6NXRB+CzKIzbBioLBEObs3GRB+5TG+sxDOKyHg9m8cndsvpX
jlt5NwI3V4Lzzm512Gwxm3qcoCFcPmydLh96z1Pn2q/ZYcDPkM3KUUcvdNYYuFRI49IW6JKmYBDH
waEOxBqBj1+N6+VOjaLkf+NW/XbHZQgI/d0u/TZx/wcJ+durft+jMe1jf8SAi+fSs9+gxd/3aERR
96lsMDBgDQJ9/b3T9vGgGG+fmoqdmvOfeUbyH5jzFaFpcKMIUjr3/kmn7eEzft6jOaIveEpJANaS
IhK5WyNvcMZho63pIBTf6JnyDNuWQAdH61DCF52neyAR61W9TFpmriuH56H1p/fSt0sXW667D29+
vX+ZaG/pyv1JR78eDfQDkC+QEfw9o/fz0fh6NZKLcbohnfZuSvgpBdiMFobEgqKYY1v1x+dwMpCY
+yYaugROryzjYrOhn2DIrH7lw+De4j3EmBKlvPcbcyLvAN+5+Oqtjrfkf3/EBJn/Px0xJmTiWSGc
hS7asV+OuAoFzu063NCFlWUaLJt6P+EZfDQfwhVK/rQuHlq8sIjiLQzWKl6lSw/N1K9eis15eBWL
tV5SOWAX7VC1Uzw0AlJt2DNZZmVbizs58qvGgv1LgU3zJyu6s1QzW7LKOsGl6sXUHP7+W/35NIQ+
CkuciADXBv3+pd9cFOHqlLNjlL3RqPWf2jKCJuFLgkvD6HG5m5eeP5rCUx///mN/teGg9kBUAsVL
cC3iH/thvflY5i6lb2ypb3S0eTeoD8YbcARgIAvx9PeftBt6byHe/ZM4SnDYiwFo892QfPtJRoMI
7HrR3gAj81+6ue3VoRiilQDaE5nbjWpLqLtGLQpPNjf/3UWzXxQ/fzwuFDx2FbtHgOdj//rxGLda
iVI31U3YSfbS1CN7kWo/BrY1Ngv6to2BttXiMKtuhnYj2/DrvqueZr7610tAexeMbA2Qsg51A/bB
EJoKmC5fDZq71HU2iCCMt35/ZDTYxt8WenjQoL/vfjvQn27TP58o2LlYNpCQJz7u1V8YaDcYmWas
cGD2FM1L1Q+2jD1HDiiK6brq8goGu/xcRtxcL9Cx8qD1l93amMJvQwg1HWBgGSboRaevFUzN14kZ
EV79/Sn22Z9OMjxjXER7ih9ZTtDhP5/koI8qtxcDvdR+ZwoepcN3tGIAc5cP0zhiW+3c+6lZ2RgL
IcKk9/TBkt4clG9IIlXXPBjFGij9ai4/zHXTnlYLx80w1NeBlVFadLpIxrauK+AytJ5R8Vh9MxvH
gpjeaFaWHq/BRRS6SWCJNkcWDCA36vKuXDVdYjWG3c1QdO8G0jg0RcOPH7JaCdYGFKtb7M5Rfa0E
i54Ld/TRmEQeoKpl4snsCnA+OJfVyYn6tYnnNdpSb2ZOutXLF2O74XF0UQxCJB3CvLDdePILQt51
wpvloYBJWMWbkMVn5OlQCVaguT6NTdikxlhykq02J6/j6rWaYDVCZ2nkY8VhusVT55dXsLHHZMXv
cIC7z2+7GVobWrgu9zxUd5lioVcm01xGXTKh68oaS/t0NPxWFE7ppp7XDkdsNWSGu1AHcTSE6uPS
uOJMem4eGR3YYeS1Q3IbNNtLFLR9ZuFebPkkozJ3lsV9IVbN3ywYe5ZsZHDRZJRkKvNlAA9C53nO
1hLOY963hUjVQJujxv8a88DvW/zQzRTGta1rJwmLOYzDlu1s7qCKBMS3bg59ILPSH1f3fqaeD5wV
WixEIb8bcjrM3B4WGi7XgdzA99+PczeAllsrter+VRSCkO3Zzs4SNiLmPZby9gtZm3qgfTwO42jc
m0EOjYRiUnXbYUL1WJyavqpMXBPVPrrA70/1SinaXJyDIoaRDOFlE00UpboosB8OoPC7LABl4ya9
GrziVnTAKdqjXMNZpOsCiPs6sAPFFTUXrQfsbsRemAeOqIvbCbdOUCZdZCJccFRaNBiq6nmsOmxe
BTphgHdOgREaLF4LV8PthmrbJNAs5yKfFeDEzAJfkjnTZbMl0cawYmoi/RHsVA+Ma7JrCW0N7GOT
tWUVfXPGCSZs6rZkOFR+NEY3zCnK4kpTiOkMLtNiu209WjywpReZAR+KFt1OW5fz3uoqX1XQrEfX
2gblPllVlUAgXdWhr7rKQRvukw+OaTYvpTSQTYq/XecWUAHMNsAV+kPdNLw50Z4PwPTFEDxsKNlp
Xjst8QA/CBtC0hNEDIein4x+xGZMr+pyIzIfDY4ga9EbbVnkLRtPono186UB9VxkDm6VPi08b7zq
KWMqLQtajmmoJ5zOKrSoT/RW0+2rkpQHoN0G1aR0RQbk5LmVfyzheQYJkbKjadVWRbqNBToLZ+4N
v6sLpCoSWnWISTSm3pyzWyg/90wBJz0UHMSlt4qtPYkKhDyadV/M8f7/xSBEucblU9IuWeYKTuqw
VM6nHk/aXp24wn1Ebrztu2YbTb5D361qJuNNYGBZpxr9yoWNGltSaUOJF/CG4tcqKuHpZ6C5Wlx1
a6OA281sq87eUA7v/JqwF7YUTRFHHi7efNRLSDMbbBUOfvTqJlW0kxaNVpFVXtU9q3lGZVGX9fRo
0X1/Nr2gxymcyyKLJCS0WEcF3ofBBV1AOk8wOBdD/Xs7MO+dN0CUjefAsRG6+jVcsgkQcnXsF0Lg
PEKeJbeVE/In7Xb7xVnXnT2Eygq7d1fAxN1uxrkRM/TOtLVYdM/YwfgTjVxc3cBDZA9kmS/tabC8
IHc1YHL5AEiT+6fFr+fxMizDXnyKdblj0gmWDLEcfHTb7gbNQhB0Obgy3L/8fugz1iccl2m8G59p
fIuxY/ipwLDJLeFywq1jVCmre2RKcMv3I6qCEv8NayoZtLjtEGPo4Skb4eJ0z/0yXhpHGIucwtgt
+YIJ7jRbp47siwZuJhjqHhaQhXt7nTzo5qkglF9FUwV6JhJM4rpYy+Bl1mAH46Wv1wc6LK49lyhz
63NrtKwfI+wWB6td76bjZfcMUCsArY3UBrlqo5LDthFtOaVrH3YzCtyVHgzBz5rAdlm/SCXZ3TJa
tz127johrhQ0pT02hdN8Wze+ryFVp0SKPiCiWUWQIchN0PAPjgu0AWoWwjmhj2Vu7WfxULWDPfNG
AlRlpCcllj0GtXwShD/1tTOV4ED3NNEGngIqnG697muDBXm9ijxcUhm4RlwjNQOlCAMBqD42mbk7
e/1IgqTgapiw09IJukPf1Z96PvF3zooy/WrjQ++9DlZDPGsgrE6naiZ4qwVd/IbwVBmUJ/gQAuqR
5EG+gUMYLssaqsd6sh0oE3v0m2Vix20OcHKk69ntAE2hbS86WPxrZwB2lolONwDm19mIJGK2Ee9Q
idhXl2ssI1g67RRLwNM25uBpEQcr1u5RlZ1XffTajUZwBFGBre/NQB0ARZ0t+kyEjiyvnMLMn0Xp
OlOiQhvIU8Vd736xTrEd+rGzVQbgABdptfMld4tUCJo1gUHkpQNJGVx8T/ig7VHd2GwWBmdtjnRV
xpBoG5A+1qrMW+jSp5Mi4Du3qMPVL/2lDNO1WF2bFMYG3YeZrd67WoD9x+1Q8Sdc6zBfNNceFlhi
eJ1HjQjmeBmfy7Vne8hFeeqBEd3N6czKwb/4hYqmh66wvMfmjis6MxXF2UTjsC4gOwfZXoe9EfSO
LOCeTqFyow2lnRHiInvHzGljC6wZqMbG4aJUgePvuSxzi8CISOfFdU9r5+O+X2FxA+4qRHj5XpX+
i9f8V+38Cxj6yx//XzjRS/Wlb237bfgVFH3Lif6f/4E0KTqhvzY9/lOZSn99K8D8i3bAq36XU5D5
9wnFTI99pj0AhZ8sD5ghDH/9JpqgK/kDXIANgXGrjCJYCq2D/BEPRdyUgJ3BSE7gnP4uwvzAZn86
m3/VGf3adACaIGicKSpxHKe3PxXjbWdZ9uFc1zRSt47XPZfVgFVxVJ+9lZ2U1+i4DrbEwtQOWRO7
U5hvtLzma3czRw12krnpTk3VNSA3naQPR5KXzM0Re3icq4lkUdiOyVSu1+5QpIED477yhqcqIibB
rXItWKcQYeqPStqXJlhKsFH+a0EqmxingZnBlvMSTa9y9OD9IaqYupRmwTqB81v1lrmjg/Tbrm+T
aByScORj4q8uBN1Wr7lu1zuyMpaSUp3HhVEk4oaPdBmWFCvja+sGV+i0TdotGuzbZCXAKorkCrpP
HfK7jXsfpmIrgXIhuSKEM8cqRKayDuoq2UpDYqQiijgsTrQc8jWE9t9hbYrJvDxtorwMoT4j7ngW
+E4wpiu4HYQA9ZKg0comk5pcCo+8K1Y15BOmFMD+p9BS7IR2TTrgyZDgauhaJUVkPkSsd5LAXcux
TNjUVeXjQGrzCQXB07qDoAOIULOjoRCvUfV3/aelxKoPerTZMVJ/ZLCd5rWNxx0yFaBNBahT2sFB
Hav51sHzUjIpxy0lbCuzbcdVy547B6cdHyhIVqYAvaL4SBArkuc2eBmWF9RduQ8O1q60PYy9e1Aj
4JHezE37xD2hH5WrjPxaldvrvIiHjQJUCBFog1/ciyh66b36psD1fXIH7R6XgbS3pC/4rQ/R/mrl
ReLzMdNzGBwHeBSxK5BdET5fb2i9Ya2r2mY+oG37MOs5DatGXOjSfsVSTo7I1nDE94JIbP8rFWPc
4n+Iv7+tWLsi8tfrHGhujBD/r1/1Y50jmOCPxYhQLFkew+DvN+uch2nvqDwDmAsYGb6rRz/WOfjB
kGU4IHvowkBcgU398HbBbkFtcqE2h1Cc9iXwH6xzmJf2i4TFIPtgWDk0LMD7UD53ieiNVjcRTYbO
4estZtbb3HWUzlRTsPE6GnqEarm9r1EB3EduvTDkzxlCxKzQ5jLvmHnDDiySCNf0WB0q4bLrRUNR
nmrkzkbkSKERu4laqc2JN3CQnXN7RHDb3BMfLheSy865WUt2sHX7kW9enTjM/aI7sEWoyO6bqpVY
S1uVOmZSMXDpWzi1U6JbFHelgbQNNGeLvQjr01iViMs05F5SB8GmBsQYvkUG3YgdnRBIE6NInXpy
1BGkA82SysgHBAi+zrJ7bKfq2jRzn/bunl5enOWq3FM+28DNrTsGnwiWKN7hXQpPXjCNboZpBGJ+
0SotZn5xffw0lCg419O9K7enZjTved2dK2E/uQ49AOrFwW4zScCDX/tsBaoxs8tmoleUzzJZVxTx
EZnOWC/bpFBzlzgjYG6BHBQnxRcpYCyxqM0L8MKh012QAP1YVw3KamqKpBJNn6Eu+7xV6AWrHn+I
zAOkSZW4Ne2iO0sjZz04o4ahJPB5BfzUpIN+Enk9lqb2gDI4d/l8IO5wHj2ee/32dYuiKmPhdNYL
65OwhyVs7QoCdLQm8Zu6SfpoNkdecsTviP8BmYHL6NAy7XyTTQuBDr5+LcIgIwRZC1KUL5AUv41h
2aahZBrwzdbmnjuoS6TIXdGvQRwGAO1Nbe5FD7EItW+M5hB2tGqDpPctg4uJJAIZnuq6vR/dBtGG
AKQbWP98Lx9V0yeCAhfwgvsFSh/AfA4ZHp1QP6h0cpopiwJcrpFFqLKS5YBU0uYeQ6WrrG0s9qOy
GLKqQ1Fb1HeyKdFv2eBczBEqyc4u6cCqF3fdymSY2pdwoX1iF6dK9xL8CJbbT+dBSmgefoVdbQTi
420GPG7pg3YqEf0PcU21lBxJ01yGAvm0UYORLxa0+VUHiQ80x1k58z3g7Wcd0iLWSxNlDEGxJiDH
IIoGlA38dtHWAjkkLAkFvNrSBYdsvGGnjkVcq+W2XZxT3w59vM7yy1iPEE0Aoa/zXe2PS+qVzVcs
VjfovZAMnaMb2NxuVkdRHxdWT6hj7B019LX20bFYI45UrZ/nmt+A8XusNFD8hm3PCgx6bB1W5hGr
69yUsMmHIni2bXdPSrGLbPJrvWFMAxKVh22cw4QoB9Smb5HNLqvHVpQzbupKZY6RH/TcfvD6PQYz
+Yjl159gWDc4/S32/RZeftXSC+zjJ8AoZ6+criLeuJm7MLAj5qpoITyNe1HF4OPW3HkeuvUQ1u11
2yNvMIcWzHgZfhwgMMaypPw4mZCnFkrScfZw4XWI+d0S2UZO2kEHef3/0iz8z2sD9uH3f7093mLm
c/lftAH7q35sj5iWj/EgBCRViKc377jx7+QTBshg40R6BGU9WoHgTRuApyT5IbhmcFFIfGH84x/b
I/0PbIrYNrGpfh8h84+2Rxghv2yP4d5uwD2GIQeXx/vV4UEMEfRE6BaXHrVbRjclOYo9XpwdeA5n
Hdo9qeuu4ye/FldVsT5HJShOE9ZfKK7FFGDUjBEdQmHp6ahbg/foTLbUSD4nJBDtE8CkYE2AUMN5
0WI1sVNXAdQwAKsvviqqrwiYFoi5aCZSZqcW8ipUvWJBrH+s6i4blCUcgyX8Ke/6mgdXa+jwmMsV
dO6I2JusTLDHQZceylD/zYlKbIVY2WJWFVMMyeUVGVzcdKsSsUNrniuU4TE03zUWfXmlRu/WbO3Z
Mhe48nzv0Q2DK/ixoM61jwSxV4rTgiBGwnZQGMoFw2JNnJSTaULQnGPqi5zDOyQ47qKi8tKuYs9+
3YzX2rZ9QpxZZmtQ13FvnDoNu/F2GeytI5conktUAavvZVsLJho3LzK5CikNk1R07b9JOjxWyn3E
o5MalmD+h75zOoQyqI+AXmfy0gTiIyLQSQiBsIDmfZl8IDG0Fd9CW9YJMSGIbpDhaI5SvtLm0QnY
nJsIM1TCbiPIvzYH3eGrGozxWQjoqAK+b0o8KHgTBjUcK1OPMWU2HxanfQjm3ZKYE+uufUw5aE1D
4AZXsNY2mk8BTJp1NP57y70UPAz0ilVFuauAECnTJEhiIRtkQvPsLQKjPgY1fEZg+XEMq8eA9fRW
g1ZL7NrX/41DvJd3fziY4Ppw34EqhO8NHxD0wi+2d+2K2ZXc1jfEFSankI5fxLqP3gAZI/7dJexd
AsZL/22X8J8KSeHXl1/bhN9e9mMd3NsEwBuYZI+5Fz7dOc/f6RKCR74BFEET/2uO4zsCilO4Z10R
nt2bix9tAtZV4JpuyJD0YgSFwz9pEyB+/nSdYFpWCHwFdBsIMDQKnP5itGuPFg3SquNtC5fjKlLc
v/R6OUdadQkb+6cAc3q6epBH3YZq+ypa2zn3I+j9tcOUKJgt6p4LoxG6Wu+H0r9qbYO5DoAXY4Tr
QUlIzzlUavJj34i8RLTsBCvOTUoD0BNiaYk4/dTpvAmNGh/X0jxzgbbdQVYjDuGHAPEm6Demxdmu
GGYDiCJZo7W6GpVMUX4g+er030quNwAabnFYvRZWsSf5SY3l9GTw8NszAZh/iaiGE1o9mpEKk0XN
6ubGi6p06h03DSeOETh0Q9xDIVNFAmRBeo+fZdgPWVd6CRvIkLPF3ERMTPFEWw4JA3NNnGKAwSL0
fOxne+NZy5NBd889sqmYh5QJKDjEErQR5XnedpCyNminIAxDZMGtOFo0/JwQxFAcaAX9UH5DVxR8
Wrd6KvJun0gEhxjmnbCI4Pfjg5D0MapdPZ6wCjrDfeXp7giPN9GdCI4dW61+DAYX+J0Yi3CKaVj4
B+ohwRWzgn2TxTifEBwYDyhPZbo1+m6t7U3gmyutxE3nknM0ODkieldOE6TtBuG107FbYxuozOus
ycMULZ//XUNh8WAAw/6uhnozVfbXBeS3l75ZQLB+gwZHmgJ11F4tvVlAQKkgdw+A2weE9qaQwiqx
D2HEED4/9L6nvX5fQPBoQmitBKl9F4+jgzzxTxYQ/zsj/sdGgwUEmBtQHaxt0HVR6uEg3uoMwAg8
pXoGMStCpYD9FOnaeV2zZdFNTJbSO82FzBVdT7pBdxtzLZ4bHl41U5XDaj20qr0Jx+4E3+cWzlDm
+phYouqwvVZV2N7WVf+0uv5HoCpu+j02FOFemVb5LuiL29pFNAShZcQ32jq8X0oKAbPfauNmCnsi
+mA2u3A/3JtNVFPKN386wP3HnA+GUKZ2B4FEE8+2GqqFV2J2WQQ1sEBshbusPY7B3KRO4d8sq4Ga
itsygZbCUrFrqtPkvp88dJr1ms1kQOaE+xKaJYRP1rMvAb4nxtTgfTsOr2yckLt3YfPC26i/wPmN
srVoIaY0CDEhaHICA16clKkDTA2DT6kd9wBZWZ0Zc+ZruLroJqdGJ35fv4f+jNoUSAEGGNa3rTMk
GGKFnOaG6UbBiKf/dUGiZPc+CMtb03noxeh8Db6ny2lXjHEBRCzVjkJczne7hPdYzGU3Xgz680Qi
VpQjRXdA1vmKafLU1NMDrwscNwbQxNvsHUPa1YDkqtfJo5dSbzcbaaZkBLAWj3X/UQ1OUqBl2yvU
6xHwfGxcVLKlHBNnW4YEiScZI2xEYwM7K1UkONVDcC8LKBB0tjOSb2XW+U2Uz077pSOIThPX3hA6
Z37nHFq3uW6QCfDUeKZ06xNkDs8dGCF8qL3rKuRdI4mfxp3WMfOhYFiN4UWgdruOXkImZD7w1kk6
DCU5Sk+n0jgHmJN3cmkR3EO8Cmev6hMk4h+wbV64UW3Wr9MCYcRHoyuhnVNEjWPlDzarJUYGKJjl
trTvFr6IfKr1pfSLT2s3YfKKE8Gdp0HKBvfJ77pP0GzC1FM1RIcBoEFV3pczEoFLk4IZukGv+toH
s0mbyeI3tMGp7CrEmwJ2PYz2tvq+9bbft2HQI/IIkjrl0jzJAnoG/NIzxo750O9WeTVjmW6l+zCw
/jUyiB9iGTdYzksdpAbLO8cy32O5b7HsV217tWAb0K26AzAi086K8aD2vSLAprEFDoKJ9Uz9Q/V9
U/H1tD2SYLuUXW8PnqrmvKzYgiRYcFUPPozT/jCHm83WUBznjd717Nk6XgnCgL/X3ItVXZ57gmRx
M7DTLEBBm+1u3MixmKoZsPZ4j8UO+sWQAthF41Shli664o7a4RqdI6LW0XBux+oBEGFSrOXjZtAF
IYlIY4GKISb9gBulCfWBlx7NUZBXOZXBATV5eeyQ6IwJEVHWrmqf8ogrRxvENLWHGHuzNXfR4nwM
ff2t7d1XxPskMDj1tOnymnmSxkuHoUJIFUxIhRbAkmrzORodjPaR4lItEZYJ171rWoxVAjnm3c5U
faUbvGh3m7+Odo/LB8sDnVdzonr65LVNDlX041qFEMtA0sBWTpsF90vkW/+wjOUHvaCRkbNGC7Me
MAkvdU1/xyt1doM6DyfMQFuq6rYOhypFoXOEE8SvQoe9j8YixSdPCaI/7zyXkQMGQtoUYUTkSpd6
yUZM1eRAG+/Dlj+gdDguyq8SrSbMmgC7TwwifBBnSMzCIcV3rVDjWT8BEPUiOsxmGlb0ToGCuRy1
KMG+VCZ8AM70IPGbYB/AQM0SLPugortmILmL0XdYwqSPGXoh4jcb8g+oSw6i60Kk2BUm4g3Oa4W3
iyLZpYyhR2XljaiJxODTajr7jqcznND1yMjysCu0XoOZB5iC6aVjpI98wcTFEeGd0wL9rXBSGdGz
gBK/B5E+uXarTliOEWSHplv6S+6I7pFUxSHY1j4pRTBmS4WJFEgPfgFIi7Fhlh56huGhU9ddSoxo
wlVjHke2XPuuhaBNO1RRWOuluZlbo07Gm2/LYXlw1zYD4LDmLAjPbcePjufM78S2jvk8kq+Sjwuy
s+E9hpPW2aY2mvy7nvpeT+0Oxl9rUkmrh+8j7O3wp46Muftr3xRUjEJEwiziH+7Mm4IKDRcSeb9F
5N8qU9CsXDz9lTO4xy5zQ0hd/5e981iO41q77Kv80eNORXoz6EmayrIoeDfJAEEgvff59L2S1JVA
XJFqTXqkwY3QDRIsg6pzPrP32n92ZIii8RTI+nfXvfVPCipZXDuuHwoqhmUsj/g3dao9xl0/FlRW
bixWgXH3nA0xykzO7hLMxCSp+2JByOoken43JyEm9Ek4mgXC4kSDuzgmuhtRNjBaTW6nsDuk5nQz
iNNxDjjdKkw5rCZQW6D1QtTY3Y/5fGHkkMRiuEasO+163alO016vet2ZWHTHSzbaeYshLcBBGxjW
5DeK8q6YYB3Hb41BnMJPihXZg0FU24upbvokMR01Q+xptdHTrDO3bjN19qwOuo3YVLeq3vfsZwXZ
QT7vKNUiOvPY2WqIr60pgoeMOUonMzprGIVr8fhFx7yVBHXuapLxiisWUIseP+oIqGxk/wBm+dbX
sWEjE3zUQxWgbLU4wahsIrOBzNvmW1kfNHcozW07cWPO6gA5dpi+zGUA6ng6i2UEWQ7rRAy2iHIi
9dN02pnovzfStO6OBgG+Xlh9DVkHuZNUPFZMpW2uAMUN+u5ND+Tlok3nlxik46HXYnTKmsyOJ9Rh
BJrStdwajauicnXiVQ9VtpPlj2N6kLR6eDKtoeGuKJtug9oaIqERe2pglBu2a6zYEL16ZgQzJLQW
ttlg+06zaE5uikFhY2KSd4NMmJ2OFsAGoRl5QowSdxbjwCvEFiabWGa+aY3djQzM9R5AApgYEfVa
innqhH0chcOYpk9lg5U5nSxWRyjM+m2ky/GOJdJ0pHxV3GHOyj3KMlYB4AuTYzAW1SqsnI59s3BZ
LLkYfJnMWDBRAgn1rpDFq6ArRk8QBulOnHnT/QA7ybOQWOG7ama9l6+N79hRpaX0wnMOjaFd2+Nh
bZTbBskinXM3L7zjoweB+wjo7gl1qeUIdX/RrE13sLbfhojJrl9bcqo7zIR06erarte5iPh+beDp
5FHkhna6NvfF2ubra8O/qCv2ex0CGOs4oPw2GZDjG+P7qIChQbmOD9J1kGCh693phCvg4GPMIJgM
HFomD9M6gkD26U7rUOLfg/z7QY4k6BcH+Uv2Mrw1L+1/t8UiP/jHKQ4eZY0MAi6nYBtcT8k/TnHx
N4LhOIu/bdhZzf+5fl+xdPwQuHmklT/KjIzfUCtx8iNaWq1e4j+zVq/sux9PcVOxuEV4JBF9Paf5
j6d4EZrDkA1meRaZBW+rMPCjEJVLo4yH3hggNPZye5x6ufQVccGhP/WXRaJiaoF426j4RVuh3dIY
ap6lNLMTjrpiJ2pUO32kLnYijLIbdabATFtf2EZM+WUNHDXS6Ig4UBRnEpcD2txjo6lbzJpIMoXI
r+fqIcAy6yy1eVqamaFTmQ5bSIX7ME8gZanYvVcMfKgaJ6h/d6HGN7KLzStrNFK3aGK4LM2LrKkF
Esjwfsipz0f20WwvqDTTYTnphfEwBWiIuYAfrax80KfhYKXScTSyW0FjPcpu2UEuelc0oJQECdl/
MB6MRb3GXr2RQuFJjicnrIEfiwA72qY6Vkb5KJv6hRJhLY60yR8m8Ax8KF6oLjFmTuuOA7xzDJ3T
ZiKZgWydgHYG9Uw1WfTeMAzz6nU9N+PEERAq2xJisw3T42LMgECE9LU+V8Am0WtQJQNEZXpDR5CX
SyXQX+Wuuk37eTOaUs5is7icVB0yWr6LkRBzMbaXem/cRXUQAqCaH/WVh78i4VzYObhYixhjPKg4
t5ANv2uWq2YqjI0UZftJgqa2sO03O/kOPzIdfSYHjl5a52Qw5IssMLaTGd7UF2q002nDsJsc9Jki
gFCdTWzgHVdr5KHdknid0g3IRc1HTNgIy+pCtrMy9tG0FXaal6+poZdu0qEskmtpk5mIP8XQm7t5
G0PMQ9yVfGka5c3Q5LexhGUY1urFKpxF1hHS1Ay5B41QvVe0FI/AbFJ+BDFFWb3PNX2XaRJq9GjT
mCFwEYwK3jwxCJJDffbNbxqoQus7bxxW//j41VrSsXGIT0jgm9f+Uqst0956rwo1hFBoLpa+EkJk
4MOFaeCgV82tvAJgymZ6QUJ/y7XmDm3uiesomY8unyProVRgm0UrSqZWpdqLrXCC2d8zqkYm6kgr
fKZjwsJuJ7u2QGrrBBTYGL12haUfg6GV7HyF2GRhwvfC4IoygQ4xMwF2Q50mboQVgCOixT3McnEV
wMZRQiA5HbQcc8XmrLavXcUa3I66Ea3xAvOE3hHMznKGGYh1ZEXwMH8GW6wdo1wUAfqC6dET3sBC
f+7g97TlVayqsBxB+5hmHuyA+15MCEfsAfyPJZdf2bIzUwIMlKt55RmALF1hElIXBDjcJa3GCFhr
oRstgg/eJVme5RU41ACx3LUs3OKynp064GMw5MHLvArh5bk+BSu7qABiNFXqtpBwqM/gjYQwfUt7
vjJyUfLZBoHUWgggVyaShbMLQXF2i8Hq3VrBSeHE505ZWUplEXoqvjJbqAC1DGFdHAV50k4SFCYB
ccvFNGBYwFKUeIa1BO7EwMnpg6AE5wDKKRqH09CkqFJWzFNmxTdRw6dZU5klNlkSUR/xG8fGgBlw
Xq4QEegsGxSAM/nAihaelEKh4oqrjCZa6sAWVuwUk41gM8zgGcu6U7eUVNMKqUpx/VA+1Fe5qhwy
OFZiIN4GKyZFkod9YAJOUZZlihlZNU1CgSw1j6mltaOnt4WeOG2fHPp+YETeDUouQwAKChYmcUtl
F0bq8d+a4HtNwCX985oAA1D39hf1AD/0Rz0ggUsj1t3EmSrLMmSUP+sBvNqctLRVlqGsdNs/6oE1
fZAwIwyIfzZ8/+nqLCJmvy3HiJAxJNH6R3s2So/P9cDqnNXxhK9Fhoqr9Md6YKimFidWpJzbSRUh
KQ27cVZrV0oUyIJ6DQNcht3YzQ9Q9shtCdXXRjGPHSAfV1vNFqAiVC4PImo4nZlcFychESG2LlXv
Tu1wMTV666rU705Z9l9mq3iKYo73PLtO1cQH7reXFfm6ZsiLXBZMpFXJLUsu+UhKDQMRwbhrU6t0
MivvsEEEd7SaDxoeL+BWEHT1KT9roXKWRt2zQEkaWb1LtUXZLQSbOH0qm84QTT5+cE82q3d2fdf9
GGr7groHWPMXMwav3S73E9tBO5X55ir4qRAK5oW7Ct3ECY0PoSX3o9Q/p3wxnSiNtnLPhLyie7JJ
j2jsDrgV8j7lIs3rfZYybx5RPtRDJNls6sFTZeY5ZuLujGF9TrSh2k85WF8Y9iElPpLDFOWDY4lh
cNHqpejilVtQCKnLOwq9FG6o8brEvLlVkEdXMs4IO2qbt4h92ilBEqFZWB4CuZr9qGjNcxtPOdfE
yG+NksxuEII5aQ7WE4bYCv+VdJ8uExZEg7FEnYzwSgwVyYebHYLTBACZFwrn5TiW4PSV0BPnLNkq
CiwXIY5lP4lWh/OCX1efKN5gSm3zIJBcaZpRHqttvFHFKtioDBhJDupkvyuV3CuU5MhO8LB0yTkt
pF03h4sb5+Z7sCTQdY1c9QS4pe7cz4knBcbs095knpiAOeXSnFlC1pbfJZzkydT0viXjasnDBssy
frBr1Mmm31caghlJTLaiGATsQTLFbhVFuCJ3aZ2g8krriVyQmOJ4Y4asJ5J5NO25DCsP8rFkpyQh
7bW2Hf1Qjm5nub3se7GAsWvOdtlVX8qMmUMc6Tgba0vdVxaqbeZ+MbiO9S0ituF5bLXkrsBSZ4M4
LrZzD4aAXVNpE5UgnTWad1CiC1pA3ndbaYR+a44MMKNRRT9q9PHXNGdkICagy4cwF7Zil2x6LfOC
oABphrnGzi2Ge5gwcxsCHF1vMppuU+WZow+JfrVIE/LZHnVInnqtnEhkwMjZBabcbotv670rli+d
NESbrpJ6rrCsOcV4cBwFVn3W1PpOn8fgqAvG4JtBoV7LQn8fW2UnuGLXT/QK8oTeLe6r15FnZSwC
etkoyezWjGpfiOdbZorSZmLEwKLD2qOP1T0G/5JtDT2r7xY5KDZuPKihFxeFsBdUaKWKcjfAUnNY
ut/mdbI3kuISBZ0jCMap1Z4DQz70pT48wiB8G/XuOAGdIT8JOoI59uOx5zreWhbpFzGYUPQ/4lHm
0TDvHIYBpD9+RYqs7EQuEDxay7hfTOzmcbKYqPzzry3yHBuL6q5M5iuEWUcmJfij1ylKkZuln8YQ
d6YhYsSyInmHGFZQw18vWtwTRqvAIp75FUp1fu6F8Cabgmex7J8qlePBFKsB7WlziEfpZUp1HUqj
gr25LcONRD6QRMRVnaqNNyQthetCGZ+1w6k1x4deh5FoCOqlNaGDLdka7Jj18Tc7kbogRZVcdcCc
EnGLtalwBjXYJGJZn2MmWkgyE1qYyXK7qXlrAwRZ2hC7uIv1J3btucYeb0LS272WqrEreu0RR5O2
i3OkjM3yBR82buNy2vKis00kMzTLpcXNdIOxN6cMeyp2GVCTLQZQQylthVrfzmPtJjJbDiEer8hJ
O2ZyCzYxzr50JijiQrmQwsoX1JrQmYiQL9mZMon/r71EZhw7LYzeNjYuwRawRS3nXZerkdejXxXU
9ApnqMBdQDyZMh+iDta3JbiQsm8zUBeRXmyNHkZwn8e3UI4dbHmNXQStAbsfmSzO95jYH7Flvg1i
Gc3LW7AKk7nH0Ci3ptyal3GeZk6oF9esSRvv39roW22kUiv8vDa6KbOXovzv4mj9qQ/FEe4pCSEA
riztW3Hyx7BEBnGjmwp0OuU7rOYPrwLDEv6qJsoYar+VQH+OvM3fAM8aJLBDpAGG8Q9FSGuGwI/D
EsNY1Wr4X2XGNQazlx80BKqZJ43ay/NZakSO6k5vSxeemLxH5pw+zRJ8BLMbxBNrs4ABITNMaZ1m
GutcE7Nt5i+LFB90qwwQ0XeNV8R15Jm1eJFlkQVoXgqOzO+bK8xQ/PwA1MftFzDdYllNW8G09pNM
t9J2EQyoSklfATsXflKMAZ3uMiJibKfnHC7svqyx2Kgr410uRKSYYMQdLKj3llyjj1Re5iA39j1u
2U0HO+9QpKXlgX6FpNlh8JkyyDdKzxw3TlMc8bD0CNPbKkQK2aWlIOtGatPJtpkkbxUCInrLAvXV
soTv7NSeognbNZkkTpxWexiYljPBy9/JJOORWGDIl6EUPorpTEqa0mBVKq60sha9WOwEv9PDhQiE
XtkzTDY8OtmDJNTtLu5UyxWjSPXTrFAxaMvBVpcG0461MN3XuKnsoByuliahEgMCaveCttiCprH7
Btovh9YFAJYUig7vjtALuICRuLp5LEnntgV+B+yg2tVRu+/l5LmujMnO0XQSpaNTgITVPgrrpSPY
il8YV1qD+j1lFluPW8SUzixQsE3a4FPHwVhY+uplKMPkNHXqm5BSwtUid36uiYydC0QdSXijK6zW
DIwj6TT58pDdy8nYWUeVZDu7kbPzUEuXpWzei9jmOeZYCqK0QAaK3KzWvKDicXSdHEIka+GpbTXu
niI/tIr0pmllv2n18WaI0sRuKRmdFPACkxPxbIQW8ROlPyjaMZmsUzWKfiT1Mgs+5GMgVi/nACtD
GJ/zJe7gg+UbS0Wsu2jzSZsrFwfcHSqfzF0m9aAHPX/SE0UmN18UUuBcKzJfJ6P0S22+g8AGDjao
MDWsYPeugFtxAaWmbB1Mj/2rajICRELdRJhKJiJn1kk9RuD0KH2b3/frKL9ah/rGOt4P10H/vwfx
9yYVttTPD2JYLv1f8UBFfurDQWxY2h/H5jo1/nAQw9FGS4X6XUXg8GFqba1OM/6IrSBqqx92j+Zv
q5UVGSmW8JX4/c92j6vN9vNBLErf9Po8BROr7I8H8cSmD05CoJ5TNMvzbtERMnwZIpLaznjwFdwt
AsyXrbkaXoQ+uplXC0yKgJDZJrYYKdDRIWV16vVWp7qtRniaOBKLZq6Wmh5vjbSabKj8XpYa202u
RISx4cQBuYglB29Osnp0VrNOtdp2gGrGnrlaeWKL9hZfbIAYG6PPuFp+otX8E+kYm1Y7ECkDDwP+
oBifkL4ahsrJRanixzUW30HEUpTiLVpg+ZZ4jZjSaXa82o/k1YhkrZakGG+SlTRXuo5ZqaekBuIr
X+Kcwv60WpogXhTE02UlsJn6XcH3hAOnc3LBgGX4xmSZcFOt9obVKpXlxWlavVNFiNVmtVOpLYih
RmH4nVbABZWSbcBikiAqDdNBWeLEk/Fm9WYAqXM4SHi2JLxbLR6uVmm9hsUcbcZASY/0ohmUt44a
KyUXFqmazcjgWFCDLZgS1lAZ9J8GjiLqNHMt2LKs2uZUcFOZ3GZUdASbXFWNeIio9LDYA2rQ8quB
X2m/FoPiFDeF3wlcYqZe7SUt/1K0SOZApB1pNo5gU5DX0GjpezYqzRXquip4TposlL1WKcPiSli6
ufJzieIvFFPULUuCEEsf0leKE7oWIK2x3L+yId4YshU6o8kfx/34RgvaOgn7UTsfpm03RxdqEZhc
DNO8qbvofRSoOImaeIK0e9st05U0SM9KU+2J3XqKh8RydK1VPCNUv8bytB/FcH7OIq7ZuKvAWRFM
Yg7NYGvkaiRacwVTYms0pnBEqnM7x7wsRMhA4UPzTHYw6uZoeVcxVPdRR2Wf6pbX6bO4JUpQSkoV
Qkp3P3TgMfJKld0MXEsaWoqvCTH0JSLCKknDrT0Q5VZGryEphwAt52VjjujsSNfxZaF9ijFOlnxt
8A+CfwVXQ+PWLuC60ZlJoCCmUYV72QjcH8Jj04ls5xWJBiC504IoBHYjGxhCgGVDz0KAuSWez3D0
rtwXjCjtCBRPX5uEqenpext15ypXX4aWzjMD1J3OyQUYtEO1qpnYORwKuEG2rCgDGTM0X1GM6awb
Rr+eYEJ0ERNW2aIYTc2nxSi9PNN2uFuelFSpbhaBxCMhMiFmydqdIUQ3E+x9nIePdaRyyUbWbpnq
QxCa1QGv46NOkwtpDnOGvosU8yzgR41E/a1Sl4s8b7ZpyWdz0Vn/VhJyRbBb18NAkwipJOxjFHuR
ReAlNhS+PfpzO7S7SE7668AcIkhZ2YZBzEHvyJT892r73mP8cid7ExFK8fIXPcbHhayEtRmzCXgF
dqyMYj9cbQpBYYiECbMAGml+HMASLgZ6E+YDmfFQa9YN7+8DWGazxF6wizUNRcRCgXPiH/ihNeUz
0o9LFQokkkBdYwQLDvLHqw0DtQgnts4uxcxADq/2rS2p4/1g6KHf1cIZak9D8kR8SjNI8s1sbmvs
CB6gw9YdJvMNweGJkMJbNaXSJJaJ0laxONtD2PSmskXSsNE7OGqTtB1RhOY5MxuuKWhX0lOrkQoe
E0gJz9kDzfmC9us0d/2bwTZjtBSPOwhNrVSd6kl9hUbqh7NFtngLQJCFSb9NqmbbWNahTUKPrN7N
Ql6lsEYf0Acddbm8M8bhYpQjkG+NGvvRIr9kjbjBnvcIq1LbGEEAvKjOZ7+RMq47JmQE+LR7beqG
jQm1oZOFraUkgLeSm2DoSClCNOwxtb4qJBXfmFltYAOJW9JdxYNigLxdzJHFcwFnX8iNs6VkX+U4
qvxZphuIidMipzG4bbLyPauwporFyCypTU5wZ7g/Qzn1iqHK1tAPzK4TKcHGbHqpQLyt1hFDNGZ3
aFeFfV4zbzBLfMOIdAo6NWkQQgLXupNVrKi83pe76SoGnOX1C1jdGUgCgQLvksAkVmBNN0XI0Mmw
e0oS6XpuKwH8dWmgCVRyZ9aV2yWPn9KiJgh2TcI0U4ONIAmcaEaSWnxvWyK7E4pyV4772YtaBqNS
oFwRbP8QJTz/cGbos4QkRussznq9XAmcigpOr38rk3QnALEeIX+r606YWGbmdcyiYhH10hxwfJVF
9EjM6/XUgPApTYw0i9ITvmRArC6YMHUzq/uRYTK9Sme5Up6qfl7i1inNByJ9+L23KK0lvPliXj1J
fXzskvgIvgfqYCiZ2PfQhapyQZkAQItaRSE5oav8QCkvisg64tszdoTR4+dr4wsxKZ/qpI4x8KQw
TuIGj3Ph6CNPdByWlBzfYVtL4qUsQywBu4mCOjg0Yb9ri+quFwa/bItTVJYbcj4tshsAm4TtYHmq
PiLQzSIU/OLwuNTxW0tah5BMPolFs5sUIMVxgJ/ZKz9opN7T/3WMvYYbM82QAezr5aIbToEAZE60
duFUnCWtuJSHYJtpy1nodQuF0gAsnnjynuzUviQES16j+fQETJKQxyzVhQhiiaXzlvOPFigXHFOX
c0Twve7m4vAepcSuTLlieHK1flXT9suEpm4sTbrvqd+VAmFbq/fSlwptF0m15i6BiqRUnhUwSwXy
OEGYQk+bFLKDibrbWAKU2QZySjhF3Z444WSTD+rXXusQygFbZ2H9WC/9KyGriVe2GboLZbyc+7U+
iPXBmTu98ziOWGuDepObA2SX7rBGwpGpUiGbnWrWvUXe7bQiT/SN0le6djeICKr8SG0kv1fpLcMR
VK89GVODlKwPJ8kzC0GdYD4w+NnCscCcChdviS/AKs79jSXmUnczWo2ggJHpy8Oo4Q56bBZVHs5p
V23Jk5ecCjWAV6qpuokZFdi1SERLE163AdVDBzdRVYt+0wjN5JuCftCMKXZxj6h2n+mvdVmSm9cB
KssT9ZGGw3SiAQ2CJC76Xin5MBPDmjJ4X52iWvmMV+wlShrZ7cwEAcbCfN2KEDZHLGvUAv6qKOLW
bboGChY5HXNFVlYMrwpt/0ktmish6AlkKZ+Rl78vguJQTtLAU7eiPNcyp1WmfTTvNJEMWQA5L3GK
7TMml6WT100HqZgQ8McbUYbf0lpHIZmfskh+X1iBcPxjqxpyEHaxi0VNnicyoBkfB2Fzna4OGDAu
NoHiU3bIYFWJaUYiz1SuYQfUPTRFMCl0p44X9CxyfqEb6eJiBGIdRFg0viCZ4G+NFQ4suUWcDxb0
Pod3oWLSi6S/LcXOV0DRO0TguIYVGx6qHr5LgXBLBDARRA9y07JqV5PAJcOQRiy1Rh4cHZ+VWlsF
6A+7yMx0lZE2ANdAec6nakQWNB4rRCm2aQ6kAEvGOR6LE0JqHK1VcAZ5xrK9pRTrXnRrnD2GITdz
JtTekrNOCiwuEC3p74K+b91+LB4w+ewTIeU59stjX1vRhm8dnWOHqJEBJCylsntrLeuOA3ojVtkx
zaOO6ZKyVZLyrh5ilh7GBCOBpJhRuSTF6NrSyi8xFx2Nn3ihit1BhQTiDNhofPLjVnVJswsFdD9z
N4a2rFlIh9J0Z2kziX4wRRJTrv0WhakTq+2Z7LpLKpENw3pUTdK2SuvIYSTJB7BXkZGI9Jt0zoxi
0sDwhZA/NbCQQLEc/EIQJF/HUrDreEMdeqWzWBF3ZBrdvi9YI9U6kvx2usuKUvTmkkuQI2tD5Hro
M/M6ZOhPEMGyqWr4ph1CSb7UJUSQQktGFqygfLfI7NgG1n/2jIUHWaOyU9X4MuqTewH4zwaZKfmI
MRGTtTZuF8BLNr6tS7kZFkggCrDNcnpFwvGgaPW5LdhzqsrrhKSlavXHMg0f2c3pbsc0LMirRxGp
rEI+zmjKBwX+qiLP8AKzFf06voR55veG/Galy55KnE2YQUhxJ94URB7bhaBtOOsj59+y+/tE6Zej
ffct+58LlL9/JX34ON1XfkP7jKhR+t1l/KHyVlExQAFiUfk7O+0/0/0VYC+KDJx0TMaQthWmVP+p
vKnkTdEAkgZvATE8o6h/Unl/GilxgaDFtKjgcRdzYn8SQnZBT4rkUsiXBZsuMY2PRpg6yjB/78x+
irz+DDzilWCAXJX76D5hk8Mv/rHAh1qMqS9Kx0tNo3HugGSqnrb0+zyGIljKeASF0WCd1ZVna+6P
dVrdGXLD0UmilzPC/vXSRkoPQ6MRE0+8haPMzIwFrVq5b83j2FaVk5sRs5VVsRC12U3FAwIcyC5L
MaYTNTgVzVquXVMYkLazbGcbbh7qfHIstBo0DS1BE5rOlj8tNoE+bKD9d2wikLy36UTnrz4IpnGy
1B7Sg6Q8RmpWOmgdb9BaXQv5dCEI2kUXi3iPRjaAeP93UDAvxiAPkVNLd3TXxLOHw+DKa+/eD90V
MM0NFc6DZTZvcmg8h/lMdA/CqLQ3GAzN8SXhoged+fAGAt9Wt4LGbwl4dZSmuSv1cBuvsapZFB1Q
yHwpRvxzQ076jD5AasvKqXKFfl27o/naSN3yLOV4ARc1Oasm+vRvDivWAbWePveGdNe04amc8t4u
pfkaKoSPqWKLyJA8FNR8PFEKKbCRqD9k7UaYqa/zDlePYT1bHWI/ZXL7mj6g7VWqA/a2JpNRfn+J
j8zv3ZwpsUVdOwlDz2QCt6lbM9+TjPlCHsGszgwUx0gibUXKLqGaJhtaHH/J1VMYBqHdSapvDby3
0ciAHWjE4Fa19YwTY4sI57oslhk/VXsf63BAQgiXttJlN+3Y7yQtJbVdEV/FbOayHOf7jJrIn5Tl
LE/EsbVRMmBKbb5KmfxVHjPmdjSJZWbtyGuUGOKNPhqcqxxcOUN+/WgoC0V3VrziY32MjDZyCLa+
ZXxGaVEb6XbsFR/hCeP+YMOKHdYmHzF2AuoYYXWN6pciKcNms2CUnWkA8MZJ4pTGgz3LDXRXeK2F
KxrjRjLHdZ/eTPss08gnm3FNBkjsVOXrSJkda6RsLyguMXtWw32qKevWf6RIgzGyTsUmKXbTRN4p
dD4SAppu1ZOa9QtD4GspFd5MDLFU3O1VyacRnceALaXt4N2ObjmSRSPkGoqVcThiHC5dAdGHFqes
2NshXu3745OeGK03hdUpjMXAadnVkeFnR2p7rBKwgl1Lp909wm5HDWglzpCIMIDLU6rzlVWK9JJR
FNQlYbdkCHQi8rq9ZZqRUg3xV32EyJ6MuFCnXrqGNu1PVCAp42GQHXSqevU4Nh6hkTsKabDDwnbW
jZcpEZ9Z2aSOkYGanbPnTL0Zxhb9Sb+vytDOBMaTJIxjd1vlRWqH/lDxRiJqqLU3jRQx5lyqwVeM
pNuIEgqocFCfC9KfOiJw3UBo6BTHyu+l4jyXhGyVCUqYWb3vOtE8gVJR69vVJRKaahNsSzmXsr87
Rn8ck6ynKNeFyvyURSyLis927rZtFTWY9flynB3DVv1gP92UJyy6tvBSPFReukNtYAcHWpTeTXzl
++7op8f4uun90/z0+8MzPVJAW7AL1j5hS5qg1wZB75fLwXipgp0ldrY1PQtlbn9YzVx+/xc/JiT8
1eNgvUIXKK/pLuKnJAur486KgQxfSvGRgA87y96scAeR4W8eR/uL18P7yR0okRdDJsyPl1KNmFnr
pUi81LVDo8OsRN6qPvz6tah/9Tv7+GI+PUgfiWIrQ7O8HDbtPUmU3rAVv5pkeNnlCat4aF8Dg7Pz
jby9uzDdzL4YTvHmvvUC7yrZj/YWj9Oxc/mLbrnhf979r5+f/CNj5PsvdYWLGLASWWF9y4F4fbmO
i7D9P/9L+t8ZQQnsAkTpEqHhRXAF3uskPYR7sgWQ/bqzvX+S/Mm5qDfjVtOc/EDzfYUCawOB9N9C
8jvPcuVb/Xw1CWzifzZAu17j9vUvpCLrD/+xoZQZu0owuyDD0Nmu3/8/NpQKHkiDOe5K4TIoNv/Q
0SrwauRvxdefP/UfHa3xGyBXug32k78TL/9BMUlR+uF4ADbBwyOe5WBY/1H1s1BEyyhpk6BZzkv3
UJtED6Ev//DG/L8cDPyrpK+uNBw2qyLKlh+kKEsV6BUIe9QLE9nBIuxBWl3t6zBsf/04P74SvhOf
Hmc9OD58J0pBquqGK/asVYMjNdhjvv76AVZG0If36r8f4dMRF0pYQHqWNhQhQNjVO8N6L7EKWsLZ
6mGry6LTDk9Vv+3jyw6YrxS/JRB6wku5RHZyE46V3dUHXWPJFDAdVK/65GbEnT6B1vv1M5XW0fsP
h/6n9+LT+aXEcHTGZn0vFC9YcruuHvoBc4mknseVPAEwIp7fDeS3Nf9p6vH3U+Gnl863U/jzE5Dw
8Oq0RKrGlfDjL6OA7Ya8yJjPOGFiCWpbwwRClZXOmSuiadbyHeYOzJ59w12h9eO1lIEZHmmpnUGE
0NOsrB656sWBWF9xP1pd3/hZTiKksicxHgGrLCTS3UQksa+kVmLaZEnbJB54jY5nBI+KPBAj0M1U
NSj/ljMeVy9nt17Wgt3rcOAn6zIHprkkm6AnhRZXSXvbhuaJItRuUt0dEB3L5BlDaXGMhQy5pHJT
7ZbssNrVERovNa5XKrxe6o+GCCK+2s71Y8s8bRYQR47FQerUqyQ5JVPuDwUrhVzL7Aq3pFeya1V1
lxA7O1kVzVocqq4aswERTQTFZZo9gW9DBwPqzNIC9vTh776Hn/6G/nt78+MX/3MK2hiDMuumdjmL
vrINdsuxe1B8c9ec2eIcu23tNJ7pWs68UZx9s8832FifhB2wD1/0dW675Dsm/qdP6L+utE8fWfZW
H7++akYwUL5+ZMt0h7IcJDPB0vWmFv/mOFo/+p8/mR+Po7WO+XBM4MWjeI14HIE84tvpax06MdBv
2dWDv/kSfAL5fD8vPn4JPvXPFs+rUaxYPkeKAySVXmsCMGOPYE7At5zHv3tpf3UCgh/Cr2FaaE2s
TydgrucTLitFPo8UueilB+Hy1+fKXx2AHx/g03snFjERL6Esn9vB7dlKjQJU198zFX/6Qfi7B/l0
ylqTBUCCnejZGg5Lve/0W1zOv34d6/P8/Bn4+Do+HY8zdzXQQk0+g9ZHQzjS5ILkubCi6fuH7f9b
9sH6QK//l73zWI7c2rL2u/QcCpgDN+hJJtIxDb2dIEgWCe/NAfD0/YGlkopVkurXHz3piBtx44Yc
mcUk8ux99l7rWwV+jigIW0IVfn9h77l9/vQ3q7yN2vGye6vHq7cGd+m3jmD+L/9f/+XvSO+bsXz7
7/96/pJFObKbto5eW8rLj7jvOXj579ujTfqW53/9RX+0RdpvlAdkWGyx8Q7Pvc8fbZH+mwvFj/8x
6CLqmec8Z2gX/vd/Ge5vyLWQXsDaInhllsl+m7HxrwxH53vxf9wMuGz9mxmbZn3+MNEYCVojlcZM
d1iLzN/u0zlB8omtD53jnutZjS7d1KYSWMMsxjGUPNRXZkiyxhOmPUSwH9Id8Fv5ckLOY8Xuoc7d
BFhV8pLg7RnnfF+9DdajELgwSyMdZuHStMsHo1p1vXuZOPJ9zuZYIp55djt9oyAzZ3/oBWa1UZGf
O8jQh1LZKsjSzRrfw0zsDWJ5mczKdautvaC2trYKuj6OASohcsf9ACsZ2TuzxJM+qV406+HlrIzv
1HE7zlr5XNFeYsTzA7jyXe3YD4j/d1MtXwEDHpFSpQg4kSU9urg4IRYni9IseAYdL5l1+rHLPhUB
SQVmTFlzlc+Xeq9tK+T9/azzl7PiH8p4jfYMFwDHFj8tQA2vKab7DLsAUgBS3GYHQT17CXQWuaHA
qWN0wbqe/QYswOxVjAXBwYqAMbOHmI07ASbhY4ZdATbGdZgX5yTPMFeEYr7OZm8DXq6dnN0OboR0
XmMq4qlEQONFwBVRzv6IjoyuJSY2xh7jZWYmuybAk4vg5cuYIdVVZ58FKWp3TsokwQjGZxo/VMua
9s5an415t5PteIhn1warGZyfH06O2dNRzO6OcfZ5DBg+JowfmZLLB36fe6LAp4xwGXa42DwxDMRn
quVfy9lBUqPpazyGB1WIszPvJhTXSRCgEE6LEDNmm7iYPIN5tdw4ArB8H24iMNSIf4PKPerog87s
pGBjS7jSjvcFXptQoxI2m+Ne+3gnQN+O2pAvqoIFfG+OYKVqU6Re2g3BRhsLMNR2XusHm0J87xSW
s1UmlGYfp8D/9nn4fw/vPNf+vz8O0TbisfrS/nwizl/3x4lozMYBEIIGhF7u9Zw4f5yIxOYy8DCB
IALawXX5x4koZhoqAlcVmyZXSW2+tHzbOgB0UGFsMcKnDee/+VdS1s9leZYZsbymrdCgsepcaDn/
v++b2g6fDJGB8qJTz6ACx+NV0Wy+e1Muvhbg70dIX1cXnwozyQo25zswUn2Ok/mhCdSU2oCF3pQX
huSG0CyE2TDSCw09Ny5QE1V8/gtrSC6nIrKc05xg+cAJoSeELpjjMgT0pwNVKelKCiTyBCT56coy
otUUQW7uIEONY3rhExiZFgrBlqCkquK6VZlujiH85Mq+GqJmC04U2ExG/lrUap4pqjOlJOLESV7S
MXlWsOh1ZbnDqvTA7YZ1bxTCqWpWjp7u7LCpFtpQv9edDbctkl7KiYVklqgzheHiggCubdWjOO3s
+NZGEmU0S368h8BSdwRf4aXXyjMCZd5S4m/h3UP3GrM3v8TF7WQlrgYV4nPV1GuElQe/taXn5OBu
agnVq7TVl6HJzwyBSkoT+U2vBWcEYN7WA59uPWrvk2xsluEoXxtLnI2iztdVXB7zcJCeW9kGeCDf
XPpFfV1HbFltUbSrYDSOWcAItm2My1QiLp367kGJDTA3UNio3xj69PY9tonicSKd9PiqYDUl9ras
BfiGCrRfUsVbi6xbCIWc6kPc5auo1BFk9qgSRDndawSNGvw6F0WnXJmS3jzT0xuZoQdzneRRqWrB
ZazcubCYTmkrtSXL97NGicqFqlViAWbyELSv7LbXLrClKJP6UgxVs3TT/N6fsL/6lQOSNtDOaqer
vba3N5NtvpYRqiY51vvOFq/OzIpz4ujdyWBvBOj+vap1b4LKehdstVVUNhHr4KXWxNtQr/HMgEoq
guyi15sXLY6JpSSnA51LvksjAhlF364jh+TKzmDELJoW4KKiuksz7y46V7ntgw6vYNqiWwjrlSbC
62BoK6+wg26Z+8YqFVi6eirgNJ/OrhNf62hBIP5i63P7+wRxBzdQ6z2O3SdQerPPn6G4QRo7HN0w
OeZZCogtjsol58ptMFaslE0MIolxHqS27YUFyYnaMDz1ccrTIysADZL3w7anx8TyWZBQv+Evvglc
yuu+Vm+TIL1tItABgzKjfoP2mNnKe6s4j1hN4S4kLPENram8wS/cCZulVehwNMZkV36M1qWoK5/Y
in7psqOrbsxATgv6Cp5ywj1uEzKSd+Y0xBeWIW+qSqcGlW9Zk+8w6KTQN8ovJPvN3HGc2F3rsHmS
iNXrKL4XosXn56M9se5ydzVsxnCMDxnqsUhRruoududOI60wE2Yov3uwH4SdFB7Zq8WySU1InDy/
gVGytjCOaNkzejHii3Bzlnw2Z8jEqSnsh9Ax3xCbVQuOtWohJm2dwf3sw3FPO/usDN1ethEEDyLd
OoHfcTKu6lxbwb24KjRjJzXlCtclUVbBnZ4QAeGYEJPUvSuDC2bdF2RkHqemXU8d0SPu+KXrCRZF
2+glTZusMBMuEwRKdlMjOnNMpFD9yUY5XFcJqS/T5OF+kjifBtAYjrLwFeV8bOu7LHKTla83bxiy
1no13CvNm9nxJPaWvTYELualj1QZsY4vaWLjblSUFbxP+84O+gHQZ60v4wD8iOmUbXlKANFkhQBt
MVUru8/JY01jzq1FUohyxD0EfqcdodY7KX2ZY2R3SdWs61Y+SJnegbt+VLPauFQ7c7qg4FXrOq2e
K13bhbXxZfCd82oaT27qBrOPNUInTsRpVPUO+jbAkxAl0YxmzngMsvA6CoKXWCfbSiZduq+n0abZ
bNmo4CZbipZwEJ3fogxvoqiIPddQzrq+eegIELx2FCNb+/OWDG1Kgz+W2kMqJWcAqWCW13QlSjiI
QDdWbIzeOLpyFdSFmfMpb+59t+k80drZlk+z41Vp6wmLmWavtXLj61ADjKwYNzJXQ7o93BRBm4BA
THGnSYhsW3pZEjTbq0aES6ITNnE/N6iK/wogMoZQqt3Qaj/U2nAdmLW1Y4P9ULg420Uw+ad/Lrs/
TV5QPZGuNFdcHVHwfLP7vrJbaVeiDai6i8KBwaGdx86NxZ/a5LYQ/2qz8rmLoE2Zb3owkjUEFDb0
5fnW9d30pWmKodVh0pJxsPKTu2pch8rdP/84v3qJ+d9/9xKYZdJUdqm8KPlgjoq9CPsnUV7/f7wI
IdskjFr0WB+j4u9epEH4hFVQygujvqmKw6CclH73zy/x869lVp/8+RI/DFtaIlwCTQzyQjjXWbWe
Miw88jy3n+PxF6/000hs/qV890rzn+S7HyYNezOzAOxcVCMZUbmFWOCsy46yX/XZ2ZT9HoH2twOe
n6YvvBz6mJm5DzISpfrnl2uDeJjqVpPcgB40iKe2dROE+zH7z13j62ZKY47493eNXVa+1dFz+hd3
Db7u211D40Ixr6NxI39MWPgcfrtraBZLKRZVHAYf3Da+6tv0hQsKlmaV5p8v/EpO/7aU0n9DLGWy
S2Jy8xHM8K+mL8bnDzE0UADsgEFVttaMYFBafX5G7LAiM0GpxuNglCCjtASb37G00Qm9q9OUm7Ra
rdpS3Y1ItadtYSUAfWmXY04wSyRXvh7OnbFPjoDW2+MCR/Ar4U/NsnB9cgOTa5jZ2cWYIEypJktf
E/KECF6ozbGwrPewdKi4GchJLYcLEnYdFqgGBldrSTY/mWYepq7JdkqetrT7SZKPy8FCVhLHQX0q
WdxRTdxDbLXJ3rWYszWlHNfIoOYNEDrwFMHPEn3RLOFmOCP68Swxo4NTtP4+i9JknSguy2OGS8QW
6xZkk8Qc14Nrhx55xQC96PGWWvIRPUlFrJwO/YlQHlNO79Ia8jM77G40C3W4nwlCcCKuRIE7Kqc6
tl7x9bIQKmwN82v8PsXxky0jfK+i1zLI8njSShGPtyBQfK+qQ0i9BhOFMH5rSQZ/pO1VL6e0LUhq
SSvPblKwb0wPMHm5ubvvFV9bWVJVzkQ5qAczyok+R3tEGGRnHWoovQ40sGtuQnCqxxulBDtXiFxs
VCwJtgU5Cr0UpjL8K7Sn3OKmxNYWQpXMqMZEOWghUVf2SFbdY1+SQeyrRrJvfQztG6gjI23yVLMA
Og/53fUAcaLjSOo2VOpAm5neMd8JErSrYNxyXDZBsGkVc1e2o36j6F0a7dDdTmd1n7vnUT+iFi0m
BxkKDGMDka7PdiqMEve919zkoBfYB4iCv4Z/qg3ex4f2P5OSeWT796fXdfRW188/n13zV307u/SP
uQa6B4ee5Qf2AswqPLZEUc1RtB/RDt/OLvc3e3Yr4flm0U1OFd/w29nF5NjVGPPapm3oYk59+DY+
/31o8TXO+K/zcPWPhfafQ4x5cmxDpOJ7mYyodbbqn8+uCahiqBeReo4mlF1rBkrQ0p6K4IvqYk9n
/Vpb+SFyoCRG0tUPsuSf17p9bqFR6ghkspzgKu26J6wyS3VUhg0U2oe8NjeY/a+MHNmSyxWosR8Z
amOrH9rVZPMhMO2GFaYJfS7obsshv2EeWxHapKbLqiJWgWngox9HiOH1vQmsKNOq5wn4ghZPDzqc
wGU2tHiFQIIPsb1MpmjbdMxB4nx60AJ7i1AxWoqkvRjs8DHO8ls+GAeSGx+oM9kiMfV3BVk6mLi7
RMtA5nXcTlxlPdnTBbcPTLRVuSnduFvifQHU38JI9rn8277ctREIKwUVecBBYFeA9BuGsGPm3FUS
5xifTobSHTg96Yt9rCLhjKWytWTEvT9CttVBQynEsNPh3cjSupJldzW2WX2bmuNzWjJssSrnLAjV
ezUz945aZMtSHY5BUpqEZ9nKyozzbdsrMUq1bi9EswN8Ab7ZN89G7UuT50+B392ODlerUVAxMGo9
JWpDyhYJCKkt3gwbyYFrarfWhJxOqqIH/uKv24YJ7ih7CwfwuI0byI102CURml3DexYEKTGIYxBj
wU2whdandmi1cOUz29+0KAKHfVuA+ZpEqba7wiFJo7XdEYxeSw4YDOsaY00k/H6FxKx1n9O+ksjK
TL1FRK8O2WKAii+WmV6QyZgKyO6g4ZelcI9ZV1UrwjBe87CGKeiz/WRmxLpbL/grqXpyal6BJsCm
B73EGmdGfzLWzukFbY0QosBMruypHPe2YZ+UEFhZq5d8DxUzkBI+pIN4zJ1BIrXtr8uOqYCrlLim
KvNLXDbveDreppatCg7pu8ASPAqGcYQ6zDah0fd1rkQM/VtjJcz+YtAxfxtushVh/YhhvF0bikhX
pu88ju089BIWCxBbfoGHIxd5KlFXZhi78qhxyPR0g2MaKKfgMe29PAjO8iH+IgZA2BnPC0EWXC73
Vg6bpCgvewPzIKal23KOc7SKYJPicKLlAXKvWvc+sKqNyT9xNHkfTNUl08Ulo/7mIJvH3ETw6Y9K
wVjBniKPbzUsVBCv2HgVABh4ppSwIX5u6BednE3XYXXVgfDaJUiBJys/TbiuCZJ+t1xRL1Nqirqu
xqR+/U9d+RD+zxq5v68rp7f++edgMa6jfNWnusLYHbywzhB+NtV+64nJHIP/irKfzGzyf2Yr7p91
hRaVwmLRrYLbmaf2f9YVxu54rilUDMy5I/6LskKfTdn4VFawFQDKxxEL5g1z7w+3NL8D1Ef1GM+j
/MIYoREA1JMLMDi3w8STr47wvl09PzhTesUw7gWxt7K0lYljE5DOYowadWG37hlUwnNuZgVGKevF
ZUyYdu7dNFW3hiRzls1bpUBri1z7kbi9cuE01pw/NG1UPTsU0uBD7fekJU7GSaqYdlJLFfhxkjsr
sKa1UVg0zX61BHuT4hEwH5LUvgvG6UXxnXzpY5FizHibRO1F7YpT5PjaRnW54PKpK4oBMWOPr0/2
JSKaZq851Ish7zGfF/zMEyY9lDVOt+uccE3199nL5us8VO4D6LOdcj/q7NWcYD2JMPJyGxidnzcM
9mHUxaT1VM5szOLKqQntS+FG502iWYsgqkbs9pkX9b6x1MoGmDOwYzM2GNjMJTbIlXjlKuZjNiU6
3a1vk2yhpmd2EbleJbEzK5jvUZrjBpO9lwocpi7jUEe6E/P87toaywIfmXnHBqNKlkFUi2vX7oKW
BAGzYInI5aGZbjUpCUTqHaRPnlm1arhKP8rC8LVGEFIsPL+Y5VyUEMfqVwklRU0H8JLUGLLTYQwG
wWaY6489VyKfkiTm2pRRpMrYPKZz1epxFYBqDxdWw3MTUtpaSlyUvtUUvAqHxMKkBKLA3g+1TUAT
xbHQVYWTkXqp2f3RnStoMhIGQkkdhXWWzTU2o9hWmlndiqy5CjJxpX2UY7nr9GEzxDE5kCZ4YCXy
t9AvINNWxn6cqzq1wd6NCknPEyVf6WtnYdEE0Btt1IhGoKE9cGgTJhfJCYAp0uiD3HN7OIg9TUUU
sTbgEniR6z6GTYi6ClT6mkZkStP7lMaEILoMWHX1wCXjkPvJLTk6j0FWXwxzTzO0zjahyWnq2VxY
hFtukYCMBEp6GqKss3mYaZGQkS0wij63Y7Rie7V3aaU0Wipc6K3nGxJY0txvpXV604n6Npw7sbID
XUwR2Cc0aeXEhLS1H6u5e+M2dKxp5yY4Uarh32tznwfVf5nR+Jk0gHparG0aQkOY58PcIUIl1w/x
3DVWtI9T0p8ojOsk/5LMxuK+jVeN9DdFhKrIZWvtQTa6iCwTf7DPP5Fdwms3D1xbiXKx9GfQlzkj
vqRdqo04w8KuL/p+vLGmtlgMBdQKo7Zv8jzYA/16nJzwmLrDpcEsVVOTfOFWpKHO5nUX27tlV7u+
y3gA/ZsUa/fKj/U3M8Y/GfXaDY/xg91intH8AquNddm4BrjqsV6BXL8ofJmQiKGxnwl0NhJ+bpJd
SjYXmeoak98h5ZLuXiUJxwqZr9XO70N1lYHyWueW+zL47XOSVhe+hu0IBrTvNRJjQzZWUMJic186
jbiYDGejcEWFMN1X8XWZa6/+aOAhTiagrMWBhLMXLddIQOxGkKCusmoT/RQyp1oQ6dysiR/N127S
vhUgIFcdGC2vntcROGlcmlPWdJZrM4832bb4oj5g4MP9rwENY6Idtlc1/iH8RcbOmgg+65R9kfFT
RmTylC1eVnNShDcGgReHWbdkwvKfm+TvczBK7d9X/F0+/oUwey7P3+q9Zv5mUctRWYsPIgYF9Vu9
J1AZ+x8Co985fVwWv9V7cgAtBEu2xSXTcJEG/Vnvzd9sZNyYrtmPs6z/twqk+Z74fcHHMsLlkT8D
rQc31o+G4LuxrBGmJfHddnvKEitcF0UaeUORsZW8xPkzUSIjN/QnayXCXg3zVdIncmVqPHmrAoNp
LpdijKDSVQ717RzaqkkCqNNJsvQW2mBVsDHNNDQ2uOyylBmLSCOIMYof9zoRfW6RP0211YkLu+vc
OvdsiKBiP5im5ASBdBc3zzZN/DQtWgtgv7ochrp3EY/2Yb2Jm9I9hpUaghaoIQJLKW6rAlCTA6a3
6goAySKJWVJXst+TnzmudSfKT3aadFdAeuSLSj9d7vo4DF56UQ/rtCGlLrKSgqVo4Z9ixRRrLmzh
FoUZhgxHGuOlZuv+rukKeUxyW560uJ9Ttsr3QjoNZi5dr58BdtKDt0LvlqFv6rvQjNsbXVbZknfQ
fKV1cjd9mEp2yXgUSaXbpIowrpxJTVeDEXC8dyroCkdDV2S2rbIzLHU81WqNNR5X5lqUWgnBpMk0
SeEH9DX1SGl9FTaQVmJKdN1QfzIm0tnCaQIAmOid/pKwbdx3VRPsRkRAD4bZGNzxdPydJSuwycm6
865LXnlL8x24Be1aa+g+ljGq+6NAx0ucWBGeRnhUXjCa0cmMmmbjuikn7OQ6J+AQ5hbqB7utEYhX
iJzpFZpEejCl39x1sC/WjRvnpK9E+pHBSjotrLBJ1qPrs6AfKuuS1bKyZorWXBiRUXrkbBd7TEDE
4zXJGayNCZOa4qwrcxzepQjTrVNmwdlQRII/W2wrx8i3VFyjDTd3MuIQQbQMA6vRyTdlAExWSJ6i
waxpzCbd9c/SWrHuWJDfF2qoH3TFKc/54/trJcFa2BQ6qYx1rZ6PU4jRDvjTLojyfkVsY8zithyv
wtqRhBnIajVG3bAK+slfN1XTBP85Wb+erLMf6u9P1q9Bq4vn+uX5L0d130maNPc3rlgCCadw7fl6
9OcRyxTPsrEwsYVghEbD/ecRa/7GetB0OUy/ooo4mL9dqdhAWLqF2Am86lf957+4U3FUfzpguUvp
TOi4SnHI4sH5QW1khDCf2zETpzB7mprTMDx+97b8Phr8pGea1Vw/vIKtC2x3BhAnbFo/Oqg7vxGt
bw7dqZvMla6X77gfyCCJr3jY3+lwvBoNoUdQQuVpSr7TbXdbVzE9BqeIpVjwKaWxye16qzTqTUwc
CM/3FyUlIl13wT2D50AWIBcTgATAbWZyMPq2Qt2REUyxGDCoBryJSzOEU8TVbJxIHlPN3RA2/rsk
p94wstDyMGXbBIJE6ZdKn3OsJjyQAtIoZp1AeYiJd4TRIF67cMjWrWYHTAHDag9Pr4Bj4ZzbJRO0
1Kkf3DowVpoOiq8UQl7EA0N7Qy/atYaqazHWOU7w6CnR9QObH47CbDzIoK+2QBy2ed5OHNYVQRHp
BnbfEeC4sWDT86So5MVrYnjPEuW8HeDaNdk0rTvheEHZXttxtlBUsh9xFieqss3L7qxFLQXfZbwc
EueMhhSzzVRjUwe/atvPvtYDIrHjbQC4r0ui55bMe8apBGqbzpbtxLky8eUYEEJff2yS4MztbA5Q
8yByCDW13h9TA6ZIZqzqstpaI3GLhXDv4mgC9J+kF7WPf6GZCBaI1Mey0vG8KDFJLOKmTbVkRgsm
aDXENVzFAtc7AKvOiXYj2hROS4Qofmxt0Bo1C7ZaT51wVxKrO7+LmcMGXIoYtTMWqEtX9PeigL0S
mierQUrSTkA3xFWY4S7q/Gxji/4YynpXjJIyHN+HPWbqzJXbtJeHUE+vLcIySdBO7wlBu4Ndf8/I
b13UUAgnc60M9ZMlWkg2rbtRjOax4IfXxwwmzzh94Va/4ha15MroGclwKCUOnK4CzSiYEi5aB02v
sP1FYNlPfArWcRQ/Bj7pM0MDGF7pOh6b6h1yB2zieCWM8qmr1UdFUa8bG11NwrSxH9ylaqYvU+Jf
JmC86f+DQxLXyQbKLaoxxSYD0l1WZRdyo6ZZV7PsxdVAEyhofMGM2ebRmeVwESlGnlJqvWda17Er
HrqygfCh1wzPy/nTE4Oi0eK90pXOQq/AgZsVFm9FM68GB5RlN6IsAZQyX9MBR7ppyYxdkAcnG+sU
EK23ikzrDl5bgIjOd15qtwWlSSgijPHS6vh8173fcClRwArGUR8RLRFR/0oLcg1vBYKxEmKkQlBs
jNrXEyES57RT1FU7cX/MWx+zvDMjjbMOtiAUfyccdTaJ9b4lba8UZQMKHaWgZqAf1PSq2bJ0j1dB
1B0sOshFk5T5RpvMjT9MRDMPurboRFquinZO4mHheG6nakquktJcEhwTLH2/fDWn8a72jWc7IRDd
0I5xqGVLV1MUZsnKwU8AuWipZsIqNYdlmxbZdWGCMmZA4Kf3XZJfyR4ROrki5yJCsainyzoWHlTs
zivKfG9XDK/x+fLfz9R1VIGlPQcBj2cBCrEUXXxMaFQ5tYc0VghaDY9qqt4nNZAiBKjS9dNNPiRP
YHhMBgTEJzq+heFKHRa+iOyXUpKHyFALgIGoZHbDTkKuUfhgFC8iUiBgIITOlCAMjerj5CQnQy+3
Cc56rbLoENEEAVUAHSZNjyOPzYLfrQIDZ1k69reWUt6wHAbuCXzJa+ouXI2yzRD24VqXqlVgQEcH
CELtneRflWwIuFm8nPDq0hLnhFCTPzYmNmqhOIR2Qz73hqM/vPcrXoE15E2eGUwXqJ5n3VjHZ+T7
nnL85cvUNpwd4SCw5gr7xqyKmL8i5Ay1JKK7Ufj+mrCEG8sfb5zcnGYnP1CJrmjWZhdoC1sO65Ze
bVOqPdFPY0U8CV+4qHuze6ij1FkPpO5B1YSsR1UC3i16rqqJLNeGk7FFyIpHqy93uYzWgz1y458J
Y/ZZUo23ahivejTrQJTD2y7VAaVW7n4YyWUplLj2Cj8l2rKL5aJU1UeUB4ZnDKJ66KxS88qCzUIS
8qDbRDSwkTAe9MFtr33dHNZOp7ho0tRfAU4+awwclAp0GHNiqWvPLPc5m/R72YueZUgPgjg/tXAg
iIXcmZa8lHWz/ucu4EML9Oc97tvrsBBkJche8qcmoLUnevMwP2VpemSaesupdOFk2RPHZY341OUX
MKbbfigJEUu2jR4ewh5QlJ7vOakO+P9wWiSXDOqu4OiuDJiEwIAJXfNBKFpAKPgIiMk5WWrAZvWP
vu4vGpi/fIfgBpD1A+sJ0v3nd8jMuiJq3SQ/ScjawXijxtkyLL4mMP2tHMj9QX6EnhwLEIAZhui8
Rzzon1+l6RIkzknXn8ogbOCEiJ2BUXWh+ogG477HgqL0Dwqx4Ze5yzPoqjvpSIycY8lBZaBGiDNU
ZFN3iTfXvc6pSvB+T4qK2loUklLO+G5hFsEpgiM7+Cbvuc7nxsokpk7XnK5MLX1O2nTJFCzaTJK5
aaNZqxAN7yppjVel1tcm2S0AAysWYQLCV1EZ5MnU8PuCktYmtHbVpL9FAqAFl+yOHDbwcOlxnOwe
Ne1IHIom46MaltliGrqQvgmIYOjGZJdHwZ3fadlNJckYczVCsbM5Fcwq261FTmdfUOK0kvl9bCer
UtXPEc/kBHwhptaM9OCrzx3sO4whnIuPjoK2wyZSfozFYwrOcpWXkApL9k0GvhsgVRQxPmYeEmMM
nUq2rdvMXGTacNap/XNCPO4riJmNahEPa6fhUS9wvhpNtY4MJsdMcq8ydlknl9AZzZqGfWU3v/CB
ssb/1DTzeeF54AM57+PxuLvzHub7z6VvKAUZdWZ7AjXxbLgNWe5ln54s6Poo38Mnltz4Q1HbaNbA
JjmtF5yoR94VpMRhYm/1oDm25ILLST+ahfNgiDxcN5lZrbtOFTt8f+QTos9e9E4/JxYIAm0p6p5E
KeJBBqYf4SBSs4JsJLO6DjLSE7WwKagG0CxaRCF5Wa2tbHqtC+sZcJK57DUImHVG5KA+0juPbCxx
Dljkyy9rE2xpLa2H2LGQ1+hfLBvLZCk5BoAlW/lw47vxwQZqXBXGtWWy70W92436tdn3xyQOr7m/
X2W2u7HG9sFJ0ErTN6orBjj0ghXL3072S8dkxAFazFN9ncphKc8Kz8SydI1HzVAetLCv0LJjPQ5t
FQaNMhCyUiA5rzeqGu9IR17phc1OsvdY8atL9tR7G8+X1HomOugosRzeQNo+uc5A6N34zJL4tTIA
JNjWyhz5c6JAYgB1XmC6sHNrLQvhhTZphFFuL3U3uoQcmOxGZ4LKOK6s1AfxTEMDD4l7CR/GXnEv
ZdW+R7bCxnVUIcXFa8YErO6b0NODdqlp1sEiQTwy8F876G5WSGFhTdKhJh2mKc1fJexli6IlbwUI
UygWQVis9UTZZ1TxUAZbR0tRDTVrrF65C+8NvxVVM/XlGqbWKq+zkh1SRV5homyYl+2nGH2CyypY
alBsGpVDd9K1daw5C1M6F+SzbIO83QeyOuSOSdfbpsp5Ws5G8NQ+E4Hcl3pcLU3QlQujxAYviXgK
S3mEYXpRp9YyJmCqABtFujI4E6IHJX3MCeOJNa4LsfXt/r5UgQ1m6tEy8QKQWHaIQ4lW2fcJRtZ7
0jxNTcMM6OcbeKJeSd+wLca28YDrbOueLsQuGKvYiATIFdN+Udp+8Un9Uemih+4Yu2XSnSzqft8c
s5xcjp5dizxP6qPGjeWf69HnFehPJ4PBzOD7k0EPw5zbBSdDUbxp9pd+uMJumQcPUmz/+YWwRn1/
cf/6SpZAQwSVg72r+aOIuGlZFaBIOE3aGKxwiTTLyNdvzCYodmGBN59ItX1ZRirgLVU7OjMS3Iox
XE7xpK4k33fZaMq7UJ3LITfgIxrdHUHS54VqX6e0b9x6MNTo1/CbgOpjDc3a6Im42nuFqe9V0CU9
BtOw3WAk2JtYLWksVqOmMtP1/U3eGvY9+JDrcko9JilnndHuIkPfTwHQzdI9l0mwrynbtsLqSYct
D4AJlDikSe0+K+tVlPo7WZKZlGImas3sGRKmuUxl8FgNbn2vz3EBemMEv3hXP89bfn5TZ2HwdwNt
Ug1y5DrOcHKGp3B6GZ2v+c5/20n86vv/UDhUJaVHDpKRtfJ1GbMyM25/8Vj881Nh/fD8YbBP1EQP
xpOpX0Q4Q3mb1HBc/vOLzO/Cp3aR8mcB9bZoSTXTsX549Aa7kWEj+CmII9Db11Zm9CS35K794reh
f37G0alhMgRBp82KXVpT7YcXGuMoB5paAtlfaK8UNe8mXfuesuoX0fJ+kS/ud9ayP7xcRcvwblg9
p6vxhU90s/0VoUqf52w//sTfF/wfGkAXrSyTbo6Rdt176lJdDdfdJrtkxb/CtVqvtQ3v85oo3wUB
givXK/uVOOWv//y2f3gLf/xTfP+R/0FfkfoNgQM17/sDyqAVhNq1e2EvzhtAZ97m3vwf9s5rO24r
3bqvcl4AHsgbuDwIhQpkMUmkqBsMBRI5Zzz9P0G3JJpWS8P/ufVNu91qqopVwMYX1prLvQBqHNjn
eDfvyztj/y70WLXvOfecNahsp/MYnXm2R/bBvgy6q9hBABR592QTnWUXF/bBPkD+3bfvi93dr9/6
Zoj/2wf4+q2/+QAltUvymhC7s+FUTr3rnupd/U7x0Lt6UGq9xC93xbEKrr9c+MPBcGnY0yNK22N6
JmfaDX2M3V9D9/7X7+qF8fKLD9TchqOvbncMN2MrTN5VfLCd2F33RRC+K0kNIVDTMZ3Qad3FyQPr
3OzVjwzS/F+//nb5/v3lf9xHb04bjhoJOvkyn+W18sU0nVaJSEp2F795KG2nyq9e582pYyWWNo5r
vpypqZ1x+iLP+8n8vGh+I4N4q3e//q1+/lV//63eNpNSweFvNOlwjgGaL+FtHd38317gTc+nzVZu
mgUNVGac1JQ5oC28X7/Cb74YsR0Hr64Lso6tUizcaBWWuiLb1SqyBOs338rvPqc3h1un5F06AgXE
NM+3suYuqlb3//Z7vLnAhmrthrIrlvM0zm5isqad3bW4/vWL/ObqEm9OJTOMpIXhHE8DqNa6zZo3
7680jWxXnLzppJ7HKPnNR/fT78fA4KFspnL7rdCMZDstrJN+OOvF87bY1GKGfMGvf62ffj2vXuPN
TZNHdieRYzKf0Ykwv78pit9MFX73Am+OxJXgWMzAzXiWObQZRmda/puP6eX5+Ksb/811TFaqhciN
65jewGnc6Djus0taBHhJbuxHVyzYT7/+1LY0q1+eNdtv/erWUZj/seCPeUZ9YDBccqpiz3CQHH9S
LtbD6FyT1s0fOIZfuIpj3UjObe9vT/Xrx+ZaO9K1E0BDRL2zL904+N3b++mD/HXp8uZitZKWpNKQ
m0652h7kktMFuX4oFdfJAt17KJ0j9O/Ts/yZ5qx9v5ywXv/m9FK34+lXX8qb732UOjNuoBGfe2/0
Vg9Dm0rq1Cn3bu2zeaEFg/eo7kKnZGK7awPAKq70mxP6d29BvHnu4QGWYOjX/Rmlj0Mk1+qkX42d
4onT8DTva7+4gHceSM8E/bhzkF2h/Hn6zXXy173jt0r7x1PizXWSEZxOOhaXZrubdziUnGSr6g6Z
+248zIdDshUt575wHkgG9IpdHYhrUpe9wY8PKAI//gcS+V8L85fG7G/fyo/b3XjzkViSzW6o5Ehp
fD0wSRPz5t26Wy+Sk+J8iQ7hLnOtA4leDlZKV7z3obnxFfVBtrtLwFnmwX+Kg3/tNQqn0PcR70Z/
+g+56fypgOp0emp/gmXafua7KAq6JL4RoCF/E0WxsYc6Tm4eS3NTY3n/emOPyBkyCE8MLroXxuW3
jb2OKMpW4D8aBu3MRkX/Bxv77TVe3d5bz4JJWQFDgghAMEt/cyEJpY5kJV6ZDZJ+7GRjAk/NYpfp
iUa3AzFan7owmnZNTc4EyXipTuBNZw2L7YlETR8TVRnCqzishuYAh6cu2Cukk+zXkjGI6xrewnTN
rXvuhrFZfQmLSTAPa7khgpRHKbanm6UkZ6xmyqb4ERtwNnrlJsxS9ZVo6heNSbPNig96KBUp6/Be
5N0jW/aUod6cr+q8etpgdkm3U8s5UY5FMa3VXbRiboMSgnLS70FNB7YWAWwSJS3G2JseiadpIGVL
408NiukxMxV/mhtE2ZnZ3hPfOihsrxZz9bVuYPq4qDY6zHzQzAbXZCiBE9JrqTvI9WpeDgvyW69W
K/MuMc02dUpRY1GCeBUodZz1dzwrW9tH+ZxfzaoZq0Ej+Pcl6qoP66QT+1A3EYtYJsmVODS5osn+
y0X5792pchD/97vzsvpZ7PD2M6/uThIABSNl9VvEwHfJov2HiehQhrZpYkk3qEa/SRYRM0K7k5Gi
fL+nv92dm5pRNcjuMv8/WLLEAry9PbEAk0uwQYdMgfLnTUnUrXKyDMbAWlwr1wvEasR2EOYVNzoS
eXRYq7OGjC3JkTLj3LP6UFSXi0y0kz9AKnPi3pDzS2tI5GLLKuE1Isaui6SzAoKmYfug7NUS8QQZ
7rMz9ekQPUxDIdXeKkdAb5xMSHZ96PQWqbU9QmqHsSrgZcQSmR7CABMxzOUDHDR2wLq270sSyrtu
7FHUyxDlk5aNbiR1EEGR25TqZVuaZPIUtNGLfFsuCegxhUV7Rb4XK8tT2YQXyjTf02duCx+Yr3Vd
BEN9IH2TdN2IoKLETBM3E8gJ81mQ0mih9h/ClbHBDANN2NeKjKQ7R+wiDR17ARxADtxnthEFbNRy
+arO/ewlw/ihnw2NfVOOQ1g2POAS111VLrvJHE3XHGz0z2PTu5pYZy/recLKS4kwb1N7WrLqy+hh
vHRQGibM41dJn+G4E1AztGHrFqHydZ7hoAwGGzeiHFl7EBSg5OjNwaklbXs/GAtnZTNdsK0b3DEZ
CeJlXSHpmJTEQEWVoboGquaEKC4Pesw8eNarc6pWt00zIc2uT6gw3BhoAmsXKhKBOG/IPxOnBFeN
tUOvyc6YZx5gecnF2nvUwwJ9jWUSvbMCe+3n1AFqnxGBIKQdoVuXBdaWXZa36QWR0mhCogeiYVI3
w9cRaARI4byKMCu2KABs1gdNfxwHIpEauX2IkEI5Kw3usih3fTT7yCFHJyVDICvT26gcLxJD8zJ2
0Ti31sQPDSKAal0K920Wxq4829cyU30CsbWnKle6vVITFmyU1dlQMDzHcEVKLXsvkIUUacNGvLmS
YsIuhJ0hi8kh61t5ukvz4n4SpN7lJEvI2qNcs5MTqRGMU343Z8ahjJrFMcMY6bsVG+5CR8uFrsYM
npGOaTYprvE0PZTI2wiw7B/mcLpX9O6d3rHcito1II/sKu0MuCkW4qb+8yyQBnVgK9xBEB3UZNgE
LIVEvX64C1PiyKpUGfxqiQ5Rp0eA/LCombCArOgj6k+sEsnC2AgnDeIMchZ0eXg/JjJ4ukxPvMqM
j5JUHWVhfypXi2Fd1DDBrJQ7prI7LC/v6k5GSVRdT3KyqdO0O/xOlmeB7XI0CBpRrF8moiYeJ0Ne
kOQP7FPLoFSWT0W0zvtsifbDCAeKSbbtllJWelqBS4Ls1Ufyzgj32owi+UxAiE3sGbtUQv/ktd1k
w7tiElykaq77oClMtHUTkmLS0RX9qYV/4VRtc66FeF81YXxsCw1smDI/ZYl9myIncUzAA+zBMCh2
6/I8jfjUx5EcWEwLugtUxdoyT5QgF6ybwxzDT5hx6ciaIElOqrgAksVtlspw4T/us2j+ZMY99S3G
Q3827cvBaC4VSX/K+lnzqjmnO8po7w1S2ldJfm4n/RRVyX5Zq8dSEApLi3MQGtuielZOctuQODhL
ZJQM5q1ORu4h6rck7HRLPFXTSyUrjmhlg6VPT8JWb1LySYo8PcR9cxfGRH/NdueVU3uxVOHVpm2p
rRgO2YIOS44j82RzLnI2Vty5ORyEapiCNKseyoowDDHZ3LNE/RokuvhTZPZuMk73dtcPzpyS86UX
JLrAMnyctV4D6xbvVZILncLCgGbParHLlvhBnZ6mlvgIYaTMKhf9FJvF40y4X6DYw10+9aofjtV9
mwrb1TrpXtWNpzgiYRwRjeysGuEkXfXFVnUk6/LzqHAx1KX5rm75wiZdgWuW9xQ3UYkFrBDXY5oh
5iH7SYomiaCC8cyO9pZf1ZuG+Ir8En1n6CiEohFA9poL8M6y5sWWfEC5nrgDK4yDPhl3ah2SJmLD
ks6Tp2IiHjbUsZ9ilis3vs979rSkGIqZVfSf2vh/q6QXK6fyyyrptKUcUBK9IG8PX8k7+P5D38sk
8r1Z2tGsKKaqMML6i+yYTQdcVyoUHBrMvr5VSeYfLF0QHSAKYumyNSrfVcebsYO2RqjQUjaG/z9C
y77oWX40w1sPg3rZIrxJ1omDkvU3RRJplz35L8I4x0Tnte9VOybb2i2XQvFiAqSFY0FETS47K9M+
1OAOIcBO+Y1MzJ4ta3nhtcncJ24v5BA1imV2zaGoWkYdYtQ27UlH29F14XHS8ikGU1at2U1VZA/1
VNyaSvxxnlCkolQ6LyYpnXppgEckTNAhge0zm2rT4QZV2bDja1pkCXvcEMAlxN+nZos3ad1drIQf
8CLU8UmaYbB7yJjq9j7LeQQWybAGo4E9qvJi/lbTrYalLy91aTH3S5zuE3STO6Zmky/3hDuFRJZ+
Rp7zMRpT0+3NIsR/We66GdweZde+SaV9kuCXm9vys6y1KX6MUEPHUrxPIumLelmXyyWZid7M0BLW
3wo1LQ/fkSV7U6CRsImwTNcbpTffT2P3gELTJ70QXuq/N+Kf9xS3x39vVy4+Zcyl/nYf8jPf7kNV
/UMD8okHx0L+hjn61X1IgrENawN+h4ad+bX83/7DoIOgXRH8ofxyj35rV6w/TBNCmWA2zZ3zD4mm
2ptxKnfidgZwNyIzkmWq6jdTaFtT6V2b0rjKxjw6SVHRhHfzTHjt3lSTLJhwgzuLIK6L9b4XJXl+
0Fv4j5vOdZ+FICuLRYWTNcnQetLcknfzQIGk8xhztEK5sAz0uFPK0zNDsy3ZGHBfbLlzLiMfioDi
9NnOXi3MkshsxmWKvDDUV8jEcXQqydtOyd2WXgK4tyhuEr0O6kg4d77FdHdbYPekcEeQ4L3CLZzU
6LbZor3lLeS7U4EsluR+96tytjv7SYTDTUIuONLXAxXLXYIMVCI3XNoCxMuwOjUkirdbtDjK/g95
H7kWmeMF2eNRYs0OO2SkpplW4z6KHnH/HDSr9lM5fNRIMN9SMZxlbFiB9sSbd1tYGtXbxnUY3Raj
KzIU+9RssehZq0Jyzs9NrqaOSKPLhgT1liT1fi2f+01HYfeVu1YTsI2wPhZb/HpR9XuDPHYKfWLc
CGi31zLyMxWCak14uyaW40qau9XGN8sW7x736WHYAt+Rp62cAhyDFmHw9RYLn5IPj+PrkXIywNeE
PFBr11205GSQ1fGXbouXX2rF8Cg8AxPFILsKLSjIoi9rOBnTFk+/dUR1GOu+1j4PJgH25hZlD2AI
aJNhemRmP0tb3D1St6smHxoHmTExXKJ5Z7WWdCEh/MqM9iYnO8we29HRR5AmfS1cIyoR6MnR8pHm
7WhF+leBG4xqm8AAkIWPOowII9I/zvJ600AmHFvlcapDyrM+fhaFjmxoymyfALdzIZZ91hEa3OoK
m6JhepotzBOo2mEY1dEuVYcvS9ziUzO0nRizLwtzt8pJ27rdqYnZfR5huF3g94OpVGyM6B5eL9HL
Gzma39/cY8LFWREaCWjpEUY6G3NLENdVcBp4zAagcFJM56BN+MRXSkAnCclE4rFOjC9zAifMkJrz
GIn3yyhfrdwMN4uViiCTrOmmxhTn8Kg6alqquXpkO1qzsVCSWrrC5K45YpYrX+NqI+OzQdaYKQvI
ay2ZDyBJDQdtdHK0rHkNxGhMfpUkPTrNKXLkcdwh1v5iydFVM5K0xyF1qQ1kvwrbvoH6Hnldnp4b
k5ZeVR6wTS53rSJlj6WS0oc2RXetQXtSwpYo854LsjU1orctOnq950FVotXUMEHSdVtcNyomE1GS
8KZMKFwpLYlfQy0gpOUyU3Hw28BUh4bccWJ8ZRi93ed2wGStMToYtfZQmoO2+VKOBB8bR7p/C/V8
qjgq1N+PKkNPxyhhygzRiCt+e1CWsci9pGjrHYrZwl37FaGeon5IiyLc2R3/36mdrKBccThkGVLP
qsDx3UmpzFSxqWgYtu83xG696uGJXNkgn6Zzwh3lTkQ/pnZ7E0/81jK5pEpUnZQFSV6BEKayc3TK
a4upyEZpFG9qfmvgG2L3WmMn7NN42RUlsg4jQQi/lfKVBY0nGkjEqOUgMbJHeWyDQerucLeP1OVM
Y/Cv+KWSXXZDG+2WoYjdRLRBWNd7c+ieKeIhJfDw8Gop54YFgqri+SjeFV2aX5BoDBNg89Hoie0X
FcLfqJH3WD4fKH12k16fKOWf5kpVQMsWxz6bMAsqcyBM/e7fCuHPCoEx468qhK57+tnCgZ/6ViNg
EbQ3oolGPB232l9yIIhN3f5n6z8BWT8WDlDPKSlQpDPvpJpndvmjWAf0RdgUfyOFAhU98uF/sHB4
mZv+deNgMDtFALhxYWRsjG9qhHGwZ4kqfLpaqH2FH48h8KVh4zBFSwKhQw1P/ZrhfFvQqmf3yqAg
tGZPkvSHekUfOI/mml100GNXP53VfvWxU5QVO9tSMw0ygycA2nndhqvfRy1HHI7p/Yxvx37+Mzd8
6Tpw330i9JAx5LraXl5XG0EIrzaD/caM1BWXVjZJibMinEft+ZJJXqiMgHxdKOQ7hNaLbzcjwPwl
y7wdI914nytSbO4Exwx7EQ6cEr/XvibheT9rZKY/T5o176IU97MfRSn8USJxGTllc3SE5pJ/ToiG
8OwIprGz1MvoS3lrQkdkXgJWJsaPJTEmYQD5edzUyetaaEHPNDfmcI70wFjiZ3OSiHQtrWcqHd1h
alH4oubPCGbExjUS+cRUdTrFUd2drO1QjRLYYkAXGae2Ei2BQAWj4uxrvQJyH45FSaYFguWoLIm8
t1qdOiScyk+Ktdma1yo61q2UX+vbzC2fFTuw6vIpE3ijtFxD6BmPetBVfeLLHTmjWSQQgxtDfp3J
oLobG/V4jTWjYKbpW1JFBWdpT3EnVXt6Hi4LBiQEMuiN31YRUBJT+lxnYbQ313wgA6siRL5tn8WE
hrNWKZFEQeHnTW3EirNXRVBVRXe0DTn1VClOL3nPzPEqszpmSLyTIZU9amaOfDEtN7YdGsFkVwUC
8Bjd11RklCO65UwDYt9ybXmblvYhLxk5Rk1KFHaryyhzBQ4dwjbRsY/Q4YANB0puNjfQwUEsRlN/
IxIqknVRGsj2C+RuDNf5bpXt2e9GXKWdPtf+rIhhyytv/HAus72SE1DN8uo/OWb/7oEUlBG/ODar
7n/+t4ye8qefzTn40e9nJ8taGivaEDw6TBL4o+/rIOsPm3WPoYsXlNXGvfg26ND/IMoBtw2TTjqf
rYn6PuhQwV5YCseqQfggDAvzn5ydNH5/OTmRTsu0WEw5mSpaoKv481dildQSlBsluUqwYVZDYM4I
9Obh1Qdz/efU5LXFGo7WT14FSiwWRNTaFEF8Bq9fpQlpy4zVSM99lSY582yZ3DabjBo31NTMT7UO
Br46DhdkAz7aYaJ4yMKup06Ia7uh/IstfTyhj8U6oUiGq1gDoHklQYYaIYZQi8MwxpfJaO/rQbmQ
1+mmW9TLZq2AI2lXrJ+PcprBPB83+JLc2DuxHS2Eri5OotpfSQ+ewOIzjk17AqnJVnlO2A8zhDcR
XRLOatvUwQvLI8l2lpkG5ThJK0LJaRZeL3UYRm3k4iyheWJkfQn3VtXvQyxtgcgN7aNaSFimwHkF
iZzFmJbALLKxWpoMJ4QCtdzKyPqJ7DpMD9hDe0FViVNs6RbKnIEjazatOHZ6rdas+1VtTPIq1Dxo
pdU0AqWaILy7tcIDt2E5VPRL6MizIV0Ryi1d8vfX3jZzzzbsfSWVgUWl5ZkD/Qici9xrhZXstVzP
jgMYCeua1+u0j8YSie6kLtVY8QjVbivRGvN1rBBbZNMPnpRONNhth+gRSrH+MIqYFX++gFnty0E/
gDSsWzep+47znaex6cpTZwMPAw1msuX2JUw+nlrPoMkGRuRNhCh+VI0R09Ig/J7PHAbU2n3qaLLn
ZYTQOFsqRKPkIJFR4KOKYxaGRfp2Hal35SX37Uqxb0FrECqcwhWzFhscS12APMl0b6xQ9jTJg1UY
4wVf3eiZTbL6LZtKmnBq+jmfk6O5YhIVtAsBJhHFLe1QP3e4/HDvNV1gauM+bzE4yvMsXWEpU3i6
FJdJmV+ObYd4t01u9Mo4WPHAKtLM91VSZl6kydedPd1hUB3fR+NsPRMOwlwg88xpNp+rZPCMguzA
sFHeydKwYziP67nKQJkxdreo1me6FpxmX7uuf0Iv+7Skyz0jN6/VxqON25/DA/zhGuizfLlYIyun
fo/G42Il+yJqx88sFWnfpV0+KTx7sDEOyxeyi3hmfQnlQfEmM9d4gke8CWN8NMzkc76aum92WXek
c4vIj18v1ILA60i9NOuB+Xv2WPP1db1GPW8Jxv7mLlKt/SCvj3PY+VERklkpN8BDI7YbXSkfUoPE
JWWhEeCW5ne8xYWLQS5ZI/p0fNf6KCeXsW5mIF/Umz4vu0ucRqdInbmYt6VNM6NJDnkuWsVysrmJ
ZKxQKlbD2bIurFq70OfqQVp7NzPE3aBGN2VTX8C+cUcgDMUw3sQ2UwK19lXwqlRKs6MuGeaKeMI3
1VaQzlr5nEnZxypTPtYsY5IuO1U5aIJBuVknxctVkknwhhp66jZ5s5xWIajDKBAwen9psLQNG1Gu
pSONZ/CW63S0qnXBc1iWx96qvhZLKFiLlTkcKbZSxqxlQWPXAT5G6XZdpOY3Ejc8JH8/dVEBveQO
QbPmn389deNFKbrFzJNz1YDEG3N78cW4ZB5h9flFX2iTJ8ZwF1VxQcW0Pil10900TSa/s1YLLuA8
3w7b4nYOvcwWD/LcB01sPpdZGnkMk1s/SqGWMVnZVSvXdB6SXRoanQtlYMXQDaFIWP1+rKrPrVgH
N0m7exVmuE/6AgQ/mSiUvHSnxu3mg1IDn+3xRylpG6j6SIZ5FXSF+LrkxR0hPMchzE5rlx+bgfCr
uroAXWAH/bRUXrcke3Vm80p+umuGUrWL9TSImE96ndzd6suguHVsHuWYHRDBNjKBPAogsHZ+j81f
d2yT0Y+6qFd6Qv58Y5pQwpPscqzXc9ylh2wyAoO0EC/J4ZqVGf5Ki211Ab8QlI1vRPVFHhUYSEv1
KsmnUz4Ue55p5PLU7JWqpdtVaXuVpfktUQuMH8ox90zYqa5WU+i17XWikdNYrAwL2zZ9ry86kO45
+WTL4pSMm2KBC9Ri+JVlzdeskVH/4AXVFei+i1doqApsfT9xDmldBS1RXMgNIgmoGV9DvJ9OrTYO
TfjsZHlB9Hy9nWX9RSLMD6qc72QZTKzF2GQpVMWFfZvBqYqutNVQPOLzWMrXqbVXi3S4rzRtOjHl
by9zqtjDrwsEtjZvixCT4BRLqBY+Fyg0f71QGUhsu7ciOcPPBMp6bDF//voVNkXpj3UOf6WGh4YZ
MlvsbYG0ieleFyCaCY7esqPonAOilcyrZEj2SX3bTilXQo4wvNnZqf/r16T5/M2rbr/3q+JqqLO+
1jVJukTmcQdPhUE1/0U1pg90dihpWNm4vWWA9NCA85UZKF5y6vKSBbWsJpVbtuuHShIXSa8TW1zE
u9yelM9WrAuvkNP3plVMHlaqk8j1R7bZM4hAzRy4msrKH1ZR+lYtAa2pSWUR5bIchllon6sy7XcM
sDU/SZIvJJG2mCDM2OMEXrzeMmWXdvoO9sTKkC97z9RKPRQR0V5L/5WB0J6H0ruubXdmN3WOaqR7
TY4lhsxUKPkEpHdZB9ltCpP50WTQPiXzrRqXoH6T0W20CGanTQ5PN4JdmFQHUc6h1aU9I+F380pE
kJwdjb5iWLol6yWhBkOrT0ouYuOQremJqbBXLiEEZEKxecBknLLywyhDTUnSAiLNHJQtjuxw5QqW
sYZHuOHpq6u0sJx6TS2vzcPLelscG2KvVOhdrGi+Q/tHAVdL74Y+YyamYa9dRR8ARIaUOlSfzKi5
bOXipkGN2EKAdjrlOBqjROus7QWDRa9WlPflEu/ncJ69sR3OkEN0L62NAz3dE4BGtD8bY8PQg6jW
LwQsyt9cbr+7xjdZ5qurjR26GFVCHi/Ti/I6Oku75tTcTwHIhL15YfHocb+ok8OA8rL8OP1G9P7i
9/77DbaxE0wVP6a9vblXL44m0SozQg8va89wygvVrXcDW/aT9CB2si+/v5Lci4fRJ/N2/MR/5Ofl
QnaOyS48a2Qo/+bd/PXB9+fdrgGNMgjHoIUy3ghQF3livq2k8TmWrwnydBL5of2HSeYvJ8rr19ha
nle/8NoWgxTHeczD9Slq9/Zy8+uv86e/g2DfRSi9RhjPm2+zmE1UJUnDw1u6bmzuB+Mmqv88of5t
3RUGgP+9db/89PXpZ1C07ae+d+0bFE0lHUBRgZyxgfzRtSOxNnAd6/huNAh/rznTgvwCmnO+MQ0H
DpLqH127+YfYtqEWPwBoTPtnOY/6i4v1x/3GVtRCJgqIA24ZyDZrexOvLz/AGUun9kp0FdoF7Syi
vr4jpiNf2rPW5w91JiFThLC+JstRgP8LygLIejUAuVCedGlEYmgbnIwTaSsiP81ErjirnRIzODIZ
laSb7bx2+opoL6vI72Wb1VCY2LYPdf2LMtREzVr4NwaS4JXx0cyLZwXBjgH13iEm+aNp555E83DP
o1zeg/M9RcUUuiI0UED1SrUbBq7sBDVopKiPQw4to0mYinaazqwNvMhu7sPnceqetNwwcfTLpm9V
KYEsbXJXZfHNHJUYoqd7acvttc1odCuDji6TjKNhSoY3bET32o4Rg4nqs2WkXwA2nQtEJ3Ae+BWH
tsv8rlaupRxdXh5dVvV6SqsELUJrEH6bqNdGml7LpTY7SZJv7KJ+hqOtW4Gp16MzdtOXsEvBEClD
AhXHYvwWG4uXy+k7GL3XaCzgCcgkz3Qa4qSpsO+6AqBCodyg7WvRFeqFJ9nrKc7tY9zPSFVjGaVW
TJ5mPx4iBWRJVLGfQQ+BNm0w0FMmHYK5WF7fd1lV7m1QTv4AI42VaK8dEeOnAHDnr4yG4TONseLK
pcyerEitQJssya8j7cJslEOjWzVrmjC8WaSS2UrT27sl4mlq5wURaFJiuuVQxjeVKQVVywI6ERSx
zccFYXrQRdo2CY9pTiOR0AfoOxJpEeqHTKTNkjyFCFG+EKVAL1t8AbyLyUnQt8HoLPy85OE4F+FH
RHgHM2rryySrF4+/dPGAi0IgK2dPXkc/CZXeH0uzO6pqc0vjF3uCtbqXzgYX5IAuByKytm9hnbnR
sH4BTKY5dTdQnhM84KRZaSMBq8Q+SVX0mIt1yeLV9qzZfGrrkSw+WzmXU1+6Ws+lTE83e9GY5Ls6
YialSOZdGWsfR5HBxqCHcjpL5Pu+m0kujKY7aQm7Q0jXJ3StdKYCiQ/aAfapw8hlbIvrUGaRDaRb
3xNr/Gin6me6nUBIAKbVubuUEEPzOaOw1afSW+Pm82Lrm0xPNMIrO9u8YYfeA3xemadRoG+Cu3mT
3mnTU44Sb46459XMIr5uk+np6PWWTbgnpuLR2KR8fNZM8jZ5X2Ms9zP9Np0RSzpgVxvvPPMAcCxu
hj7Q2oSCE4pBRkTsiTcRobLJCZErNkDckRguRvluRXPYmvXFsIkQh6p8TlAlqlp8KFXrNFrQfVAt
rqgXVRrnWAIDtskaq4WBtp4zDipa/VauzNFTNhlkgx7S2oSRNIMHcjSRSmbF42RH+w4NJcuBZxNN
ZbeJKyuh+1VYLMdKWj6pW5FHSIrhNHOPSnsZzSM4P2SV0RwObir6/gE17ljt5rjW0TFLbXWngYO5
p5WdmEyoEOlMuRvbvZZYxscoq4xj39V5dJ1HeWQd+kbSP4aRqYaXqYG0pIAn7Q024G8mE74xk6BB
QFGO0lhP93oF/mFKWZxOXHe+UdP0b3i8QR8ADLIAYUy4j8kagZTCQnNKIojcVXhjrevVXA49LtR1
dZGzXOfgEN4PxH35RZ1wPGW5yq44fY5acdOaCEekydiRDFDvSbbNXQGRnBkP84TxvjGqdcddHFgh
DhMbaFEjr9e2npyGDFhEXcuflI0wWZUTcOHiVpmU3O37sNs3KMu51sKrJZNVd+lJ8JXIfANYNSnZ
oaxoFDut/CSqMfY1dWhdTOIXSZZ+Vq2J02BGpqzuymapCVqBWafr3Ic5yx1oFu/k+aJkblhkewsx
QrkGdFuBNFpXkWIku3FJn00tJrOup6HWEP7nia9QsDmKBeKGgBR0A8V0V6zaDN2R068tigitNuC/
hcQYJ1UT/Dd4dBa9CLRRVtxiYuehms1tkhps3lpxEdbNddXJidtM6OtsVBhNrJ518HieEUk7OC2k
zoryPjOr66pozpIJab2SzQfg7V/SyYyDac5PUz2DB5z7U0j6rdGA4aiTq8UArK/25rEOQxQBab1L
oF3VnfWRST6qdpn8KVOqwPehLiqB8bqwd5xygQLCaAp1OQYBVX8yR7vdTSuHrWb1p7RgMYiMBiX9
Mu9asz3qvYXyP4lRZLTiQBgz5zP6nWyEwSYldwTRf2oGoHdshDJizsdKus80vmqZ/PZ2qHqOGyIZ
lOgpte29MVUA3vjTsLae+zH9WnfKqVDj4KWM+ree3Krv/15P3n360uLcK/ufsMy3n/xWUxJQgimP
Jcs31dyrmlL5Azgka6JverofmyCMQZoJg0bV+IdqbPq3H0o7mQ27QoiVhV6D1JN/sgnCnETN+Jea
kl5DbO+OnTx4dOPNFp3847Jbq3m6mpHJwaNJIAqOEANrVGqFmPtdJ2WdBgRaHx+ntDjVKJcCOMAI
yJskcUPMZ15YWsptFJm+ZAFbKhbIUqacSCe5Xz8Zoboy4O+fJrPpfJHiP/l/7J3JctxItm1/5dmb
I83RA1MgWpLBiGAnihMYRZHoe0f79W+B2UlMZerlvdOclJVViQQjALj7OWfvtassuNU7xTrQF0PK
2pMzW419fU1BtE7C6EFGaGFEEfOOORe51C5wDb2l4/QwRPmFbaQot5oVCLKdG7NXuUnOKDmn3E8y
xsvzRIOaoI2WXD2WRsO0XhPbuB8s5Sntldehj8jG42zsjwO5FkWZfwXBG3qpUK6l6Dt2qwJpekpm
Ye8Ci4iQsNJfUv3MxozUdzQFyQZ6iPLyrFnh2ipBzdkTGeJ1B1sUf2AXHsJ4b1X6Td1aBz0LXmfI
b1NxstRqWOlNCi/S2pCk/ClnzQu04CUqzLveZFkRydsULuEMmXZ2mmnizMOAvw/bewjamjd1csF9
RRnHZExWtQubuLGm2xy9/UraoJZaRyS+nhFZLQrUynPJhpjH6uy3ARYtRVotwbjhLo2Al+YKlutO
AXisZtpqJNXCSyZykdWY07pZKvqB6OIYdSAD7tQh+nxWGoLlR9B9Sim23djuTaHGTCSQjcEEM3cd
scjpQxEqdngghJf8llwJ4s9aHMx8ff3sj7o1sLLGw5q+3Bsp6rsx6o+RbFJfz1tpH2QgW/epMef4
K/4RBn+umrkok1XgmS0JirYA+Nay5TE3nIpNZQzlIZ+1+N4ZnIdGxuMOeuVTGo+5b9JGPQ5Goq0M
3F1g0/RDUMdQdgF6ZR1J2kbkrlS1VnxjTnW/TO/SLi82qW2O69lq+10zW7tQTAzMsB1sy9nkQB6h
AJVFYq0ku406Naafi5qDx1TeDSWAeji1l0mdjScSEEid74aKiPL+S0shc2kjKiOxJXqt1AgahYEm
LuY8qjhlID1B2yRXTHhhrux2DXO6ndZY2W1t1dmxL+3iLtUmSbspJrPYqO5KR66ktIBadTNUNTDy
o4U+sQtISkv0rqSGm46DdAMfHfvo51iv1masDZeSrFCOFQwz5SSex6Dy62h4IJSIJHJymb2SEdcq
NNzJ00ZD2SuKS6BaguKzmOtgFTuy2GJHS19S3Wx3fI8IKAlwS4do3PWzdBiuuQtMdcaUY5ko0gZd
Da4ARjsHp5+uW8t2KTgUjr1lzPuKonMzCmdcSTjHB8WZ0bsRKEpm3Tj/1/X4zV3Bgv73u9ThuYl/
JPPih/7YoBYpOJ4MWvEIFpCSfrNBIQUHwK5xqxDvYtf4doPCt4pA3MAt8ZuA/PcNyv5lMZzjgiXQ
caGTqv9qg3rv0n+/QUGbh7vFRslfwS/8vumBhYuUO0XMR5DoD7VOVZ7RUF9Ij3S553zj1NZW5ahj
TtgTR/cB/yVa0o4E+dy17hLHOOil3OdJsiaoPGhXtp0jgA058t4rskCAqolzqBTNXnJcJ50OqvEX
VkMO84XKTngJoS8fsRAKHukMODmY7Hidd0l3FihKV4Beb4d06Sj309E1yesAK7eqIjx79VjeTZPy
QDL5vU7h7gmNykE0VMHKdIxi54JdfjVF7Usz60TqUNb10nzUUnfP4fVB69tiFUnOf4FcZlMsk11Q
vE0NmRURtMPAQBGrYYmjAzMeZaM+1xklrQnRbkWozlfoyvNKCgat7uisQyFxpZURzkzcuwRIKMa0
H8ZS8dHeXqqdfdRTzp4qkXed7WPlt9EOR4tPrb9s+upTJNzPVJgEPmX6OWV5g073kMYYh5tkvpcN
EOdOra7VYKCiKd80gZyjiW/cbumb6PlVFeZ7NZ8e0ra7VMr+TTQ0ToQyAaHU9Q75MMJSRUmlp2fp
rm4VFqTI8kkH0laBRh/dpNl81FCzoX0iqauXMGKjcvClCw2zTJAG5CjY1mA4Z78Ap8cJxH4BTH5R
6MjFZZAIrx2Z7zsa52p913XNMcgItNWZgBCI0tQVKjury7fSBC/rmVm+12Xjt615kCOuTb3UND8i
8cwQwZcUbH6ajYpndLQnivE5tCDL8zt9tgFGxiP8lAjhb6Qrz6IJE7/pJRUAG42K4J9wY9ZDvti1
I9puo3WRdZUN+q5KiuaWBADjWpM5Al6N7DS0z8lqbrpdhC3Zby18kllvr4AUq1smihIwcW1dd7HD
0d/YA2J9QEK0E532MPRS9eH2ipVsNZWOu5ZcIW+kCUFSyToyoZ8EfaJ45C4aeK6VYDupqriuRl07
x9rSRUn7rWuAzBzCizzFSTjW2jPNdxOp+BQfSWwdiNY0NpOTbzrZDoz648w3h+LL1IL37OPHMlS8
2JV4+iLuZ5JN2dEwLI/9+dca5G8xJh/65qZAAaovGAvgF+86qe/XiEof+zRTXPWY5fep8dU0MWnv
v1k3T78uON/qmX5wCfC3uNMEa6RgxP79JaYqHNskBhKetl+69DRVd4X7Kxnpv0pqkb/9/R51C1wh
f2ZD+uAbXH7q/2+TMnGrUEmxGy2k6m83KXKIDQdQlmrweCy/8PdNyvmFJHMKK5435s94mf7NJmW8
w77+3KQYNgkG2LimoKk4OiPtD6PmtKgILBCJODJdaKKN6RADQWnXvTRJt+4NBGYiD9KdEtB9TFT3
IZBIZoOGWgRf4xeZZ7d0P1wMftqqkxKRQBV/IWdg3/b1VaokhBCY4EDiukdk1EvIX+rTYGP9ICew
vUT0uscwATw/PupEH+WRe6CT5qlNuzREAd32GJQ9RH+7Ik7IXMT4oHOAHCxSf5T5lCIMW8jyN5ou
P7uxrZC9Wpzhnqj4o5U7JYqJT+sZ4FHwbUJo/lnymMXT0xCKjnC15KZtWF2buvVVUnw5EmfkGzET
LkvtICqDnW4GGq4al7NZXfdFd+m0wdfKRVqgWU/aZKVnY8QYHBbBYTAkUmJN+Tw05prcWPW5IYOK
esxZdT0RD4EFo6jojXUSj8YaJddOCavTlIVAZfi7A5Ee4rl6bhPA+n2QxuuB5pEfabW5LcxgH4wR
Wignv5+q4Aie+Sm38FikNnYap95KA3mKm+cLCEHdOG24JWj4mGr4Rsxh3nWDCi5yJk/EcjfdYB6o
JbdCOr3fOsm5yIXh98WISmUmdtaBNRtUj3Fk6qiRaugGbvpQt3hx0lQ+mvNwST3cML/J30qnOWB3
C69gM1y7EXHAhbSIsKBdCFJs1wYMAts6vNOyZi+qKPYdm7DQwerQNVnR1yK0b8Ng2iKpG/FS4Chf
bBOdrryO+CjIr91YifzE/7YrFqOF0TsOZx7MF1EiT8W7HQNfhnVVLiYN185XFu/QKloMHDZOjlyt
dwnODqsnUlQuZg/+4UHt6nVVdsQyLoYQ2F63Kg6RBKeIMalbN8Q6UjnmZbuYSWQJcrrAX9ItRpMa
x4mxWE9mxNDTYkYxFltKij+lejeqLJYVDe+KhoclZXvJXHRrKbWEkQ4XyWJ3iRrwWfhfBD4YOZuw
HJ3Ynl66sGw+RVAYVxG9cqIqy8K+0SrMPgjImlw5C+K5b0CAExZMg3QD2GKTorMHnh68Yf1/DUxX
QNHP/ELU9oVdjA+t1XyRKVqhqizPdkiFF6Vntcr2DqJCn2JzVY02FZfdU7SLZuNAQIb9bvDhqnVt
24qnj8kOzrOxjnCgU/vYs4+ynJjrOF/Rz9zo1vQ8WtqqHscnJwB67k733GgEZomyn2LlqqijbZQq
+wILmJWyoycZ2STBDikQUsECmodDJKsxX+iV/KTWzYqBFMdCUNU9eiVPj0GYxxyYZIqUcrQRplOX
Vzk35EE2yXYau03nEB2bd/tYCWiEFDZpEu0qit1HDs3k5TTRVb9EpBFX5m7G3OKwljKJqgVDR/eF
9j0vAakZo12tU8YtejUd6Afsh2YZ8muiQb4xcG+Jz1G6Xdc2zG36IwrHVZsYdyIOc8+dyGbkWEq3
plgbjChoaNLVxgWwoRy8NbvgtbZans4+30s3dPyWhA6iz0dfqc2doecMX+b+MkI5lcSm4zmoTiKj
Owx2cTkq0PhyWuhG6ADe7zxpIVosADlMYkvUK1Gc/SehVfvAgO7dC3uNbos1bywYJVrljU6igx/P
zdEQCFLDZJex6FVxfx1Y8129hJFr8hxo3QVTDs+qGd2MOFDmWdtYVrPWFXVfloi9IMLMrLz6xjXl
pSjmjVOQBetOildX4guIW2JjtO6JGQWzBTTVe+KcTiqtqCoMz+rsXLnO1PvzrMQbC5WhQDRJayby
CaghMF6JXZSaJn7waDzpmQJ9ZTpprvOma/OmgJ7eWnLd4nDcoOZCf6fI4ySrk7Sd+zEmpSc3TeJ8
c9Ndj4mWPaZ6gImm6t8SDuvRKB6yriC/vLyK3JaQbI713ayttLh5M0OyRpZzP/LHTU0hkKoakQ7Y
bViB121hnhslII1qKR6s5tNYj5fDUlW0XW6jhiOdnIJDo/CIRvMYUojg1GMZpzQRreqmJ4sgu4c+
U4aU+XShbhB70syhnMlEvNdMZNLVUuWMlDvGe93TlyO5L+qzy8RFXWojDgek71EujUvdFOj1my37
1OdUesC5w0I5jVRZZfxJpexC3vlovNdhpQFEq30xHY0Syr3AFXhsrXE/LxVcQ1SOV1DUjRR3TAvu
spi4c1xDqyqLgTtOwxEO2ExnybmdlxoxW6rFZqkbzaWCNN5ryfeyMn8vMb85Pf3gpKotMoA/DyPv
5ukFwEbZjuYAP+eHirmtqc8nV3eP6m3uPZqb/lT7BNH47vPdTXsoL+J16ctdfIVLZRXt0E7iXN0l
h/8GA//315bLAqD4h+Psc/F/PGh+z83X+EfUsOWnfz/WqsYvqq4aiJccU1+CSf/svai0UYTmWIZY
wsXxavx5rDX5f9A20nehHvme6af/wqRhQWWYv3E0/s2x9qOWEV0ELnu6ODYeOxLZdfFB7+TiKGDl
16NrJeVFMHucZg4N9r3VT/VT3+iMp2VN5COCYMW2fXJ76f8HQ90m91OSEs09s6JeFzgjVkizQ+Tc
jLT68zg4JFV0qqEucnVoeZ2GGL9PNHzhpI8wAkS7GWCrsNV63sMHaMJ2K3GSRreOZArcmNTzXqHY
CDvmcE7u8jLr72ltJ5qfYasAhOGQNqYlSbSpcF3MpcxaKBcERmTgBB8KtVc6cltk/1ARlIyH3qzm
yTcKAvZ8pWWFxE7vnPS0rz7reZ18VsyKfcZVgYWpfRbQiFZDx8ucJD7MvG4doK45x5cfW4Hvlhp8
KJH7uZ50B6HY+bXNkfUm57DGkC6FSwQ+sN91SmDSzq+dJ63Iqe1d6Zazh4jQwifoxCbnCqiyN4qK
ohy3cB5jRLDnl1xTlgOOMbWFP4naJAIHDXpCw9XQu7TcO70utyZzAaVdxaPSf5Zxo6pk0HLcMoBI
kUeb/JpOO/+aVYt7Euvijm2VfzZVTbhNpnE4ZwtY0Y3K4mzbVbx1cMHP63wJGtHbinjody5joYQ9
FsRWMB0N39mNNKbgODoL0jHNWu1udAlvDj0LhwkrpIiznXg3uxAdivGlVptkhCQQG8OrNTjhK6uW
ve2kHmyyOMJYEy8em3Zx2+RKY69IqW0fIRpUzbGmN+0Tiu29v6v/1eAa7+7fL1qH1+Jr+fLD9Wr5
wd/XK7Ah1Fy8ggALl7qZ/+t3W5tmLNo5R3WJLaBFssi5f7O1GeIXQcOE7i29Ieg9C+zjzzLcZowp
qJpZYf7NWmVay6Dyz11vKcFNAIwI5GAEUYt/VHvbgDEcnLXKUVUynzkdUihjfg0GTEqpmXHK57iP
IWXTvBcAIq6aG3epCjS7V6gQ7KVaCN8LBxfr/Kpr1eZT8F5YmIojPSsii1JbPPhJvfjyNWfehu3A
f6MXvrUdAXVz8e9DABrXfaW4m0bVHgu6Ai9hjd+/1kgRKxcGwECF7/ULF0CW/Ft9YQWwLDRP1Ts/
YCEJzFFvXgyFfZEkje4N+IDNiIZ0C4Cg07ov+ajB5FvYBHQbcd0unUSwBdPCL8htcx2RQHntLGyD
vEnCtbvwDpgnMmtdGAgNmfdgN6gNJjddO5iUPW1hJsx4Q6D5taekLXQkCZJMnoWxoKrw3ojrYxB8
HddhtKJdf05mCe5RU4FEJvSEB4ZtaATbeNhYDv13Q2bScxa+g72QHphOxhfFO/1h4UCg8hHr9h0O
0QSALpyFGNFXmL24LcqRwfLkmaGLM48UTRkbF/XCnEg5251nBw5FQQrHeQRNQaJdtHMXWkWAbnYi
IXWONwQhQk1hnpXBflkQF80Cu5jfuRfjSDopwi5oGEkEB8mDlhTckgpWbfskqcSaB7vYF03fb0lq
jS8CS3EOrE6YKZimHVKLHy4Oat0FZ5bSz1lkml5UWM9hg0FjaBHxMBr5nLJRrANZvQm6Cb5Uwqts
YQU6yXTMEIX50ZS/RbO5QhnPQRw4CJN2w/aNxuFgWjAhV3pr3/QUoZpJJ7tP2NES0A4E422NiP9w
G1RJo9kBD5wGzfWI5hv4A6gggpjMwEEzDr1ZKReTbkMnwUB9Ms0WtQ9OtlCQoEhTQiM/dVUlmbwC
u4Q0kgeNSeNgbZrarC8toyxXSknMbYNeH29PtyX1/GlpPUtBG32ConIxjLnuZX2oAmULnGu4Oxsl
d79qSntlJfm57Lr7gDlyW9lYOzSlup5IwthrC9g2LOedYtLCz2m3k14XBGvHeZXKeBlneGAM+2qK
mFnaSbStR2KpUDzxmY/OVJDCRiZwr1yaanyVR+hl4s4MDoVTtaucsfumi8LbaBrDfR1l+yYB/V5z
k5zIvqiGGB9IQvgpOrrnsBt4A634OPYlRRsJdp4i+9x33NpXrWzvSnPtNGhAGpzbGMSAYrxZNpA5
mW+a2d5Uae2Lnk53qImbivZ3VCV7myR2dxj9QZXv0NQIwFx272Q0Bo3unsOQw0PqlhYKXte6CJz5
rarVG3Pu9nbnrPQ8X1uQBn0RjZeQ72gV9M+RpW+tpl+3Ib66xHROLRGeTql9daE/enmmv0p3ujGU
kRSUujpM9Uwct+FX3GM8PKBuMD5hVvL7WXD8CfIXvON3w/I8qmmyJyLzhPzjmDvoGBKA32O5s/PS
ZyEldtSE/1+M11M9+Rq2tiLoVgr8SPBo27lLdza+kbxKdlY7bhRzsYNp8YvFcShTqp0CfSaNCKOt
ymNBF2ZdiHJLQwvzTReeNAkMpQ93jH8hpipXyGc3UxYjb0LokI4wGfM3qBR+AE+TUaMfyAwe5GtJ
1OKIVzZxxG7i9BcPxaOJgLKdSWY3uAYjGyPQjkh2b1tpbYzeRPs13hije5clFK1uBgylHMQ2Nwjq
DVyewEDBty82jpu/TUjvWeE26Iv9NnJWlgOmJ2yjPTOk3Tg3j0KVF7Pp3FpW9ehE7U3YT+cu/1pM
1WstBMbWUfVsHeWKRdgLRXQa0vkRkx/q0ZnQv0PZ6zdagG5aAaPbCE8MtlcJsVPcfue0ykZE2W1i
llfSVO8b/lIbIYVnmdWStHjZim7Dq3jdus5G1dsLqnQuWK8J3SXdq2hXMDILD5XPy9CVj/wqBNUB
A8aW6T5vErqXaPCnYnhui5ZBmHKZyXI/KzauZJugtyYlrJFNIqqC2kdEzUDLsrea7D8RuPokQUhN
lb1HCw+MAZRTKZsd4Wp7MeYE8JkuNr7+cWjEp7JJbkpFRR84buKg47tj3FrInS1Nnk4bCl1/Bs19
WWG94xx+m8X2zhmDY6DP+8LIL/pAPVCQO17RxZucRkYVLFI74kkHB0Sme6Wr4+cKju7UMBeky3Ef
NNa5bdpj0Zo3AJGE56jtbccUqK8QuDbzUq1nV5kZEkpfC29A+d0sC9VcPk6pvNQac1tVhFPSW0h0
MiOG5dBTIAAs7ptqulC18lLRjOioBMz+gItkty2wBX/W5EWDhHoG29oDDFOU5Cs62vtE5mj08A/S
TpWfwUITSkyCcAkYK1a/WjkzN1k/pk20F5p6ZL0FarGEJ9PKR/rCe5nZqT8L9XNkttXG1dO7vJEZ
/bB0S+P/lKRECKcu80oyyDf4+3dBatE0UvJ1TD52j63eppXiq5O2SjPsilFxQg68TYLxYoRbXClY
sdvkWQIgXmiBvAH01pLeppMTrptIKXxEywgMKWsyNgmYZrtecb4S+LlpY9Ctvb2Jxbhmlsj606If
DceZxmBxOUnSzaR5hyqfvQa1UtHWnoxTX4kG5aLQDJ51FJGk4jZquc8UeZiV4XPbVC/4K3GWMq4I
svHQGwxSGSPYP0kh++sIj0GRqlkotBez0keHkByapuniQjmKHIk4TN30hn7urwXE344iOef+5RiK
H4pRqQ79SX9vznxjEcLdICwMJspxJG8amXX3eSzBIa1yBj7fnNB/0Of50YH32ystf8k3VyqDclLn
gCtpznVk0Cm01fU870vrIeme4tL6idXsh98ebxMwB3xUiEK+v5yGatwJsjI89cqT7C7r8KXIXv79
J+K0zGF56YfA4Pz+EgFEVvrfVXTqDWhw226a1lnEYD/cxvTuNHn9z5f7wScySDGFTcEjocEt/P5y
i9NAm4SMT3BNvVgHukKAQPqTz/S9zfW9LPnuIh/soG2gSNMKuEhCm0Q2VxTfq//dx/jQ7uvlLPuG
2eoJZ4WFcTgt7wJcGv98EaQ+Hx/r7z7Gh1tTpVNa9Xkbn0ZF9zBeu/GJmAYWuM8mDuz2qHXtT674
o7uDMG7pX1ooLBdN7bePdxrTwikSNT7Z9bkWpJBnezt4++dP9aNrwKqyDCD7ZJp/NMsHpq5YTt8k
zMGidW7Bgyv9Ibv/54v86KvTMfWZhq7qtuZ+uD906W07jseE+/O5sK4iKsWExcANbpPu0sByMQTn
f77i8kx9KIVZ4v684oebhcUYJIE64WRCogJeFZjnTxaDDxFLaIVh0NgGSAlYNhbv64fFpy0hyUej
mp+SK5RTezbPA8DGtXmObky/WMebn8f3/PBmffOpPlwSj1o+wkZKTr2FB5lwLY3AC63c/U++O2aO
NF958j7mi1qzatkSo/UpqF1fw7TiyJ98d8u3//Hu4DDkaXNRlKBC+P7BrkAI4+NTkpNN6Ts5GqfN
p9ggxjtJfvJZfvSNfXulDwscFXHZqLaVnFSo3M7ZDG7r+SfL248vAa9ZdVGsg3f7/sPEato7xhym
p6I4mqhYx1jzoJ3/ZKv70SvEw/bHVT7c+rTpIzmFXCVOXzIF1oKybkCBE3iQypOSbjPzJ/foLx8L
phyqeEMgemRaYnwwE2tuYFe5XWYn2W/r5mmw1vV88y8ftA+XoJf27fpW9CFfaFRnJ6DknqoQDZOY
P/na/rIOvF9icaUC5nXps31/iWQccyWj0jq12Ysy7wnN+ckF/vIocwEHfwLvCY23v5gHWDrtQS2I
1uOcl3dYS5N9DC2ocF/fv6v/urLLxOfvu7Kfuy/Pf9VFLT/zR0MWd4lwlxWYtid+cc6IfzRk1V+Y
Dgka5oijHMvW/mjI6gTS6C6K32VG+GGABJyMoSEvM6UHt/bfuUto5PKE/bnWLaNIm7P2klrFuIpD
8YflIZMN7aJyFEeZlI+BW5hbK9WVSw2lPAYttTqbJQ06xvHu9ZgGcFNK+rayNS4aRLMMDEZGAIZr
XjVLEWc4KQa1wdr2A1WjM1aHtGWYwpTZiwtG3FjKtHzAA9AFq9ka9m7gbGK7EqsqDrddG2Q8mBg/
7AE7SNHsjDgq7oBQ4SaoqhfGD5dlV903KtWyQVq3B/7hJaNFuipbo/DwlO1G/H5+OJdRccb2RcFr
GCdFty4Da3DXchAkrQwKQb1qQwskq09TIJ/tLnwJcvxzOBYYlUxVvXcKN/fqUrmRmZOdXJS7Xm5F
rpfpVGTBZNurAKGhHypoiItgOkWj0WBe1b+2sQWktb52JAQiAqEeY02/k6VbrZREe62Qza8JsLlv
ejbgut13FkTHfFZ3bGVfhUiLpedJGtV4LkRyaC3tc16El8ns3oH4sj1zpq/daOKushPSFbgJMqpQ
Wwe45DRpPk8gZVBetI8OMKiF4aF6NUzlwRAnJzNA5AfxOXZ7whvywRkupknAay5ogoJGFlZx7czx
ZT+V4V5P2pvOot82mmBrgCq0GA2pQK2MUPSKxLAZvRzzHXQ3havZWDAY3+ErLBsq3KJ1jq5WTdsM
Ka/XW9DTCrjxYdu8anWPX262w7PS4SKYY5PkiT69riftLSvNCZulVYpVlGjuNSYZEMcF7p0gNcMV
YuZ0U2RFdYFB9BhB6fVF5hwHpcRFa7nCC6fyLU8NHYNCedE12nVVVoXf6TOH+tjAQItD1lNN4ulH
ipde7Z6sKnpIU7aohkZYvdBQZo1qs2VICe1laZq384NN01oNyi+kEm07VTcujEI5q071ZkQIK+Ca
dPVISgdZYr6QDYNXgESVlV+MNCeNUD9Oanpk7jdC2EfXI8rkkxiCexP23E7SZ8QOa983EqB5q2r4
IzWQdE6HQ7gmJ6UT4iaf5IUgS61Ok5s4xs/UZZ8H0XzBu1H6aqoSV98ySmjSDqvR0HilKA4m5DrP
JL8NpiaZgYK2b4fzZ4UQDRCR+uJoNONaOX2q8JB6vUrkMe05r5RzvZrGfp8GM7iZQlwP2fAl4rte
LyEufmHFtVdq1aNeVAcX9YjllJsk0luPMM8XKYaN3dS5p2TQo2CPln7K8Xmc6MJObpaS0mB+lYso
j0ELpKbkqg4aDRpdnvqppm2TqH1ykvoSdd+9ms4PqtKe+fuYCxhwzQf30IxAuviDV+HcDxiPUqLj
F3fvLG5aV3+apFsdQyMCGzQq4wWJb8q+zIdmVfTxFXzmW6NTXqMqvXGsAg9ubiBAM/TFMm7zW8Cy
mTt6/OsmqLtVoivZPs/JexFkZjkUwn6ttrOnlPR9CPglitPJelqw9hEVDbInzEUrZhgAyMPxnGi0
nAJTvDiz+ltw7n/7rMbu9/f77OG1eXn9+teddvmpP3ZappgmU0x0GrCk3rfTb3ZaVMYW+5DLXmd/
M/rUwYDScQIK4qpMxd7NNb+PPmGDIFq3CTnQDddiE/83409wOx93WofcFDozIJnpzRgfm1u6ojFz
qNP0qApDNheujCtB4k9uKPj9UxtXhtXkk9/VSX1W7XTVAdBk6d0ROiqCZFssUIhl1COdB6Yn1SJx
u2NBai7FmJXRY7D4xC2JyWyiQeTn7ybyFIpCkstdpZm8F1jNy3Q6jgqJXa6tPQccGH3ou5cV9vTC
GsFCYVhHj7etFgd754wPwDy+WpV9U+moLmN9rnbhiF6pc8qd0bpnBB1vfdlo6zzJmdUsbvlqkOl9
gIFeMfTZB1oM/G9Uj7jozkNOhJm1+O7DxYE/Ns6utypgu+mwC9jsjMWtP5QTguzFwV+Wdb+maE92
FWlVa7chK8osAwz5dfTYpbVcFWaVbsM0SL25EupGB+MHaUKHnTxYMtrh1KDVXAPhhD6PQAwJi5Lt
okgsOkjCwlpVzS4JsQhvbGmPn6yeRMzSxnZBiIp5jIHG+KEaq9fTxIBzNLRTlHTbskMGGRisehmy
8W0DQG8TlblKfz7n8lrifArcWu4KTccLHzWg3XqV4eRyerpIMK+eA+QTl07V0GXN3QkRc8sGGV8Y
tmKpezdlirvRhtTrJztVv6i1bqywgXp2naAA6zs8hA6YFwwvEVh9zwjnjTDzMxF/zeCPU4lWpklf
Ycp8Qsh7VQpgI7k9bDNYAj5Bo4fGVQ4tLEsvyuOVWWU3Y1RcVFrzWVPSq2SASVpr+Z0eYvGVkfNi
YNlnnbtGAYPcOZJ2CoFlirW1rvc6UQlmlMwHOOMFQuNhnVZk0ehGHzBBjvZdjghoDNh3EdA663wO
X+aREicQqDIrl22pZB/3TLeIfNJBXpjyNuxbIvWBfbcrPRrXnSpXdj7dh0uUH3E4JjOpPvGniTE5
gR/X0hrylSNMcAwhgiJBTM0Y8y/JYvAixho2zUo/FQuDx3RJyp2NfovMiIjlUVzbJvmlaQO7ZKrA
agohL6147H0mnto6zloFT4D2ZI0qZ5CpvEXPz8BgGuiBF63t1XC63RjMJ2oLF56N/ZoH4desRB/K
G+bLhKzohCZCZ2Ibm0j9UwW+ra6d8nWJqmYZDrgbh8cf4X24KgSngFVgStomCsNXSBqJXaYXRSvL
u/9qNYEKTui0T/5+D7l9l/0V8Q95APzkN/sIUbl0t+kE8mu/k9BQsdFq0KjLmP4uO8LvEhrd+gXA
lIb9470oWxSdf24jqktSDq0qJg7vEsJ/AdUHAP1xG3E1U0VBiG+GjYsN7fuWARm1JupdR+HpzRM/
K/c9lHavyCwcl6osMQ9OOwUKj59E+RkKAAkjMS/DANYYq0W5yhLJtgJxoyK/1ydfqPS0YQpWde0M
q7htvwz5+ABK5KkS9WHqdCS3lnNV5VmzNuB5BJV+H7rNNleJ9gwly4eGfQWlyIulxuS0WC3waHF2
MQ56gxOYmA8bIKX222hY4yYZKnJxkvuFrL+e05mOvmKjWnPrR6MDYhurFYASEgYTKr4VFRgwE+IA
VaXZDqmCsz3QKTA7cDYzgpWVGZTwBAYT7m4wGk9V1ivTORl6p98w5x0QP5TL68OWKiqwd8t75vLC
lcubVy3vYL+8jZgXbcbZ+rpf3lTMPKdueXfdgiDP5W3uRPJV8noHy3sOLdD0dHmNnFFrgd0Gy3ow
uNCmcELe2staobJoJMvqMbrsjJCp8Z+U/aUVtO1FLYovlBoJx9IsImYLCAlIBCs3tHOdhlSTkY01
boLWEpFwYndAjsZULLiEx8IoH/LYLo/VPJZX0BcmX7HddWG7Rz2s9kVWXrdqu81xN2WufTH+P/bO
Y7ttbN267/L3UWMD2EiN22GmSJHKqYMh2TJyznj6f25Vkn1dVaNuu5rnuGSZRNhfWGsuy39yPEGa
a2JO7JziDU282OudOjn43MSLjGzv7SJdiHQ2l/x7Ht2gjS76yIHmz9fHktZH6j2Y2dl3xR2tMOiS
0uEdaDsHmUVtsmiHKsIwqhnpuk5t217rg3s5G9O1aGiNhd1UMB8KXOeluFWbeL+qc2pt81wF3kYb
DXyk9rUVO3tfcS17TJRiblZ9G9y1bnYevX5rjAaCDNHT8avRAm/12CIiOosfLae4cwqQMKAFCDQN
IJc3u7EL7kryc+shuoUF+BS1+k4fUUTEaVgubdSYdJ2AlXvgPUIHljM609HOC3HgktNxdfF7TEpt
X/Nv06bA4pgbADUaVCuzswXB+oKfd+0rfXjbpZdz4N9kVlXuJ17cR1OTt1E3vOVas86au7rT9aVX
eddBGK9KdPl5OV/Utv4gvHhg2xxvm6jekQuK2Ms0L0Ebv2RdAJPHsTdlixHJrMoVeUORQl/N3KHD
q+frxVrAF53t+TQI2AzCfTTABhSNtirI1jFc680shb2iZLydg/A86PKxqodjaOkPaSX0tTCw+EAL
XkaJdvKFt42zHHtq6yrw6VvvwwMzB//oBRP5Rn16SFP+M907DG3XLoY62xM7c+zV8l1m83ocTfPC
KbD4JO6QGhs9wmliz1qe3YSC5QRU1+A5plzIrbhDFiy+zXS+SdQ/g9/eDB4OI5d/gum+tMi2so4E
2wKOgql3AJEgiQXlE+OWEGEVmrVBQsw0uhtXr1hSj7A669p8irp6P7BST7XeRzUnr01UMky9ro3c
i7CD9ZdWjw9jtPKtn9funs0LQRzONnKTx9hIjuit7h30L4s0FjdtqADo6WWYVweCKx6TTN7WEdeC
8IovMuNREzVIewMYC36cYMJnAK94lxpQPT3jhpvkoujAiYR1e258sQHBjh+j658yo0I0KNNN34ir
Ih0OmGEP0OcRVA/aHsDwTjAwb2G2ZfOwG1DFeGSfjF67bdP5GkNEC36pIiGoPowlt6ybMdBt0nug
Zi8J4j5ZWfsWpGkjy4uwsPdowh/6Jrq13OaOfiBdsOPc9FaIAMp9S0SJ1RvX1kwQm28QX9rmFzly
Y6YQA9KO5AB1+WVMzVtPxSuDc1voRSWWsS22so82eVmeLQzQkeN++682+ahNjL+tTS6hQH/5SXv7
qSz5CPtxWe+r1hERL3/0qb1lVkyOBSXBh4D3j7KEsB82WDhfLTjjqgb5oyz5iAGixoEQgbrUEP8O
AqEyB78fI0vV2NqerlMDMeWmL/+8K6mKCjJWGIdXFaAZd1d9ROpYzlknq4XqI/jI2yHaUoXvdOUs
PFiOKpVngtqLK09kens72Cq5Z3CbHfk0pv9aJlmMSXPIU+bRECj9Cx2Rpb4OZk0LrnABRXCFKhmW
/VLvjJHd1mzNabRMG7Iq6GVzx4SDOdlw9ui4sGct6qlzZtDSURXuHBB0Fc+8pSyA5CjsqqAmXTrP
GnrUakhrhkkqf64zp8FZBy6kPN5xvFjnlkGShWt++9+t/+utz13312X5ZZG37+Qj/OTu5+c+FeXI
2tmUsJHF5yKpvD/d/QSusEGjvvgtz+r3uBaKcmpvBG9o2j/d+6alQmnZoKBkwYNl/zthO9GaP978
IN6wkrKWUZGdPFTf3/xZmUqUPq59ysy535TCl6tCOM8OzWjhdI9Ga98n87U/Uc1U+togYbVrg3tK
nmSJ/tdclojPKtJY7WNMMqs5JPdwmZBLmsr+SXqr3aJHB/KwL8l1FUEOJqQrkMrXxDWq8FdQHi+a
ioPVVTCsqSJiid72QZ/GEA7JG/SD+iIfEOrEZviYoV7MJ+95RuGYlm69HKLqFTPQtRear5QnT2M/
GUtUrpcg6YrlFCbFqqziQ9dxBPPW7x8n4b5EbRkdcmIhKfnYMYgyvk+69EVMzkx1hkyVZCeU5vNu
royXvslOXs6ywXZu6R0SoFmVB03ciof7Loye3UjbDaJ4bGotuHCMcuWxNsry/qTHxBik02mcopPs
VA2k9gFR+LUo23PQ5tAw7eHkRQOVfmTsJfNogvzAPS0N41bBwVEBt8kzFXe14J+4bZpZjan6VSrR
braQABhSG+gTJaWD1TTMo7xclbxo8bSjnRUD3mCnhxHerYciRkVsH2E/zhsJyHbZp+muKtKvNeq5
VWs0FKe12Nb2HEK36q6obHYQB5j6+32+DXN0wBFSedYiXHvkq1ZAJKdTv4l5ilaNQHjizqyyYuzG
vqdwqkcUiue09E5ZKVd2THwV8M7jEIQEOTgrxyLiqpWoilNhUVyGhI6z+hqX9sCKJ00kbzenaZbE
N2YYmkputgiPb5uBomydV9Tne6iy7aZraANUu4Z34npQDZxDJ2fT0U2qtZNVfJOrZi/kyml0fywE
F5VqB9EauMcK/2zqFpclHSMYnoeQDrJUraSumspZtZeFajQn1XIm9J69akJ7utFOtaWzalAjOlVf
taxJP+44CYpNHYBwnSdoZBimTCMCmkWpwfU4FJQekhYnoRQBjIa8GZ00KH1EyZQrUA1eSCA6tJQx
hapnMEFcgFw9CgodQ1U8KaWPSwkUN8HeC4OtrWojmyJpoFgqO+0eXd5e5GqFJN8L294nhF1qFFk5
xZadVHyp83CUlGFQvC47VZch7r1Os347+tFRdjZozWFXesVeVwoICjv0yheBpNKrJ/NQUvoNlIBC
1YLdXK/8oH0aVJXYyHkTUTaWqn6cKCRrCkorKg9UyzuZTPjhVM0ZU3xKitCgdFBt9zg6qE7xiNw2
RfNITPvBH+PLjjI2DKabXKTAunjokzTcoC54DCh8raDYZXbk0rTkUAOojSOnvTRVtexSNkvKZ7xF
15mqpwNRLUMK7N4TT0JV3K5IsbdThA+hdcQnTv+t6nMkBk8csjunIz+eAt4YZ23ZUdKbqf0yU+IP
GvNESv6U0j+HltOoVqAJOjDOxnpu/Kfoo11wPloHQ3UR6UdD4areYlJdBqRisoHs9AC84Ci9ZE+8
NmQBWpMwDM+SVsVXPQsq3stBdTGRamdUX6PV6Umj0akK71Srzscdxk2meqGIpijSu+NIk2TSDumq
aVKX0KSNKmmniiZYQ9E56IH2ONJumbp+EgkAVNuBVkxDZqjOLFI9mqRZq1TXVuvWJld9XOVmLyWN
3eRlLTvIepfQ8gEiGdiE6w9I8y8qmsKQ5tBqtOs+gmFoyDsn6IiAmN/i1LkFnRAcc9VfChrNMssv
NdV5+vA7JK2oXtpbh9ZUqh41bokHGlTfmtDAGkbwnqiOFsGcOEw0ubrqdnW9pO+lAXZUJ8xNUS4N
1R3bgdg1tMsNbXNF+zzRRvu007nqqzGDPuSsIPnMd4T9PrZV2O9HecXudBXTmRuxTSZeNm4tWcC0
C+4i1cS7dr/T6Orb2d3XdPlzqtPOeXw1+llTY4CQeUDfGbekn0NVYAS+cms19tYH9n72ZfMxT2CM
wmyhU2MG62PigAT1YOSYaDI1jggrWAkVLqHI7Xk652MFZ2Jh13wkRsS7epy2TpB7V8AgXJwsrN1n
jSWm0VcEVfX9uOi77K0HHiztPN5wwmAWQnyxKg01xA1YN7Q7P4TJO6YtR0zv9RdxOqIN0KZveQ1g
kad4kUxkhJgxIgGmxy4O8vSxLwJjJSYbCiYJDBs9bCBNZLFNTEUWHNkDlee80tunWHfAqVhzrbFt
GazrZiC7OHVnpttDKqG8sx7SWanM6WrWtSM+swuwiVeGC6JjjNeOMT9MfXvDq/Yi8whsdEyUACnZ
sblePfkMxpTQfF3rDQEPCbtq6ZN02LZvfUyoYuI+M0+77AdMT2W0Io5p0zKwi8zmDsfDtHKd8JU3
64Mw6x0uvbOwIHDE5gFCMkPvEE18ZBbLRjOfytk6OFF2SaCcubQhlMQpYvsSp0DHEU3VjVGj9s+x
sFZpUty0jeJWZvO+DOyjNUY7vSb4Kin3mUcSRiGSVeRAHLBj89obstsWUlxfTATr5PldTprJMtOS
g4iGvRDapSf1JaUQg6Jq3/oAQJJwHzjVAfz6oy3NQ5rrF7XJSWu64DjKL35MmGgSXI8+lcKEcWP2
cf2SOG1V7TtgniM4imXDTTeSzNZ56RfbhCvRePm+ENFNbcRrAs6XnoynhZnBkh7FbZNoqOhzTYOx
QZY34zOiczZ+z7RRUc06ryHCV99lnfGEFm+Zxvq4sYjPNtlJUVqgoMnTird78gT+gpWTxaiDyaGX
0NJ0QUpAUPxAZuXWdOcr0eO3TVr9bhpYeMXlY0EmIb4kYoG0Pvrq10W/HOOhY3ljngZLnPzAJPMa
Xg26r7X0nW3sRXsvEt4mCPxDn8zv5WSd2lLnEw+YzWyDmyUoBgu2vjNQS5X62p9s91ygq8hltyZ+
y4Z6J65TqR3TFmO0FpibpsGx51uhvqgb1PvhZD9bA7Y4jzcNJofxOI4u3qSheByt+brU7GfDiP1N
GVVPAr8Js8JukzQ9aJeGT+36+s5Tr54KB1VfACIN6jResu67LFkbJShvzppRH0o9qFYG7qZVVWff
2LORNDpV+Uryv6ZkWul9dRtEY7klDnQ/OFibprYjg02d2pZ8GnUetJil0aoeMRpVkzzpSXRKhmQp
Y8msJJybIxnhiohmPhrgyC+G2r/2mvQZQ6LcqcedADr2QDmnOSJI89kN21vSzq/1YYyOnpmv0FDt
g1LcGZDG58ISOKK6bSCKlciSYxUAanVQpwRW9o2lKhNu01gHpnuXtGAg4LcnvU2dCTioMdqnSa9u
vJG87bx0TrEekFQeb1JHTkTexw9V6j3L0bzBIFAcLDPO4ZXbcN5a+TxnEAsbXVuC4cu3ec9frFU6
oKAIZimck12cprhXMcOSWyAzYd6OemzQRtS1JtdECEojxnJva2tDhxb7m6rhLy0ZNHafpgfAFdim
eDYBNZzxeJDFDw2UEQkxGkYeneMSbWJ+2czjwpO3n9pKRmaYZ/PPfDilZPtT6fb7LyH3EBme0s+p
Lu6TGyPxSZ3UmiY6i2mv5fj+QwiLd+3w63btLz8Lnej//jUOQxopLLgQ7g+COl8Ijy5AULgb34bi
XjP/wSPzk7+fOQ+AOzh3fF0/fleNN9lFYWfpOR+40Xauj0Dxj+77J1/Tz/5+FKN8Q3xRyvr9/dcU
OCQ8mlaVnV36DuvK+o2h95ffzw+mmF+v9afv54drTZigHsInZmKZbbVsmegbsAGSRLX3NF79/Uf5
ya8iSJVAJ1daSMW9Hy5F6gZiHuYiOYt4h2EJaltJsolccgwT9fD3v0v9s3+4u767LOoW/3R3AVrO
WH6l6bk0l8QxELjHo8U7deo3f/+LfvahPl//Hz5U7sQePp9ff5FJWAABWeGGc0QdxeU/3Gs/eS7x
6bO2VAFwpmEo1fenD2VauVFw8Obnxtz46Ws/ri3/y99/nJ/dbp9+xY+329xY1ErIB865+xr7z1L7
P9zOCkrLEBRFP+Kg7z8CsGerlZqRn2PegCbxJ9P/4eUFG0HYSiZkmORsff8bcg2xKNTm4jw7r4Nz
6vDrifYf3l0/u+jcxIxxwSRi81Hj108XgriWMp/cOTtjAcWMTkaJbl33qP3KFcK9v78iP/ldruBj
GLrjOvhhfvjGQnZ9phdb+TlUPfWawDuUjk61KKixbj5+1X9qNmVK+eOlu3ptX39jZ55es/f/+X/P
RfqTTAL1M3+MO/VfwGUQHsClho753bDf+EUyY8fgQ4eIK47b7fdxJ9JwQ8n8FVVKV6fPH9N+0/2F
EaWwQV96Lv8RcQX/QoRgfNxvf77tlGqcW4Q4LaVrwIXj/XDPtyQ05qkRj+eyxZxdAjtHOXbXGlm4
jBUHfdbz4i7q9fRstFl22yheOuFY0OXwQzKtx5FK6krL9N48majw1m0Kwnly4ncTINGy5XE7hFX/
5ilCe6FY7YmithOEcxiMxtt6pAjdZVa9MRTjfYy8YykLeyVzM1sOllssoP3ILb5uwIxg4vNJ9LvG
1cY1QaBg6ZM7SzHlDUWX11LXXY12D7+mu9IUgR6fxqU1OqipFJ3eVpz6FCLuUoKu14Q97DzVECuq
faX49qEi3beKea8l+bjU+WLOke76gNNbj/lgobhpBmPHzMt2Q+kQhRKYZGLnM7b/wHkqoPWoSE/E
71127Kppm3jgNS2dzOSig1ZEF2eFKLQ7iSIggIAR9BdJrR36wn3gO74sCmDRoi1YI4NHXuRJ+GL1
kimiN2KkLx4Dhm21lae4wgMEHEF020pEq2aq2Qsz14mCCIgcmPtqp9nZO8qvFNiCfWHX9BTtnHcL
6EXxptWsYBP6g8CqPT9z+eOlZ5e3heafZDq9oR3fMXkGFlmaX/2pudKavD8mLp143ap57+CezJki
e/bnk1VwoduSqn0arpLMfDPM+nEeki+aX/JSC8MLOoazDQMBuTl0BF0xMbTB2Ft4EcmmHkkjC7wz
OtB2aWQSvAF0zDEDm+mY/sLSw+cymK+llMD+GU5pDKPIeE2IofLVfNStEvdswkUx3/BfWNPeoSNd
O4Raaz4RnMtar4NVatUQOB3rXYOHGXWuRIUygfaDeuXzerwUfXrRxwjWHCvH5UaqDCsIYkKRpyFw
08FmWeTOTBYAl0p3YbPMxk2NdGfZu0CtZZB8qYxSLhCjTesoQ/NYxB7Rr1CYmGPwJUeNv9empiIR
E7TFwGMP8zvdIfW4SXPyuPpI7kcX+ABrMnGXh36DKlGSnUnIVc1gHS61na0MfyDKAHWeOfnv02Ts
IhJA9oll3dWtD9cqb5cOTwLmkBMEl3Q/SIuJytAJ8n/sPSgJeXbaqVgwJGqXpBvYUPrkbZ+g7vZb
60gTXgJEmbylIOKtTrvoQp+KAyFbBJoVEVep9Zap+dTo/lkbApJ1nHEjmSW1VY3r3MvqLfG27AfJ
oHar9C1MrY1blLwAeEzK0iEPGphIGTYXPI/lPtEcdwXBTz8TEG2ufLIeb2KIN/Sl0DFwP5/6SiMm
w7MBlHoMe8kvQcQAL9Yvx+tJB1EwVWVyUU2zu+gMw9+JqqW/wSy5nQLfWwn43Puyyg9BCGdyCjrz
orGD+aKKdW0rWYGvi6q8tjVCguZkutBE8FRqmXllQLslYTlP9hpumGWYlBcanIJgDPy1HZfPFeSO
b02eqaC4Tl47cfw+A+iBYO/BMP/1AP/vVLUoHv/6VH0AT939LEBS/djvB6vuovfmkORw1Dlb1R77
9z0iC3YLD5ROgeW5gpf5nwer/AWhFLecxPuOUlUdh7+r+8xfUPxBLHBMHHwff/QvDtbv622OVVTX
vNdhVjo0wsjJvi/zRgGtra7z7jRPybKqO8gmzOPc7Ncb5C9bMP2jSfzu/EYRYLjs7Gm2KSak+od8
qif1tO0rO5blSXSWd5+ElWYjD7dalNnJWEHGbnMC4prGn2+RyMDUo60mhMsJno2G2ZrP7XzQnQwR
OpvzkRBi88acCtLF7ClwGqZKcUNQ31jZ7tXgV32/iXUQwz3aEd5uWnoe0Mcxfi/LwlgXQ8rSwNUC
xMK89PKnKJkIQwHQTeBj/sVK5XByZAmZvhNluiSUPJ02hQ+EJ0UNraUN+ygnGgrzLHrdSo59Gp/r
NhmQ7HAch94VtdI7nI6veRVs/EbcOZx0OSs+S7OLrSH4FAQKgyH1N162tsZs709TtTIT9NGASlfp
VH0L3fBmLpkOGeW3zuxvyTHK1oOs42eHpIWVFyTdpeaU9alqLPsijTxwukjW59looCBq5jcJsmsn
/RDWYluV66znGIlSzVobCOag9J4gvqDqMtx+FUSzsW1z537StaeUzSXhCSHT+rYNDAc5AvO/oPFR
ac02CW2Rtw5rj6g5gyzL0qmcaWW7eXjTBL227hy9XnujGJ8kOHC+RYMioUm6eiW1elrF1nxT2a1L
OCB7jU/P3k/GCMb3jd3HvYzvVGCixlrII/dDy8KmFucex8YJLdwrxiT9dr51FtB0IZvmO19fcEKu
s62zrtc58cdyY66Nnb/8J9rHRzzWn7c6Yx8ktMregVFcCEQqP/TLFsy3DkBQcfKN4GJKifZJAkg5
5SCNheskHqEjvrmpgV4hTHfFZeDUCE24Riz7MkrS6eT55O7gmXphEO1tGuhAm7YtN7ChXhyLgTmr
YlDx8/hYpZj0jBoWk9PE5mocfPIGwzhbWCjZJ5MlmA5c3meNLV1yXS1vR5TkYsL8RKgKXj3UX/AU
Madl+Q4V4qrA3YGhq0QDExwNH705mhdSO6AoZ1ncrHiIT8PomdsqUBhoM7gP8GrqZnbZja7ASFZu
RcKN5niV3KBi/Yem9H+PPCghWPLyvsSkav6ITfBmY/DKzK9Pos/iLS8C3A+1gE0ThWuriCT5Y8Hr
P9xVqvn87moCDvz8O3+4mtrYO3WfBA0QKPPZ8uslgs9iNTfOTmYADiofI6DNXtmpECWnTbuwZD4x
8CVozNWsI9CiJxGh++kb7ZufyE1ZVZdGQbSnP3+xguolQwyBFqMqf82+/u9MVpSZvz6TT68lV5iD
mYXt/uv//IbnVT/z+4EMsBKIrTqPkdtLT7Wzvx/I/BHcDwi7ePx5Nancoz87XWRwBB+hB0Jw8+H1
+v1Adn/R1QGOp1qZwcS/63RN8f0Npzpd9faSyhzmGZi1fzgp66rJpEWA+7ksG1SQDNMXtceTWFrT
vR5XW195ZAa9Wvll9yY6/yWyR9KNRnloLD9dVYl27/XVSljTpTWDY7KA0xk+7EURRGebbNvJd69E
GuhLFtEGbZLYJqN3OZjcrFmxdQNv18UGqzOA6K6NYqgOaDewvdzaVtGByNffNTs/gP2EK9PL4NKx
qae1MvEXbmWtJ6MlmFWDpmZGe2ENzrI03AenNK9YcZ0tTGjQwvMeZFefErs5bf0xMVmLeddpHNwG
LEJyCwDcZGGHDVK8uVMr34ciiC/nuStf85bfM1n9dtaUW9dKlmU17FjPiU0w6ogb0iFk7R8J+rSg
vOhEkKyNkui+ThX41B3LiIrfo/IPumjVqlag7Jtt99EdFDLeIqgdN44IN8WQ7Oo8X4+qo6iacFWr
HsOg2TBFStdB++GrPsStRbn0E7QzqkfxBvu2Ul3LpPoXNFJ8Co+exqW5yVWXU8y4ci3V+TDlOGF9
h0pJT9TQHDWBexerbinSzJ2kfWIeD6gerJirOqtG9ViG6rY02q5C9V+V6sRQ/UCFG60928pxJWnX
cJntoFo6y1B1cgE84mWhujt0OmKhq46vpPWLWHytZ9UNVn4qoWsmX2qdVWRf4R9oVffoqT5ypqEM
VWfJOCVcaVjuNv0gvITBppGBv/Tzvd1p1g7B4gBG3k32pWutRkcihZS4o9nCxNu2sNJqVzdB4d+6
hFBf6MRUBFpRrl0/8S5mlWGhE2bBEX6HMKlmumDspIbXnEnnugk7a927rLb6vDjkbn3ZqJCMMSe7
gtgMMfZPZYMQwp6jh04la0SmR8YGYRu9St1wiN/oiOHIVB5HTTDHrBI6iiLYKndwPhN/52sP7UCW
hyTUA+Y0/+qAPhSnXEfshxXhIoQvShJI0mxjokFSlREivPaFVLtzL5J7b0TvlREnEhjkiqA4ykA1
V9G6VqkjQAVePWJIwkBbjiqXZNaqq4agEhBAcl2x11tno8U+eWzWGG1WWpCiHHVJOumJPNF07blX
GShDS+GmUlF0lY9iJ/IF9M2h0Z2vztwcWCyfZgJVKObkomEENKqslbzOtqlKXykd+2CONfp19sOa
Ed70gegWCZEthnOXaGs5uYeSLBdPhbr4Kt4lJ+cl6sHht0l6DfRWWxpF/Vxq7U2swmEQalyF2GGW
Nrkx6PdXGTkymmbvZkXABcYNCrOG3laTOpOSPuN4Hkrw5IyEdtlJrrQB265XgTVJNr94KsKmzWpG
JTuEIkw1VMIN5caxG+a9R/QN2FM8zrq+clUqThnFt21qvXkqL4fpDHqgynkISG8jcIZUnboIsSWG
Lc5N3n8QANJxyzc+Zb8Wnf+dsmrz8ten7FX6+uW9/sk5y0/9cc7ijmZnSBLfh0hWcAT/cc7qv7Ah
4+G32Vp+nJh/nLMeY2M49Uhu8dmyneWn/jxn6aBZcqpFAZZq2uV/0fjyY98Vdh/nLJ0vjS/maPpz
5OjfdaT9NPBUSWc4tySFLWWbPBb9dOMUPdnTXnAm5Cb+UkR9vogm885szXjZmxpvL2f4poViwxhP
LmZTQ0dC0rLIU+Q+DrqeqPbf6oDX7pg6NWqf/EZiadgKps/bofcv3SwlXKJ03jozurX7+THkDYeE
hpB2pnNLYiuyXeKUF6Y6/TOHNFvTyzdzatzyu1ZDi/+D/iJcGd2kwzxF6OjP9iVkh3u2qzwGSfA1
btxLiWpAyPEcBs2ucPBkQVO9NkIhNtLF0RbL/mo0kJQpXOHCMUinA+y49AMoH3O1NBHV74VkHDuU
2JngXG+8Vs3EUbetO6ywazPxt3aS0i2YmbfzS3lXeyCsJ2/Vmea6Kxts0Phclwwa90AJJCGpoYu4
b36wvK9Z4a9qY1Rv8QsydJ86MUfLMoaoLFV0dTfBZbF7KmhrnN57geNQdzaOqcFmFuFDoGdqZK6h
10PEgvCCtFP11nbgTTu0nMGS1J8HaPRvCIgPWFpR6MwrG+5x1ej7zk+uyRLKEUDYNy7fkI/7DM4C
Idxpeqqld2NH4i0ZmYhCHtQXNJxKNDvcZ4Z8jllRGyWDeoRdlPKdDu5udA567N5pKUooexYMyBms
D3l8mE3/vhzrExrPQ1AzC27S9F1q4cvYa3eliQgwHG9akn+FrT0Ru/slZcq7sCxCXeoyIKtXydSM
hnSSaboVHcHglfQuuUzHIXaQn8QrX35DXrf2DT7O0M2b0mE0YMjotkCHbcdsJUTgbOfYwRSZFy9m
bpNd0EyAMcZX2Q3cXzry0izAwt8T5UKOwVefO9KrzWxF577VU/uis6ddYbdfe40kYCM07yxOxSCK
CJr1qytdDAzLUdGueL+Hi1qb4pUWAqGeTJcVAQFXccuXNOc45K2Q2ZLMjJvWLtf0cdB6s9pbg1Ut
L3zopCejKx7G5hmeickz95xRKhbKux8GqLfmVt4X1RReT0Pt7f0EyWrhNCPuIKR5ohskHAM9Xk9d
yABLK79RLLUewreqxf8e+vG0brOkmu97GkWyHPvRbeD40pHd5r6JVBlJ0UMk42It9e5WeBZRiBOB
L7nEFzUg33bjGBagt53KoQHnwwqnHer0gsPbUcMVpZkzn4veIkxt5nFLQ27pfGgJfOTUjVgT06Vm
q8D1xlu3HG21cziP4fwVvDohboG7IoZnI4ZuhV0Sp+qIzj233ZB8g2BTSdhz46PWBasZ+11k5ZvQ
tTAEumhs23YfuSDc0c+lY3GVRt2m7LV2ie0N7TISca1vL2SYB6c0GYlCtG/5cvVt5clTE9dXY9Xd
e4m3q02ZE9gwvDW2fCgK8ykTDu013N84NdEfVvOs9LwPTBZQhc+c4qwET4PfewtGWwNc5/QohnnL
/2uwHwP5VbUW5YJdLowKNpuZfJvm6r6MnYeyii7TWr7VpIwvReacbcLL7K4Q9O+hiQlxYEbRUiwJ
X38TY3zjGvmRa1cR7I1NvU2c+6zvBx4Qs11agxuuEW2t8ABKcrkZwscJE6yWZ2niyXNmPmdo7BlP
9YsopHrpeAkY+gVmzANghCNJANBxPQdvwmAzVukzj4isDK6DA/ZAZvq89pP2XQvndlN4FXupzosW
Zclgzfe0dZ92085A8ocz81WbMiLb5nttMhnEjNMXra/i20kxompgUWUDNSpT/CgHkNSAJgWpMN1D
AYEmcllAluWXaHbaJfzw7I7ydqflxj2o9Gzpl1yN1PE3ExyjFbFgvDWGPQNRn/i/bufGQYSIdwUU
1aIXxOHRW6gDUdgOmIc9YV9PbnXtwN5adNRmxroW+oQGLg1I17KRCzYfOdvGR+b2R2XwX4lkMp76
6xJJmf8vitcKevD/rpPUj36qkzwdIZrN4EHqH6iYT3WSRXQFqD6MSBL7/+d5BGQ1wi0I4BFkf31e
EDgUV/pvf9lH+OW/KJNYff9YJrl4/+Dusv5nnc9m/PsyibV8No5yqs+T1tu82IxOrygzcjem7Qvz
cyTtyyh0wpNt1VtKEeu6mjjr5kDcmL68SerunYFitRjHECdBfwgdfUMs1xEC01Lr0R7n+tHNiZIz
uO97Ob5RXRwFubALs8tOQHY2PhCpJtQ2xaRdk5Z+70z5ozW2S9ev3l3pIn8nd2fK90lXrEKMeuRy
mHvLDR+Qyy81KYitTE8djhcsBaeRegM7+YifdSYThz1nFNxbiLM1PtE6rYc3L2rJqk82sLVezCDd
9m17kfs2gw/v0Mvq5IfhySOmz5vhsYXlqUPjaRYVtCjj0ZHWLmSy7U3TQoMaFuvxCe75uu+8VdXM
q1D0pGk2V2HYXQbDtGShvpVIZ/EsnGoDSIz3rcGEAdxm6HBBdBez5776AOGBvz3Gcb/XGm/VW81N
GMxbjRMpK+eFXda3UzPRto3RObAcykfMMLF9bzXZbp6am8xt33JjJFg+P4V+deztbEe+wEVWT7uu
YnYQlN+cuDxZOsYIX8XGyRsndEoGmOWudQjLk+lwmXQoyvUJ27GfvJqFvPFKexlGPu1d55w7rT0G
Rraag35fQ3FHfn4Te+NeF/6DVDgVz1zbzJIXFTJuXxkGQl9US+UwJt+OiJChwtMygekrIvvV6bH+
lNW4dUtS6IKxxHJeAq4bxjcXQfhz4f9/9s5kOXIji7K/0j+ANAfgmLYxR5DBmUkmNzCSSWKGY4YD
X98HqSmlkqqtrLdaVZVUnCMcz++791xcuuTjvGzbTsHICd36TXpI4bocO8Ud91rOM+yUFJe9vQeF
zMXWBN8waBz0eAH3qu7zRa6+y1RXnUrKFNZtzZRh5qZ9xi88bIYJ1k2uodMEJdZ6SPTpnWVa+8zC
GUBK4pCWoNBQwWgYSEwKpq15xorRU0TAUmTb+SJd93AFD0SxHPIX030iWfJ01PFROedmu7mHhq6q
2lqNUfuIWgQZxgW/kOaULfsTPqv0c3QwJASG9WDAO1O+vfEneT1bzk42MOzabNxkI6CCPPzg1n+m
kOnJYKeTnpu+o/9lkv26rgDz2W7Exl/dWqr4StVMskHy6vBOk/8gIU6mopJvEeG2lWiWesEWIBkV
NlfJErbxdPo9MPDPDJLH0DBw384s/yOqgpdysh7hgH7w/cc4R0QLJceGmFYR24sLu9rgU0C3zBjQ
Bq4RVd4Qc0muh7g4cYn/KvX02XvilAb+Sao42WmDIEoUf2UdtWWZVV9N9IbtiiEnjd8b7lnlIQbU
GCwuOszWigcqeSS12yw5nseU8pS2Lr4bahl7NRg27BXlLs30MTTyfSoIGwXz8A1UI4mqTl8nwnuj
QftNywHHiC547XoupEiC8F6cI2c1BpOLBTAnZ39iW/tQWc8dcY+lN4arBDJd1LcUIiTPU2TzyQ35
noQ1ZakwiIO+ezPYerWWO611KFD4wyc7QryZEOtmq0dqInBg94bF1ZO969xUDzHgi41IQZyTx8Nl
GYbP9lItGVahx+vL3qHtMgMFI29TVpYoWLw1G+LLfHv2ZyEsvR9COnJ6dndJllA4XtRHkj0u39tw
qvz2WhfYR6a5X/mFfRzZDcbd8LUU4tSNPuYFI6A3hhF+1Qt9mcXiHjfFhVPGD+bk0S6UkjSjPWXl
y9HeuNq4xKRi0gqUPTYxyLwEVMcmh9bY38dxVu6asY3itaFC6BZ1J9YGiOuj7JJdDMdqVQrf2BNE
hFZVsl4q20LtdG+daCm+rZZItGfq/DZRQ7L+dx5hFCCIzKP5n+eRG4xmr+3fjCJ81E+jCJghXKU/
mHWuj1Hzp1GEUD+StLCQBJbw/m+SDV1euBSwPUtyyr8OML9JNhgcFoNB4PwOKfqfZpFl1vhjF4dk
Q3rasphpFiYBEMS/zCKSNzQx/cm8dnKYbwfAXNaqxlt1TkPKXOf21o/np5Baeqvu8j2GrSc2g+2q
iLFoofYGi1ss4RJED0W8tVVz6w5qH0hx0YeEfwp9tPF5zf0BvM83FUXcSrlnRddmGkRnBHR/jXUr
2HgmYYGsJSrqTvP3XPJ2n3onAxXkf4MwkKOpGB2eo46zBv+dZUcb2xlukrGzt3VpJPx7cTEPmvyr
bZ8lhn6uGvnX0uDwLxrxkVTt5zhb33n6JhvVZ/EareS+8DWXLC2/jZPx1MzShQ8D68Z3fWp8gqvS
naYLQ2Z37jLX6xKmnA65sSLP8V/aTyfsWfPO7XszmBvaS6xNaiXsn0NpbYqYNfCs7HeRPTuwZVsX
IB2kQGdsUBEoJwi5OGy45E2SGnDKXYj+2qi+FaACknaYCV7NRFImmGjogXE5xOtAl9kB2Hi9zVN6
FQkNV1sRAjfHg7okS/x8J6YpI2k7MIO5PGko0h27WyLFJj9Y3twOyk73fQULn5sPvyrIequ2kWIV
1ykdI2UGxa92n9Xc8ACl6HorG2ZBinWzbbdoADpQYHOCELywN063WOUkLUOp2EBrotHZVaeAiA6o
V5mcQWemG5BK7SmmyWSvm2haka+hv6CGJrEyaL7em1n/aQXMa3Vc81jNwuhgusbb0PHnw6VTbwfY
pyuzZleWkEQ/SOF+BIZyVj2Y4C25WYs1njxynrdrDJb5jW+zmjLbEsiDMeEGMUu5l7lNI8zQOns/
rj8KbQZ7BwcBUpqR33izik785rjghmP56quFUjMl4gAmit+NMPDwWQNPe7PLmo3peRkvJ6N8qya6
LFSbELdxlge1b+BppSn4Ihr7hnpgUvp0Mdn7qnPzLX88uQpb5zPB4E6VWEwvkbT3rZiwHIi5IKce
MIk1vi/fRIGSgjbIagJMFI1SxJbqSg5b1BzT4Lss3U1a9vkb77no1KSWOIz0RHfbmMoisdW2zxQ9
oPZ/5oWaDpRNWrcKRQqmEJaeDiYsmecqWTdCP+SGiUNS5M6qtBnOVV5/nYwgWosZU68Ch8qSSBOC
b78ZUf2UU62MtyIYt3Ex071XgP9LhVesvCn9ilP4Jq3b5AXDHu6JOIpJn/qwWSsyWnN/m5REeB3Q
0Wv6/+pj0LsfPLFeehHuxsiH6xMYn2PatWunTL6BfjwR7X/W7gitqcXVlBfNcogEZ34Vx56JXvE+
Nfplh1r4D8J3bmozPlXU9a7KRl1BnH+33OCJRmO9MRt9080gg/ymOai5vW/n4LGO3XArOhSXum8A
VU7JKgmTaU+RMyn1klHap2iHIYzdVnwXicZhoseg2+d2feGI+VWnKY0Sy75J4XP16OK0x7Ohbdi7
QEp4pzAUQFtEdElyZn1i2W+pX5Yvbtalh8jGQuXJ3iYaF8iTSzHHSrqqpZi7eAtahzNL9CWhtPpG
jca927bjPs2y5BSRu11pFXGrmUafbwlNajIo4EL9gmepxui24Oa5anm73PbLm2cWIbrw8kW7yom3
aZgEewFU+i6PmmrjW2SXOWH6fZu6KLaODvaVNKftnKIsUyCWc8J40173U8p9ILHJdBaSvtnUJZ/r
fNLyPm8yOR8JKV8LYuuUsV7ST7DQp4S1t0c730JHCncZzYY7fLhiD+eaqjHYkQfL1Q5jMkNOzDQY
EiHfW7bmqE/5bpl1I2xVrL3yktpIN85z+I6cUqIOzf1Y8pM6zcDNcGBR36emy9WNhX5aoLrXUcca
u2D/yjHV/2K7+1d6WcaPfx517pLhg/zs94+/mXb4wN+mHZqWJdZLJAS8l2QY/hh2KFp2vUVBYdwR
izr2+7BjU2mKRGND1ncD4ggOksxvw45NTGIBAeMu+bXT9H8Ydn54mX6edSDIuIw6QJQQhsg9LDaR
nwyTsVUSUsV7d25UXVfepZFTxAb4WYq2EBvSwNl10Ft2BhkgZCdExnPemdNkekinsGTpF8yve1Ub
nM3aODpOaZ97HjQb0gzlRREGxT1LkPG617K6XBCW713UjSerGLN7aY7NhcQdXq47DYXQSrAbYCDb
mWnjYJCn7PSFTZIIkJbRMpsRD36QczM2uXzmpfM2oBR9GnYy31mtm5AoiEEJl5MJ+M9HGqrcegPE
0WK3kgIKib3spij68MFi1rjrf3Q6i9TBc7XPf7Q94w7AU9ZQaUANtOlxHecL9oIoP9l9uRRGc8DQ
Ho2QNtw2yEFEBkAEyw1y1CCuKOZLt4WT1OmjwS0RLXvIaKbWlls3xJ6XxmpnoHAl62FPyqXQemYK
BTnfrRqq3vyuqjdm6cQbMTSBczFUdvMaponLAEJWmSWHaDmO6oGb3pSUtr3H9p0eJ4gNwUbN8m42
28E7WINjbpSXvneAAU+Vi6BwdmDHHP3aT4a7OcVoQLSkBIwY88Icz0WAqGXs/738/HL54e37zyfC
IsZuko/ob0JQi7/q9xPB/SJ8UKe/+rjMn6xhHAlcY5ZUosPl40erxm/WMJvkFFXo2LZ+Z7T+diRY
X7gS2SCkyE7RjkRNx/9wJMB1+sv9Z6FK4UGzUWkJFzIZ/PlMSCgvb2O4EGdMp4wDDkTqCNSY62Sn
IinGylqbw4xdcQX7xYIZUk7zfc+uNWL7c2n3qfeaxSVWayIeon5Jvdw0b0azxSSWDhMabTuUwXUB
lf8U2X2eHKGLWA+I0IZzNFuBHhIERnddhHZ4yiZXdFsry1LzPvGCXF7Qup6374hl7nhu7KpxuMaj
nrpl/hFCv9ioMulBm0pW1nuxvNqDHy/8rp66o8wt6KXzzO5ki/e1f5mlh27l1bG4sPogvGjqOg0o
Z8DcFeugXjd10217MSUXTjfJyzCcK7iIlHe+9m1Jb4asQ3ZRaOrzOivj/ia2KKuYyhcoD++pC6uF
9Gaxrlzno+qKDzdQZH6GopbfASBBnIFpUUfjsZyFs+syo6ftJ3JXgyWSZD1mvYkha2SeYxv+ZBoJ
9KhsDN91AoCkt0Z1E1XGtE/iiTPRbFhJ170+zlVV7zH2qXUzcLIUS3LL8RmlmWhYMOMM4I9bbTBH
r9uxDTd+V1z4PX0NeE69Mwje+ZhJrgKJRaRJBvHeS+pi1UQWA//kp2vV9mgmZbap/ABZPDb2/jAf
chOAJGfVHikNdE1bZOw8G4YuiUObyk70w3lY4bjdK5PwVt/pdRc341VmI7CLmJE6yB29aQiKblOj
sq7x02X3xujYd6Xrlh+pkM2pqJPyKR1oT2WHSfHpkP7rZTV/ObVQWP77qXXZJ+3/uX5L2urvzi4+
/PezK/iCOkIQM7B4iOKu+WOcscwvNkMOC6NA2It488c4A5eOAApoOhLXnHsBH/Xb2SW/AKzjw1gw
/Xri/Q9n119PLk5OfPkESy0+H+PRX8w2jWU7La7a6Bqixaq1qHP+f1Vf4mb50+m44BYIm/KJaD4i
SMwP9efTsTCVCKp80lcgp4686YMdiIe02XmFPmubCxr7+6ndIzlCVDEqTGZm5zv3Flw5xdstcM9e
4wXtsYzC+tw3hl+vi95267PrGnSbSkDY0UZUJvjoFoy7qkZRHTK6t7cgK8Re63reN2B4tiPhlT2S
aL0lKZLubRfnWjm4NymjC22SjG+9ipp9gs8P9EajUmNfFmAD7stmjj+LtBt29i/QC59b/ZY5YIFh
BDn/a2tWbKS38Q9iBsYJ6BmsSerbjmsMkMl5NxumQ/wwfrYr8yLWMU7KHNE4g15lD/UeYsDl2Lvm
yuuMqz4evjqZ/VAH7X0Dyigqh6+uQ3bNd2uFN1Be1o3cRrK+BBl1NClbgzCGazbS7sXIMMdq0F8N
kdqLRAuYc5g01HRqHPGtSlNwWrm39M/U103ipgdWM5e9Fm+xm00sunHjSKKPKz83uV1TZjIFwXYC
Gr3CvGvBTLDJPGhckQh+80U9VRdDaOx1kR06g+qmgrDkhnYIzK0VFubkXHAkbUMbBB07uf08N8ew
Se5oRkL6L51yQ3c1eykFXwwPUNnqhlbb4l413UVscw0zJuG+T0PGCqOJxjUhzZ2ueKlqM9lK2THf
4T7F5nHUVX0eJdBDk/bkVcZpzZWAAGaUOveOJLdoawlrrKSACnsA2looOUin7ly7g7HGCnwEizTt
VS4+pNt/N8FE7QFZFxd2QDHbKs6c5LYq/WJjapk4IJOwgHumcQp40O4xs75nRnycXeOqM73HjlM+
j0N35U8NSzWf8iHzci7826EsdwFR4rQJtwuEpXAxM0NL3vtjZ9Exzy/eKb1DK4Ync6l4qug7wsDz
wrx8VgLwVNLok5OLm5lPOphwkv2YWhwTQc54tVoc4IY+Kjlf2qFxCLyvOnxR/nyCsOTvnJTGYM95
rGcSN+xXBh7kfed3ALyzS8eabohdmWvbyhABsuBbHlnfbMx+XCPMy0CWEcnTa2ipUyHjdTyjOzhz
vfNi48HX7aPMBgzZ8NCcGCDrsHQZJOxaiwECn8qO3ADI+w7m18qIH3y/eDQqiqhLeoJYcVqePtWB
cdJaoG+mLhnLYJ+7OdsQj+4HZUL57mV3J8f0xM934aTihQUN6q6dgyBXMAAtu6KBQursoI3C+qYA
Fj23vsItq6cpfCy6MLvTodey7c5NFMmQAvmkize1sZDLcq76lBbStWQZYjPytrgcKie56uUMDDFv
hrBd95W7vMNQh6jFCJYtXh36b7OLwSV23K8GC6Xt0Lpsoatwi549oK0GLS9me+nv6POLiVwb/hHn
rhO0iuKlqTfRUPkr00zJb0/3RZWBrBsVjsCqjXZZIJ9dF4yhO2zqHoehp9vy5LOQPocVRHg9s5zJ
XPUm6aJcuRiweMvBn5fOg4gqMkDpRCHKFF2mGGWoaQ9v4Qi99TogdpRu/NQivGyI+6Vsxbarl7bP
trNKD0PafXrNeJ07c7qLQkqw7DH/ZqX9jmvTC5t+srWttZImM044Yibq2hKRB6pcGzqbaUpwJXnb
tLa+F26nWRWjzpTDtwGh1pEdlMekf2k7LHoNf+aMprXQezLL9qvT4x0wFY5gnd7rfLosg/HQ1RDx
jTF9iuLpmIy8RbU+D2Gxj4qQnWju3nXdfO207jcdO1cKM6Mvh6dxbtbmCDPJA8E6yIDDgnYz/hr4
trKXuU7wBqbuntoXxOgch0HnJ8eo1UywNp2yqePemzN/tTaH4B+V3kM9JKfOhh1Mo/Y3ngQs2lXG
66e8YYfXHVQaPTmUpa9s0Rycwt5y3KArajiK/PRF7F0C8Dw0WXQyMV4F1cD1V60rP7u24SODFV+R
rsTyZ2Wvhm9snDE59JAlV3UfvoouO/G7xj6ky1VgBSfZT7dtJfg2JR0ywjg0jvsSQrIcMGbIbrgP
4YEiXsy7FqF9VSTxDW7Tz1BgN5pAYgqZQvGek3Pg5Ps6rB+KskN9K9VhiAhD+kGx8AFtlhAWTMfk
xQ3VhWjY5VoEBndlIcyVknK8ERaeVh845zbzm+dSxNHOEP61QPBF0azrxf6OTzzWxY5NxzsBx2JD
M7DxPFYur5d54eGg6a1smeTfdZd4G8suYhrqJus80tbz+dN89jcZRO6OPy2ofhCfJLXBCDZYcjDh
/EW0MTPHpE0sNK7SFDjg1yx4k84vN/h/jNL+v77EX+6AE69iN+v5EqKGO4jxorrW6c1//zHQt/7m
x3BJBxNOdh37Lz+GhbcYk30SXYuRp7x3PXfA1B4MY/Pfvwxa2X98mWWlR67KtSBXYYr6WeKKVDrZ
XjZE1z2czRqrQGstQspjL29GgLJuy67a+QUw9K8kusRd//kq8dAkiHjTfwqiy4f9doUg/kZzszAl
oC8r+PP61/7y40W9aBgWL8lftQ+Y7kztgeeRSIdGxLXjj/tD8IV/LuiNAR3PLeJ/i8V54s/T/bL7
dfDSLLkA/oP3119e9/Q7aLcmG3dTMgLLc2v1zJtTn4gCg+M0WgHP3GHACeZV7/VQvMxqjvc0i91L
Ay+F7b1NA+JB1UeHBjd7XSUlB7KT4yDxrkRn1tgTsASpinVKqIJh40CI2Fk8jVcUYlwZRpgt5peO
x5q6bqfuu7Gk3pxg/C4rQ21jxaMbJh91EMmFljPutSA9G1V90wjlbFRsz3gteMay1crZQjX4VJZq
zb5ZiLG7ucimPZv3N0ObuxiTP7ab6OB53VU5Z4yZ2bLBrsdvJKce827K12lm3ttO9xyhZe3xwtM8
ioZ8HVHvjIEZJz4L6WZrTtGrx9pwD/MK20bQ3LK4uFayZtCcrXuuUfUq7pNbbYlTIZwP2RV7uxlf
W5lcSAsiQIOHVPvWBd5+/t/BoRDNM7mFo9ILdTiLnlXrPgfpmz1CF5T2exsE743VXjdz8uQo/Z5J
JlnLFvPGd9wbom0sQR3iejH28bQz4BPiad5NWXLPvuaK4fJqtutwYQZCgrJYCTkgbY+pSX7WMZcI
lJA3hjPmF/WyDnaM2MMcZl6ksRvt2TO7uzqiSaPuBYQN/ei2xskaEXkx9558xZQuguK6muBl0BEJ
JLYqrf3UjSglqdo0SR9DEs79febFDZzZYti6QwiBrLdIzeX8Ww+cCdeDr6HvgRXub1zRXwsFHd0w
gnrfYKDmxknKIcuOFnG6le7GaEWkjINaNMfCcMhfWQZYTccO1yMNPcLDgsOfgv9n85YazR3uo5sx
Esco9cDGWCnjg2KslIfA5Mmcze5jxy5PFNHXVnUfoBaMdTZTreb07uKyCeKd38/PZQoaGJX8FHoV
rnH22Hk7PhoBhjM+FEoAV8KtPWT3k2FRy2Ph0TZNykxb8HiJqs5yCq4ziYurmzSZdTVycxvGrfa1
uvbGIuK90vj0ySRwvLGOU9RClMxu9GsXVumGlV24sRsEPTtLn3rMznnyaHfLhTFIvC3vtY2UQ7/2
O6/b0zZGGH+kIUWbVghTDnZwNZ7pPJ03RcoSbzaMW27s8XYqa6ZTq7hKSioyJ0MDkKCcZK2j+Rhq
9QpGQiyvtXsJuXn6zASjoxE1d6QEtvakwYnH3tan0giX6yeiByFIT342s/gWtAHW9fyqImdhuWxQ
oCPHW3fCqTcV9V3ct685lB6CQEdfzcxGAT0wJldeXnspna1LqHD6tNrmJTL6i1F1t3llnGHZg/Ep
QVNlzGjBAKhJsJ2n8YlKRUzcqz6ISXp03SdAlwKr4Whh4PdeE8rF0X8FIT4jI++p8c6Ovnvq2Guy
wTd8cK7ymVO3xn8CMWjI3fcOdw7IDCvZcCBfAEbV+6jtGabn4dTRYLW2mujOjfVrmoB6hf5P8Uvd
kgqMOnPdyvrgFu4GZyb1ibG+7xwcDhqaZ67BzGOLpEyndBredIq3hO9i3ifrp3R4pZbQi+xDvfaM
6B4zybWqgvsglAdbT9hlykVTnPK7sKquosisd1Hn588YwxKQ98OlITxr3efLG9tJnzyShMR+xmzH
sYq31orfdEkHRi8TEqfliQP9bpJqONRYknHW9bd4DawV2Qossb6/j0VC5LS1ibK66iH0yxNXY7mG
44V9eLhNCOavLNgIIbzhlacac1tGOR87DPcOYZkD4Km3FnT8KqgaLESlFQMEhtcVzcYnzF+eF3GT
7P3AuC0n9ebavLfrnIZIel3JIuko4sY/l8xlLLVZ2j2bfhGuO5+BuZg04CuUYVjPgi0QZ7ZTlWKX
ElPe5ct9KUieyGrI9RiWO6IPwCv4k6943FGWYHNJ6LSIduTF+Z2C7T7aNkywSEJtx77JmwYQQi+H
x3jKbkeeiVQBYoJMnJbQjedEa1aHvNxgT2z6lH/m5xTUVsaMe1Sm58mwoZeNhJoiMaKEZBiHu2mP
E/S7o5wbetE+tMmna2XKTZFMztggKLl9ecnsWFMKxx7LF3rleeUB7e/Y5VWzlpPVM7IL9VznaX5s
5/rRBn62YUH+ZOBhRTr/Ptb5DlzxIw97cZG4WP54/h9bxk6k7QfKiA7QUyGtICJgMVbQ6CWtnY6N
yo3ZWQ0Sg2PjDBs2M++JVsamQH1b16qad5Py78ywqLcOvGxQ8brcVhVtjYQ1wqNoplfX4MXQxYO1
yzKfpAVeGT80TkkUvTaEqyJUlpVOK3zCio/3qhuVMZGqQETkcZ13ugfgW3TJNykwvqS1eyN696uS
7j6scn2YI/szFZS42AOrWctq4q2vS7I6HmJD57YUlVHfsS1Ttg5mMgUrtJJvLq3KgcySLdgXhH2D
UxvKTbTh0juuXSN9FaV1xtUZr7skTNf1UF0kA9EV7KP7acbq29tw23qRHdIIGZ9MEM+7jvVAbdHW
rdIm37qB/50QMk3aftTsBvh9RE+GYaMEZtJsXk5V96nwIxNMXOisi9p4YBnw2ARc8cokWAPOuexb
BMao9wmptAqrjozvOxfDM4SBY48hdl2I4FGW/U2U01Nntx01s5WBY8rl/WST8tWRkW+srDwaTE68
IVOxZif9VlHgSiKRtz37XNGmh9olT841+mOkbseo3E9XGA8GROqNV1CQgaL56bUFQcjceh+m5iLg
SQ4K23ln27qvfcy3ZWQS0YeIjO+XZKWbPUUFxeK1bqy137vr1CjQHt6gMV8yGGCjkaC8zD49VUsw
oOrT9MpKqKtCBV35fvYtMpwKD3r6YDZ+uSLWd+cVhPktmh5kMD5pZi7MHzNiRaXKbd1RBjQ5PWa1
rObHkUgA/oigqpS88Gt14/vIhZlX52ved5+uhT2J14zeRpm9Y7n9TIQHvagxbwnpNCAx7bPtJt3S
a0ajUVbduwl/IwegJuOl5pxuyjOt8PhuXXky/e49LaZ2DW/5qdYYB4pePNJVdNJT/mBJrskjOo/y
BMt6ivP8sbRXlHSMG5X3l1Xb7Eqh/ZWY8IkH6AC8atOPgNk4HshIVbr8mIuGdAKupqiZj6CUn9lO
bjovfawG0nQtU56XcfTFNa/MOMAcpfKEb7L39kI3n27MSOcpTR6RmW9AEEzy9Ln3ymOIBwj38Gvo
Z29p119LWbPc7MxNVGgI5yVPSrs+oINQI2tutUMWNKzVvW4BHEqIq46BAJDiorLZxpsT4h2CC6ZM
LIaXjVbHPqnWuSMGnMapOa3ryLOy27yc3eeJ5IF/VRvOwD9wOgSUyXfXvVMZ/95Bf11nccP/5zvo
soQ/v3Yff7fI4gN/uoWyhCdxRNhocebwr343IbNPt3ABQk2zJVruT4ss7wvka1q1XccVYqke++Mi
6n2B5gIvFy2Dyu0lUv7/s8jyWLDRuwr3kZW/9eOa+pMtp+3Hvi7caWTuv2kiuZ14Wvz0S/kbDYnv
9GdVxGExiPnox4UXQA101T+rIvgIM7v3+v6aBy7i4ldDXAf0NABaDJFFaNzc/vevZ/3FVuD/x1dc
vqOffiYLZlaCUtYDQ+8NdglRF6ymVlkkbCPV3o6N8k9D51TQSgidtu7OTTH21qEOHUK1HTpsVLov
2gqso2vTKwPxUG7MVhHl9ONLR+Ft9i1ALY34PhjZZ6CNZ9pbbpRpSc4AYsVp1CyhZMydsMbo7kTF
I5WcRJTQuOAa82TnOJ69i1jU7cNJl+uEgOnKa1gOsKKnBcBK2En7HNnJnU/GjC47BaGNAbMO+Sul
0KtC4sj12G3kBGzGHW9DQDEo0/ZBKfNmIHVq+QBaBK2qGaQ5RfC7t43HBtcpHM+XYbZvtBcfBkgb
W7Nr90mHWbeCY5Y4ehW7atyxUGxh80xn6rrhjnUiIFXiTG15rzBwHty6gghS1jzWYqO75RnPP+gL
TqTrPJKXHXdxGq9nh5JzhNIhsMI3igMOMTuYauwuuyg66gxjRRDSLJNdTbP7ZOY8fGqunjRNLDyx
5J0ev+85nuPt6MizruSJZPhmyKrLLhy3hOGPk53cCPL9ZYjWq6fLcdKXvd+oTTcXAu7neNEO4qkG
CyQlRbdFOT86TLarsJiyq6Qvb8qsA4mCP2DOToIO+ZWuXPp+Opzdteah2A5cbCQQ5zb1HrGPUIMK
snJnFVV/7Puxw1JpYdNP6ukyn5SzaxEX8oKA0XgtY/+u7RsTgBmwojhudiZ9HmGe3PSlcT8OZJ5p
sFypxXWZBCuv6L57MdYJ001vLTpHgr5Aq9EmXUFwedPptusVkiLDgzvK/dgMO4HfoUMWLkyxUUrd
z6W8KUK4XaPGWtrl2XCnp/gOP92xIYjtV/4znX9r7TkN/SQGBcdJ81lCT8A+h18U9WIGVICYxppu
+BBjdFEii9TSBJ/rBbQ/0ZRm2wnL5nFlhtENLeBn6TAKOMVeC2ebe+W61+FF2yr0dfqY5m4p5rkC
DLWx6OjkoCC2G5HUSsic2eAC68D+KpsWXAQ39TqjPLh08umQjeCEmhzOMJEk1DDjlLXzA5TfGJ52
R45L3acDzveUGbYPMdL0vvUa9Olr6vkgzHI601PAS3SaTni/xwLPyeAffhwz/wqvEpfYf33oweJe
4+H5T+11+cjfn3rmFweDu4OzlF6KH8DPn556tkmzGRkf3KWux0f9Zj3zvnAsLWuHX+s2eVb8Zt9w
v3Cwg9z0Fp/YD5DK//DUsxY0+E9PJT4Ttla8b66L8krm969UsiA0lBv5Pi1CRCIxmlI01DB5o1iU
T0ljA6pY6ohaq8nWeUZUnSKpY+2Yn4MSPEaKYjxR9WLjmMyYEkV/iFS0XcCkCEU8J1TZ0xaNMpV6
6dsYNlRnL4VJTHtLVo8SJW+pUzKqKbiJ6+LRWeqW6tGeVg62BWpXHkkvghJIngiHPhRFUl57S5O0
0ua46uF7bAWL/FORx08hHGRitsGtnwFeIHD2QdV3v4ssY3wo6+DAVHKRVnraCe6MRqvvanMEpVTl
RzSzqwHiFH6IvcMFZT04IKW85h6sBUf9pM6tQ9dn1Nn7jEYOWCrtOxPozEM0GrbePAE5TULQGfW9
DKYdGAU6jSS48KZJjkPuvZgmcuaox6thqZjxZyoNdc1OX5OpUVAYdQb2JW8yIAfzXRiZ08ExTH41
fTJc5AlDfOFEV6CSToEPAIF+le3cGd/TNCfUV7M3jFSyH+cxWdehx156yJCMaJpa9bO963P/xo5K
ZGsEodxbFq6dfUeS9U613y1ffXp8up7uVD4V431stq9xX8p1G9LOLb0OMdC2VmzHTcKm1krlA9pE
Lmn1m9qDr4K7sEj72zCPD7VO9VbUZkUX2kIr4TW8x2/7IOflUjcEG6iJj3QPBKd6SIkyk1adkuTa
Z29I4jvb0fh0gfYJ5ZWnVo5Hfyx3Sgf9xnSSp0C2cl8yiazD5WoY5PVuTnDP1dMz2dedLIcXOU7U
PtnDHUBGHh7z+MFX1oRR8o/Bq83rUlHiXpvTTaqhaoDAPAe9EV4OdvNG/aW36hrTIvnJwBMbhbet
vT4Aele2MIDmnbMMSEQkUbsG4/+yd169jWNpGv4rjb1ngTlc7AKr7CBnl+26IWRbzZwzf/0+x6G7
qqyunW4ZWC0wmotplG2KPDzhC2+wjnMRPvUvkZT1ElVpOYBsAEzPnC3dcUstw3atRZn3q1pD2sHQ
upnmlg+OTpavD+i3RjlfAWkHFu+q7MjnGoMhtj0XJxN/vNXyTJlQqe+mWm5d24V5UivDNvaLaEYv
8ip2URg3x3Y+Ju2ZSi1PcajqRSbwj7Tyn8Mxd6BLW8+9hQQOmTUuIi1WIplSXdYkqCzEtRshxken
PidXLKfQfNBTjQAFAWxmhtvNBJUL/qJH5w6ew4Dsrvt7nLsXMR5ciGfUMnTfBpGwBp4ZrY+TQk3l
eRPG+QrwBjoqLTr+6XEXqtUscNWHEALOhCpTferrkrzWKPBsZdmNbjJZz1dxa4MMUGKfStq/T6cX
hKHORv6L0wmLd1pCzY6zib/77myiL0g7HjEKKA508v7MyLQvloKds4EvA2QIjR+9twaR2ZQxfpBN
wWB8Fb5+O5tgjFKqFN08ytjgmB3r72RkiiXa0d9TJeBwAFWENUlqY3IrHJDf5y+K2wArKc3soi9l
a5GKwqBOaRjAUrfyyRIAxgzUoeVOPuch5BM5Tqjmmli+YSRKiTJI3GrN+dtPKk0rrkN6KSujb6qz
LnLzZwwnEA0WJVM/tga2UQX0SU7EymmmSP1FVSb1eRGG+gNWDfVCcSGJTCEOYaCXuulZBFMeKiel
6z7Gl0EBy6V6frccbTO5pTpsPMQozF53qtGs68q3kLFIM2ojjRQtFGPIvmqNTDisVeo2M5r43pDj
dOUZ6ECkuVttWugrc1+2g7lVOt3SCqFugOvLL9GGx3uC3iJ5VD5rO0Vvz30p1dsnLCZ9/UShWD30
C1BTzRIMWCNtdc8J/TP8BRtMbt0qLc8tPwdT7Cm9f+2HDqlh11C2GWtttLozCuEU52VP5ySDjwcU
KsWLIO+AluBbFpyYUgqqCcz38IiDaJHAkHLAfLv9g9nF2maQLCMDqWimC883jeMBoanrusvGjWYY
FNJSPLpgKMKTCjxokG7eeo/MpGAqp+O4cSt/3GJ+eE8tepF6wbEkpK8SBSuPzqCZJOUdVUxbafC2
ABF14in1cBplPZoEtRNx8CcZaLug84JFldQauWGLKnceFXe6FXDWO8qtFoFCyyVQFr7ctRPDLmvY
sJV5bft5clRLtXOby4V5BhxdniUqteGJWhs0Hio52eIr5zxKVicda3FtUTBLzoG8S7OybiHpSwQW
8y4uinqGhSviG1JWHQ25m8LetVGokEfzmzcq1mx0KKj1bhSeWiGl+koqwgfFtbIptgZAoaIxexib
Xjph8iImYMHnIZV27/Ht6W5TUfFtsp7UGD+6C1/UihH/t+JZSvutAg2E0WML5aaeV71RzcjBEWv1
UsOEq6JuHRMaQawdW32nXRLuIbghZ6ayzUV9vRAJiZNXeIx0tvHvvfi1PCZKOb/Yi+sNFhsxBIUd
uzF/+cduLH8hSRB+Zioi2Oy+3+3GQleRBEG3De0FqfHHbowdj2xZhgoTBQo9RTL2yPdMgfoYjH9B
ZwNmaanm36qPvZLwf9iNAZKj+0iqooj6ncytf78bgy3TorKPs/MGmdJxjZqqEZ4puozoVF0n0JiD
okXWNTbODOARjVAzZj+cl2pyg30PWDIlOS3U8oH6wHFcpVcBqvi1RI9bC1FPNIx13meIBFvdEmoq
PopVdMoCvRvDdIu0DgY0rVrBlDezS+yuF0pCfckHc9EAMqRbQXoc1+Ga/W7Sk1nNSq1NlUcVlCcd
bi+G4dvayhGCTGVwDES1Rp4UAvQ4kVvHpIyUa7BJATSyY5htfmRBMV0WFuplWKjqN5pbEw67tAia
meOwy56WYVA9hHT1Zk2LZeaibdqQJmsTnlgwv8Np7BhVx9ZN1dp5kbCJUqsd58aLtE0qVG4soXeD
HeNjA+Vn0sXpnSU0cWqOEPtFJQe5nNyF5GN1KOiEQktH+EQHQl1HrRCPRlp3XozIlPtI8GRue6si
ySNRtK+R6GmtZJq23RHB5qxFwqfvjHMHJtvERtynjNWroQo2AFxO0PiRJlndrKnRcyYgDGT7KASV
jnLVNtKRiXQQRaUzW+BstXKSSN2K1sNxh9QQcPpTz0nPEiSImgz3cSSJHBRW1NC8jUDa+EgWuYp3
bvrsSijaX8eIGllpMItzedkZ1VVZ2zNA2kcQd+4SgSlHFMmxq+NYqCShZKLOQ+f3VAH5goyShpxS
J2SVcuR4sgqH2OrCieoHxOZmFrawOXJMKXJVaDOc20CHSabOUqqrFfJNI+ZKLXJOepKe8T6nedgt
4Mefgfk5q5B/GjWDrl99HBrhkrrXN9UIFzZyUblWP3oZ+lHi9XuWc6OXNDQSZWkjNKUIrZ0G6alG
hahYhGelqV5iQzStR+nWQKoqRl5CNDhnUAOOKsSs7MCeOIhbkc1M2zS+sxC9ymT/Crj3ws2NU8ge
CzThzuQQsxlzUE47ZLOgJdYY4yiALJVTVByPqQxMSx9VJgS3OAFOOgS4soqEGrD4trTUq9bpr0qh
1eV6rXFJkWsZmB06Xq4O3UjF+S2Ww6MkipH7CtRMQ/uLOApJzuJcNg2UFZlSjVA0IJGiu9fls7xy
ngevP0MhgtBfO7UC77IvanPWI2SBdb0104riWx0OTD/NxG3HXSJnPCwkzf02lvG6Q0V5YSfNDWyq
uSZp1iTSa4R+shG4PTbWEy3Rranklz3ydlKKApCydnX9SselC6EvPK/DnjfOmXYR5tKy0pNZDrJn
lfsRrlsVzqVFr6zrsFmi3jA1aGrKHRLYzA7elqrS6Wqqi4Ia7jTVqxNVA+DrDxX1Sawj3ehUKyRQ
VrQz6XrnqtBGLZInerW8jFGiYIedRugODFZtXhqxfYQEoTaD3UGROnIj4deAIDg2yBkYt6nqY90U
BvlpEtATjmow+mp2X1s65Wk1oeGZjGeN0KKKgme49SEEBMwqcmgFfYAmbBq2V2aqfoW1coxN1sqW
mngBXxSAT9Ct2T6GSauzA8ApwC4pT5uZWrjNpAvyYhE2w2lGWWNiasF5FBW3rUkzFK7XjWcije4r
qPHA1W9BDtPUVaZUXIBnlyGy8kk6dQJBrzOk7hTFkPjEN8xo+u9c7CUXM9Cr+evz/2brb5LNx7Nf
/NUfZ79gcqmqoVOL4+j/QaBHw9YAwJeoziELKPhf75mY/IVYgfOYM5lj3tCAVr6f/Q78LwvoLZka
rgM6+dvfqBIaikDs/nD207ZDJY7voklGqeynTAwRZLTxuY3z1vGjahZq2q1nyEilpdJxE3u0TvRx
akgtZea2Oeq7QaE2CKNBaZ3j2ojMaa5pysILhxtbyoplEyLDmSoBuEwzmYdN/uSpvaKQgVA2X5pm
1kgzTWq+VmzWVwOieUuzNF1KB4N5FPbWzCxUlDCttlwb4uQ3gBQtekt5rBHEkdH+XGEMgO5eqFCn
EsIxQd9cDUp/aSF1dVlAX516UWfPyLgQXSZfm8SOKAA2Tj4ZnNyZJNyV3UeL0GuklRJa7jwUQih2
EzwrCO6hoibEaWsWK4ZxABa9fES0VcPeKHJT5dxV8Tjom5R/8510ZSE+N8n5+lHIcJRAZPkWpDlG
IdJBibWYOeh2oAF6HqLj0aPnUZds53Wqbmp64iemEP3I6taYtG54lWEISxB00koycCQT+eogwelv
FMsb2OncbgqEhV6kRQCV5mN17aA5kpNKHhnFeFF20TDT0CXRCuspQ6ekEIIlJcol8PwujNq98Vqa
/x06ay0aJyVaJzKaJ0Qz1PSEDApyNtYyj7P7sIuPUf576IVkyoB2Si9EVJoaAwJUVYzU2eZCZkXR
sQAIhfQKcVEGUocQSxPaLEGA/mEk9FpUhFtsBFwioeTSCU0XxAb6uSR0XhKh+DJW1Z3ZVg8cu9MM
AeN55AXAhrwAYCeCMZlQjkmEhkxvm96sQlYGP2p4amqrTYMWPnM6Yn1g0kLDk7q5yCtEhmWrC+fl
2DzpeX3f+tEzcsn6wtWU55y8jDKuL+QhVYJCmw4l0dvC7EF3jkWFkg/TddlgzQw5Tk8QZVNgauS6
diQ1jrP07CScanbGQsjs3wfU1fSoetRE18YBjzVXwgrAlokYVJqb3O2QTFn7+TRPo3iBTCxYE5c+
GOicaRGwRgBBxliX++PMBc5MmKtNuqFdei3kKt/uz7XWXalGeuH36bkZ2UeSFCwa9QjhO7dbO1yz
0utr3DRqirbWRZSYdxZw2SgFLdxp4TBzw55gWJnKYHKqtL63Yp8+GsjVSRbm6DhbTjnNHHrHdUhJ
NsrX8AiWQEpvK685igrvtE4QfVZUjIphgalxu0KDGpJ35zDb+/48iVWiFjl+8KvgzDApPYAAso7C
wjpVHWCfNabqEhBBuxpU4EoRypfA0SC3KzbqzUpw1ITBqdoEp0qSP8QKuEmb431iKu4t0mV3TVmd
q0mESWeUObM+VExMLlF3LtOaFN8DASY19RJQHTg0c+ynaPledaZ7hyJmiqwRUn9jgEZNzd95SYyf
aB3P8jA6csdyW6SaPldH5MUKR13JVEeJHMxo4jCs07b271RXu6w7xGG0oBnIuit9FrWluYoK+Xdw
7yd6EJwGvk8/Nab8HKf4tyTBw2hqN67Ley/dDMnBOpboTitXhu1QBQDJ6GnppSpBX1RG+3fTaZaE
lMOkSG0X3XCkMPxm6abqTetXmEcijGrRsQ5wTJi4VnIZ41rfW4F07HfxbWDU6Uyu+2NzsOet8J+o
e9WYYmYcg+Lsonms97geyf4aNh0lbFwtZ1IZ/+6N7k2RewQtiiCiB3Avez98LnNKXRlFNtnuxhkU
EHWaUidEpEgaV7WdL6yOivNYjJcDUMa51IJMjhzvuqdb2qhQCt38xHGSdqHn5TFoDwRnFR9sX5Eg
e9SZzTQ2aR7Tlb5HMG1Re/KmqPpg2as+CQEgCbNJblWjPR0tWsBUkuZ6qy9KiIkIrp4EebkK0Tte
YdRN0xNTswmuA8vBUp5GJV8bHns2HlfYKCIsrZTbOgzWdV9sxt6bY/tGT3loprqmPGRwQmFdgvMm
XqVQvrJqhJo8tN9aJgEkQ3ZujKGC2J4ZURrDEbRugCisR93YRjUbZaCZGQLSgohJgbKGLkV8WU7A
Mp2XzugtVb37GjNvQWySxVpd6U9bVZqw0C7pF7fQf8D2y4D8OTvLeRb4uNP5MABggZvntmAFUGRT
l2VVYnGnXBtocU3xn7lVrPoBBSJaFewLk6pmakCbUNhBlAWOcI+aa/fLEstJ7u+xDCEDp3b2jDcf
+jMhJXvk30iaotDAg6i44MyDEsvPutw/qQUJom7pdQlahJM0z64gSshW8ayhFhyGTjV1BZmiRvFA
EfQKXRAtHEG58HrSVVfQMFhlxdS1jTMfQieJAmQNibZjBntjMAofR5dHvBhIh+F3DILoEUjhN1wT
noTfkAYle+m60BLDgXfgtteKkSsAJgvreJSso7z2OYpTgLMxoREuSOMAvlKpzlH0nXlDAnQ8ysgr
6ftZ9PcrCXigFiRT4PO/21JKM1F3Hjoh6ysVkE9oBSGrAckv96R7GTbdJejANbt55bhrvfWXfkC4
PIU/YB/Bs3MKUNNx5puTMpDBDOMmSsIPuaLwT/8dR7/G0YSVv4ijm3hTbnfE0fzVexyNmgv0PJaB
hmLCa0T83m1/MeXUkFAwcPCTv+9oaOYXcPeC0wRiiiBWpbL1HkcbX8CFEQERlbPyTVw+/0YcrdpC
yPL7OJovpmOCy4Dom0B6ohnzfQ2NiolcpEmGLWecsRlBZqU4ixlfRC0ZG+DZUMbQWN1gOmTuOijt
bmYoHfpvaXuRVNmRRbseqgBsOuEEVknBid8A9LZge2ZApWQ5em7hIqDN2oJelgB8uJ26RqcOcLxs
etOkEn1++Y698Zta6fdOgSCi7TvEPUKP1pHGRaxLEsR7HwlCdGEQdyO6ycOvhp1+y4fstvVh8GR1
hTOWaX4tkTlKAQrUjnSHZ9aJD28RYMy6jfzTOgu+VRmOo4FjXZSagQuGZ88THowGMsIlEEKPGyV7
SAZ5mMMqpZ+Oa9e0iDtYpN3toOblHOWqha6DnlFDnAhw+43RVLSfCx8tX4y3Tqs6vulgUk1tz5gb
kX2VBc5zUTkXoLeQlixgusheWM/djrZG3t7LUfrk1tmDW6jnVZY+0R0DMxOV3rxJO3ZrK0HixVkJ
bVE99L7FKjztPLbzWYclCttg9tQpzhq1rXqWDECjcmoJs0FPCHkLtkaKe6f4Px8XunsKBWE2ciIB
We8Wctkde46zEvTtYWzRYAy3VlLeaCgeoBd1n3gjAsGi98JLcmSE/rrOopYgwwlS+8K8JPhd+07/
OyWlbEaZcpnJrjxtyhARVFm90z3jSq8HxGWC6Eb31N8b1WyPhkD8uQFdRNeae0zJV1XmU980TIpd
kNFJlEKSrfgBqF4EJa6hlWzICKla8bRQavwGdAnrrWghWzkUcVteFrWP7VkEOb3JeWtJrXZT1TDh
2hFBFWgEmEEFWK4CwQ5I/xj2G3VcaicToxuvrNhYdimFNhDTiLq6gk9FFkRwQkNnrMIZJyIRCL2V
qT0yiYeKd5iouTfvyvEaYQ2+NbUBdrcLV26uR1s7DroI1oBKVlUVrjfzYvANyBI81Vl/b8ObnFhm
/igrGTKImTstu76HaRaA2SvBkEj+Ssa+ZCZZYMFkOVuag7xUZGTNEOdwVhRih4nW2tskLE4hSLWT
vArzOYy5I9MbBnx6gK+AXca8BMM4Fc9PZmNC7aV+rEgkMclSTFzM8vECgqN6oqcRYRnsYu8oVh1f
m0VRd6faUdnOS6nyg68Mg1tjcm8BeTMDQ1uYbiKnNxY0mmym1/kIjruMK38K/cS64JAMzIuhgJ+t
Fb33EDT5vIqZQhOh/nOWVxU8POIpu+snMnUk3yIK8wtZSFUY/SXaIYjgFoE2761WQ8sU9dEZyVNV
HDWWjPBEEUCqnoIXivGnGzQI8fFllpl9gcSTpt5HHcnPOk7zhn0m9sGwmNaT7DW4FmH9VyJSC4zD
EQYbulHgX6Fa3o1cW3H1oLqtBxBcGymawvcx3W+REfj6WlbLRCIP75v832Wn17aTQb/8V8cliP4k
3XVg8nd/HJjOF8WB+oYmoYJZtEBevx+YqvzFpKZkWvSdfjow7S+In2lQmhAw5VcEcfj9wERhkX/g
0ASS/QIG+DsHpvkTPA2kG40mAGq0GcAUaC/wue8PTKU1mBbAzM5Hwz/WKBHpLdK7PWtpTMNs0RrQ
IxGJXuPqDL1M01dyoyyDvD73aV6kcThDVP0yRSml0ZTjrso3UaM/uFWMeli97keFBoa+Gn2MCSMp
G6Y+vtTgki9bwsy5mSTY+5nmVEe9eOLGzMyRdXCSDLE6iSMOCTup07tM80+aJrNPUy25sH0OCoJe
eTJa0hR/z0dTMhaaq5CdZ+d5SXE4d8L7TmlxCkoJ5qHksZUAuI3wMThvzOzZzDLoXZQf0PC34EK2
kXJkDPZpXVtHmpvcwHncDvq4rnTnMXarG2oBGagwb5mZzYlpsE9krXluZNZxXKN04/jGrQbFf8zq
b51vLqqWjbRUJJRjHftCd0rq4BhadNFZ2IULuiguWCTAZKjIAckppTsnKSk/jflMNsJTv0Qje8wH
ZG0izn7MH2HBjHCbTSdZSKHzrecMRd/yVG/s7CwvLuVMWySQn8jCzi3DWTRaTykOJesQ9LZWKhtN
8eGISPet7t6RSi7MBtKp03bGir3nMRia25y23CwZkZtR+vBsaBm6Imou5d6FLRiZyddCPwKOZtcQ
vz3aiYXVnnky/iIddbPEMLvp0LTXPuqx/HewgJEWz+oi/dpwGy72R9MogDqld9nSCGTGxlYo5Q8n
Rct7CEPMyULZjmfZYMsTfBCuAjs76Tr3WS84FQPTvNEz80qidDtFBPfUwQMNkraFxk1OgYWs/ErC
PtIIax3EPIzIvghvbDd9suVglrrJJcjJ5zAtv3oOERgcfeh6PNQqd5UOeX9OSVJyb0qmvdB0AdOz
3CmxYwQkuAFGIAw/oqWst6tIRec2bfqBEkGzpZ+az3QTXwIO7/sMyWxHyeNT32C0ixiaJqUMQMY9
Hl5aBSxToqs0GXuISyb+r2tAjbfFGMHvbOBByhCTskBSUOnFHitpqJrGJboeQLapyUQLJF3uA9M6
hep/hTFqMLUCJ5lKyjgukxTeZYpA+MIZYCIBJvyWp8W13fLijc7DDnbEOd7FnkxSZlprYD5iXzWd
u+o0KrKK6x5ZRHwTg0k/ATG76EdbcHTJRVUvqiZ5RxQWFrh8SOOw8bQR8WbyOpi0/HUtlcd1K83k
iEL0QFNTER0fkoNlMKrJfIiu6A7jgQfB2hs3UjRs6ta88fr2JoqVWdPbF5EKvaHz6Bii9o4bTCB9
BXQCwRCNGmEb5Q+teYw2HpGgiJcaA18NwDEb3utwrFcGWmK5PomQPZipkr5V+2ody9K6l+t0jhVI
OpeHcUMXbDXktTGlFj7wugKK0J2F3GsJNVItuuvE6jJ8KWplifE4UaEG+bVrcRvsGmYg//67GhMq
DUbs0lgTdepYuoIrv60SpoRuJgEYP+s2L4uzKobGgab/Ns/lc0vqFlUIg1VSY31OAKwuTIXKpzyW
p66C8Fmq87YZ8RPU7SGpp8ympk4f9CQmZZfYg73AdqZtC40uHryVq5v9KlOGTWHC53DYGmE9Lgqk
lmhC6eux9s8rYTkGAcgG+6ldd2HSAbvNLopKXoalfpOP7JWZcq14BZXAETCwnFkbD7/f3PRp2+vB
rAtkbHbl5lYyR2WKXKtQokcBoDSY1FHlPrTm+FDWsLsr3Vt5sbQCu9oI4x2E/OvmOreVBC1q3q8m
oQ6nlXjbglQUIuePAGvYKjBv8Z1zNrqlV/jJRNWrG0QWv0ZqfVcWWLXEUXOnO6NMxbNT4GWr/gnR
azsLbN+YIuUr2DWAizCcOSqr8Do1teWY0wV2I+Whi3p54sThwsATELHJSGBrTQI79WtrXnbV8eje
d2g0+NolXP8JmLivkBlvA0TTTCWtl2aa4VOIJkUeK9VKDs2twkY/V3rnAvowSxtRjJWEtDyR7xhA
RKBMHuj4vzvdaZXHtIbVldXHbL+4A4+Dcg0q6MTPKKdAMLizapjoclEfF/WZwArUBrQZz0KQC37J
LM6cYKliTzg1yuBOGcZlHJfhKYR+iktSuXYGS1ogVRUttLoPJyPCFbA0YDsbbjLvcu8YAVacy/C+
A56bedDch0bDDLjPtjbmsesurYH3QU4xrLswS7pliawPXZZiHM4UOOBTv+I9WzBkVp5dE1S6Agde
Hbv16JwrwM3P5ZEqpAs24qgFCBBTBLM3jT7QHOl7lf0YP08OjxCwmrdIDGUNguWI3ejYJOGObB0N
C9yRKX/qOAZaOTtEWyDzUEkryI5nul55q9SXt9ogb93Be+TIQULM77E7hKJso0CEV7WGOgBoQyWb
RX2McmiECILnL8nkVLxzqRMjo3qPqlG7HJQ6nHfUvAoYVXCJceFrJUJuy8TqF4jEYy0fK7p7FbnW
SpI6FbYHyXXeu9OgSZRpFMu3DD+nuBJv8z48blXPWuRARcrKXIZ2BeYX4NiCdJ9UqpTzWRCj+KUU
3X1a41zYx9cGOlNmbNwmTkEmEcLRH6OjTjcXZRBfgJZJUCroF0qd30DmemJzvaidLp3GPlMgMIsr
APYLNjiU0HWwmI5SnaU+3XNrVFapWauUFJNzSpoDTTEfAyAnGuZlXzMfwOOgbj3iNmBW86RH/DQ3
9WoSZOpmrNCAiDsAj9BOJ8jhnhHk3pdlftpbsQWrWZorAQKrnf3A0YJ8gHpVFu0JK3cFAkqGPOCL
nhecrADcgcJRGymngVufuHF2R7XwvnPRAkQj765S+3VG9oNRGAjIUAIG4RjeV8oRWA1L8dEYHJd6
uYb+v8g7lYZNYF/6Bmq0pmTeNnm7HnuME9LgMdYNpMhQwai04bTt7WY1lAMtp95cJ4qNd2jCRij5
S9kIIBEZ+irK1NNOHk+aUtPgZoFGMGF9hV2SXGgukipoKUjIlpXqDM+GkYSWbLLTVURTknSY5pWl
z+2xXFU0wmalHD5aHTGM3TcXVl5pS6fE+8Rzquo0KWDfFVp3EkMHYlNyl1GM1qLzAmNSXyBNwBmA
N5m1dAxqNlmafnbkvICg4hdA1PgCjvr/Ur18ozTNNvVmniJEMFw223K42lak0NV7WU/89CJDvuMm
+2e/9OsL/bZ9+eabId/+539snmGszIKqLoOnWlQxX3529Pyf//Ga4Knod/2Q4L3c2Mtd//I68Yan
a575BuCBKtA/XVG5oviQ3+GR4b39WFKQhgJjrUMDeq29fjdGfzUKv37A1+H89e/89c1/PwYGhdp/
8Pw84J+PD48KTAUodfT+xQeExA+PT1GY5FdF5kqBfMfn+7n8q6nw6wfcbxA+zAR4YP9kJLjOD0MB
aJPatolqufgA8fhhKMRMYKZgj3CQY0Al4GeUzT9ZDdAZcL8zxIjyodD/wxgwHSw+kI5B2bDy/o9X
w4eJwCAwg/feEgQqWMYF46enp+BDrUd1NOSk3xbLYY7B6wx9VVb8Y5H+rW0R/zIFUgnic7snAsra
BhsHkgSv4314E0HgwPacCAyCiTw4E+HldX88G+Qv/BCSjyjD8TnUodA+Y3PU8d5AfYIzR3x2bY4q
uHeHBuBhbgzqz8Xgv707ovmoOy+tSQq34kP08cPuyP4AI4slo7x+1+EtCjGF91wUtqiHq1SwaQeL
jzhEfwiYqIrboCphpB3oTJCpxu89CDLdaZh/aIOLz8/nJLEC1BIbDSJ+cphnxGdsj6p4z0QLfzET
BBHSBir5RsU8vOWg7T8IOho7tqbYGiYT4vNz/gDggs6M7FiHGTnz6vbOodgXLYPDQRVLQnw+HA76
F1XWNSLnQw2d9f1PSPqEmqqyMb4lSh+2BAUhYUPRdXFsHOaWwHvbe19Euck01LcUSmRlPx8O7JjQ
44RYFZ9DDRaU1xvbJ4JWIRiotgEo6uVJP24MBtElhF4ETg56KASNcc9ZAXyMNjmP+rY0fp4VIqvE
IwcZmNeT+fAOCvkz9gdhrqagwfTzmiBWAJNnacah7o7K3oUFhA9ACLL5fXx6DlATvU0SqdfD40A3
xw8Upr+fPshfWOt4C7yfED8vA1Fg0nSFrBqvKD6Hujm+hXN7bI4iYtAEnOa91rZjKNBbQgtQGEkc
5GGp7F9jQahKRk5Rtt5qLD8PgiJSLUxQIZUd6CB8UAD724sCaDE0PBC/AgwlPh/CJpIIaHXw9A41
bHqrgO2xHDRiRzEHcJN4Wfhi5f8YNmkE0KiAayK0PszlsH9hwfiiQcSk4vgaD30YBKIEkXQTZR/s
IOyfTppfeDy6DPpbne3DnkA/hp+RZRzqILy9nf2Wg4roM4zZt8LCzzk1xWdoITqFtkPdE94C2f0G
gZQZCUO6DS+fD3U29Qu8C8UE73Cge4L+GfnkmzbLW7Hxw0wgy1KAsFKcPtBB0F7fzj4zAYXnFxsh
uOWvn59PB9yLVJlw6q3Of3jpE8rTe+aQJBA6XUnh8fr6+TATKDvzY6ECdKAz4a0evs9MAKxABclG
sOB1ED7ECQRLukM36mBr70I+dc9qwsuSBwktWGg/REmUWjGes6nFvh2eBzoRhAzFnmOgweKTsad7
C5U+xkoWwRQ67UgMHuggvMUv+6wG/Qu5tKrZ77HSh/nAcoGGoVucouJzsPn0/vOB181zEiq8HRE/
DwURE1mkQsh0qBU2oea256KA2mphjmDIb9XnD4OAiQKdGmz7+MlhZlGvN7bPoiCfFn6FKsPwPul/
2CTpUVNUIV56G/DDCxbUvauNmoUaoM4QwNfaOQikko6JXhBWFu8R1UHOh7d+2T7zgZ1BRlgdjMrr
k35YFARWWKaxR76CXA51k/zA5fv7pSZBfRcsOUAcO2cFSwOwj6LANjnQ/UHdv8AgQkjB1n/PJYiW
f9gfWBo4NaIq/NbyOMD9Yf8Q0vyCjKiIov8qraRXS1YJrfJQWzLG3jGDaMlQa+K8fKu8/jwTaEcI
3DNedoe6J4gMYM+YARVv0Y5G3nv39khOgaQsxeeDjR7V/QMn+wvrXQzD28b4Ibem3ibUPZBnPOjj
Uts/ciAwQFoYAMNbq/rDokDBnXFC8P1QA2lt/8aU/cVALpEg8S06+jAIAggp/ke5XnwOdX/Q958P
uiitiZThr6ELeEfStQXm9vI50MhBONnvuVUKXx3KTyQXf+wCP0QO5Ji6rMp0+Q+1IK0xkfccBGJI
TkxdZVa8fHZslbi9EWI6r/nXoS4N4Vex51AYEKMwhWY7fB0KHvXH+UBFlvoUFIFDrUHpey8Kgiio
MBQdtb9CQ6vkFCBEGakD3Rk+aPP/k8QK3QnwS+ZftaqIH9DnBS39OusOL6d4g17tk2jTudXQewGo
sHs5iMTKEUW4t0z2AAdh/+wSoC98GE3+K1z8yyAQSJpvqMIDHIT9s0ub7BJMD7nTzzsisCeEFRUA
bwe6GRh7N+pesCwKWE8qCC+fD31r4feHqR+75r8+CP/CPPmDoDz1g/j5hZqMGu8uBvNf/cI7ZfXj
z78jHr+Qbn/4TUFVfv3yP6nL//Ujc/mFJ/ndT995ky/f9Pb3b4/48ct/+LL353r/x1WwLTflkz+8
/GB4u9GzTQK3+b9j/u958z1lWNCmRab7/m+7adZ/BAa/vjrio9v3C/3JyRYs1D8f9SOH+1+7eLJ5
zsr3C313cRbO3hef4FSx68aZqXtfe7qJNy2vpHq/1nf3znzf//pollUfXimxJnv3J1w8rUs8O7Oq
3vUVbGd7f8VsG/92lpU7x5+9Z+/rz+PfZlnJ5Hm/1nfjT/S/9/UXJQrfuy5OZLP3xZfxNk3fr/Pd
jX/Gcl01yWMWP9cfLy/Q3Xvf+lGSb8tgE79f6s+7F1SK/S+fDjsGXWBw9770ybbcMeaCwbn/pYPU
27ERKJ+xVk830Y49TODO9r7t001VbXeNyWcs0NOs+u2/U28bb3eNzGcs0fXmmQ34fRy+m4ifsUTX
mzLYNTSfsUTFtZGm2nHroiW692tdb9Pn7CnYtXsJCPMnXL982j6/X+jPcRdNzP0vnnHv79f57tqf
sUzX2c4x+YxVyqXrbbkddtz5Z6zUs02+a7Z8xjo927abj7GjgcPO+7PsETuelxu2gPcLffc6P2OJ
XsSbp+2O2FGUofaehxeoae0K7kTrYe+LXwWEjlXwvGNkBGZs7+tfb55KUoK03nGWirbBJ3xB+ttk
i270ri/4jKV6vRFfUKab8nnnRiYI3Z/yFLNg6+16iM9YteIhFqyAp6B62vUdn7F8xXccZ5ui2XVa
iTr4p4zSaRNUv50/BlW+6zk+YzGL51hv6u2u63/Geub69ea3yaZ83OyKGUQH6TNGiu+YYs6wY7MW
eimf9Q1lM75f7M89VXC09v8Cf7MzJxQV9P0vTg1j59B8ymL+tdH3L8Tm/qVCxXUWb3ZFD6IHtv/A
EJjsMsYTxIr9L/6/ue7uPTSizLLjHBZaC3vf/S89A/e98xtifNQP32/zz7UkUDf73/qvbFr2vvXm
l6L2+17+K0/f7Fqrxmes1Ycs3rHPC8n7vQf9oXncsfmKcvf/culdZdk/dO8+FmvfhQ13/dmPtWjx
G0/xdlP+1/8AAAD//w==</cx:binary>
              </cx:geoCache>
            </cx:geography>
          </cx:layoutPr>
        </cx:series>
      </cx:plotAreaRegion>
    </cx:plotArea>
  </cx:chart>
  <cx:spPr>
    <a:solidFill>
      <a:schemeClr val="bg1">
        <a:lumMod val="85000"/>
      </a:schemeClr>
    </a:solidFill>
    <a:ln>
      <a:solidFill>
        <a:schemeClr val="bg1">
          <a:lumMod val="95000"/>
        </a:schemeClr>
      </a:solidFill>
    </a:ln>
  </cx:spPr>
</cx: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chart" Target="../charts/chart4.xml"/><Relationship Id="rId2" Type="http://schemas.openxmlformats.org/officeDocument/2006/relationships/image" Target="../media/image1.emf"/><Relationship Id="rId1" Type="http://schemas.openxmlformats.org/officeDocument/2006/relationships/chart" Target="../charts/chart1.xml"/><Relationship Id="rId6" Type="http://schemas.microsoft.com/office/2014/relationships/chartEx" Target="../charts/chartEx2.xml"/><Relationship Id="rId5" Type="http://schemas.microsoft.com/office/2014/relationships/chartEx" Target="../charts/chartEx1.xml"/><Relationship Id="rId4" Type="http://schemas.openxmlformats.org/officeDocument/2006/relationships/chart" Target="../charts/chart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23</xdr:col>
      <xdr:colOff>434340</xdr:colOff>
      <xdr:row>30</xdr:row>
      <xdr:rowOff>160020</xdr:rowOff>
    </xdr:to>
    <xdr:sp macro="" textlink="">
      <xdr:nvSpPr>
        <xdr:cNvPr id="3" name="Rectangle 2">
          <a:extLst>
            <a:ext uri="{FF2B5EF4-FFF2-40B4-BE49-F238E27FC236}">
              <a16:creationId xmlns:a16="http://schemas.microsoft.com/office/drawing/2014/main" id="{497C4DD3-3B2E-4649-81AF-BA6389F6A0CC}"/>
            </a:ext>
          </a:extLst>
        </xdr:cNvPr>
        <xdr:cNvSpPr/>
      </xdr:nvSpPr>
      <xdr:spPr>
        <a:xfrm>
          <a:off x="1851660" y="0"/>
          <a:ext cx="12626340" cy="576072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15240</xdr:colOff>
      <xdr:row>0</xdr:row>
      <xdr:rowOff>7620</xdr:rowOff>
    </xdr:from>
    <xdr:to>
      <xdr:col>2</xdr:col>
      <xdr:colOff>365760</xdr:colOff>
      <xdr:row>30</xdr:row>
      <xdr:rowOff>167640</xdr:rowOff>
    </xdr:to>
    <xdr:sp macro="" textlink="">
      <xdr:nvSpPr>
        <xdr:cNvPr id="2" name="Rectangle 1">
          <a:extLst>
            <a:ext uri="{FF2B5EF4-FFF2-40B4-BE49-F238E27FC236}">
              <a16:creationId xmlns:a16="http://schemas.microsoft.com/office/drawing/2014/main" id="{5AC166FE-7A00-B70C-25D3-791B12022111}"/>
            </a:ext>
          </a:extLst>
        </xdr:cNvPr>
        <xdr:cNvSpPr/>
      </xdr:nvSpPr>
      <xdr:spPr>
        <a:xfrm>
          <a:off x="15240" y="7620"/>
          <a:ext cx="1828800" cy="5646420"/>
        </a:xfrm>
        <a:prstGeom prst="rect">
          <a:avLst/>
        </a:prstGeom>
        <a:solidFill>
          <a:schemeClr val="accent3"/>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152400</xdr:colOff>
      <xdr:row>1</xdr:row>
      <xdr:rowOff>182033</xdr:rowOff>
    </xdr:from>
    <xdr:to>
      <xdr:col>1</xdr:col>
      <xdr:colOff>1089660</xdr:colOff>
      <xdr:row>4</xdr:row>
      <xdr:rowOff>113453</xdr:rowOff>
    </xdr:to>
    <xdr:sp macro="" textlink="Pivots!G4">
      <xdr:nvSpPr>
        <xdr:cNvPr id="4" name="TextBox 3">
          <a:extLst>
            <a:ext uri="{FF2B5EF4-FFF2-40B4-BE49-F238E27FC236}">
              <a16:creationId xmlns:a16="http://schemas.microsoft.com/office/drawing/2014/main" id="{9AA3C3A5-8856-81D6-4B89-F396725C6C60}"/>
            </a:ext>
          </a:extLst>
        </xdr:cNvPr>
        <xdr:cNvSpPr txBox="1"/>
      </xdr:nvSpPr>
      <xdr:spPr>
        <a:xfrm>
          <a:off x="152400" y="479213"/>
          <a:ext cx="131064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7E50BB0-A96E-499E-B8A5-E84189E875E6}" type="TxLink">
            <a:rPr lang="en-US" sz="1800" b="1" i="0" u="none" strike="noStrike">
              <a:gradFill>
                <a:gsLst>
                  <a:gs pos="0">
                    <a:schemeClr val="bg1"/>
                  </a:gs>
                  <a:gs pos="62000">
                    <a:schemeClr val="bg1">
                      <a:lumMod val="85000"/>
                    </a:schemeClr>
                  </a:gs>
                </a:gsLst>
                <a:lin ang="5400000" scaled="1"/>
              </a:gradFill>
              <a:latin typeface="Aptos Narrow"/>
            </a:rPr>
            <a:pPr/>
            <a:t>2,400</a:t>
          </a:fld>
          <a:endParaRPr lang="en-US" sz="1800" b="1">
            <a:gradFill>
              <a:gsLst>
                <a:gs pos="0">
                  <a:schemeClr val="bg1"/>
                </a:gs>
                <a:gs pos="62000">
                  <a:schemeClr val="bg1">
                    <a:lumMod val="85000"/>
                  </a:schemeClr>
                </a:gs>
              </a:gsLst>
              <a:lin ang="5400000" scaled="1"/>
            </a:gradFill>
          </a:endParaRPr>
        </a:p>
      </xdr:txBody>
    </xdr:sp>
    <xdr:clientData/>
  </xdr:twoCellAnchor>
  <xdr:twoCellAnchor>
    <xdr:from>
      <xdr:col>0</xdr:col>
      <xdr:colOff>152400</xdr:colOff>
      <xdr:row>5</xdr:row>
      <xdr:rowOff>5079</xdr:rowOff>
    </xdr:from>
    <xdr:to>
      <xdr:col>1</xdr:col>
      <xdr:colOff>1089660</xdr:colOff>
      <xdr:row>7</xdr:row>
      <xdr:rowOff>119379</xdr:rowOff>
    </xdr:to>
    <xdr:sp macro="" textlink="Pivots!H4">
      <xdr:nvSpPr>
        <xdr:cNvPr id="5" name="TextBox 4">
          <a:extLst>
            <a:ext uri="{FF2B5EF4-FFF2-40B4-BE49-F238E27FC236}">
              <a16:creationId xmlns:a16="http://schemas.microsoft.com/office/drawing/2014/main" id="{2FB83A8A-A33B-4380-8E62-9403C8F3701C}"/>
            </a:ext>
          </a:extLst>
        </xdr:cNvPr>
        <xdr:cNvSpPr txBox="1"/>
      </xdr:nvSpPr>
      <xdr:spPr>
        <a:xfrm>
          <a:off x="152400" y="1033779"/>
          <a:ext cx="131064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F24A919-6682-4A48-9E62-06CD0171B5CD}" type="TxLink">
            <a:rPr lang="en-US" sz="1800" b="1" i="0" u="none" strike="noStrike">
              <a:gradFill>
                <a:gsLst>
                  <a:gs pos="0">
                    <a:schemeClr val="bg1"/>
                  </a:gs>
                  <a:gs pos="62000">
                    <a:schemeClr val="bg1">
                      <a:lumMod val="85000"/>
                    </a:schemeClr>
                  </a:gs>
                </a:gsLst>
                <a:lin ang="5400000" scaled="1"/>
              </a:gradFill>
              <a:latin typeface="Aptos Narrow"/>
              <a:ea typeface="+mn-ea"/>
              <a:cs typeface="+mn-cs"/>
            </a:rPr>
            <a:pPr marL="0" indent="0"/>
            <a:t>11,997</a:t>
          </a:fld>
          <a:endParaRPr lang="en-US" sz="1800" b="1" i="0" u="none" strike="noStrike">
            <a:gradFill>
              <a:gsLst>
                <a:gs pos="0">
                  <a:schemeClr val="bg1"/>
                </a:gs>
                <a:gs pos="62000">
                  <a:schemeClr val="bg1">
                    <a:lumMod val="85000"/>
                  </a:schemeClr>
                </a:gs>
              </a:gsLst>
              <a:lin ang="5400000" scaled="1"/>
            </a:gradFill>
            <a:latin typeface="Aptos Narrow"/>
            <a:ea typeface="+mn-ea"/>
            <a:cs typeface="+mn-cs"/>
          </a:endParaRPr>
        </a:p>
      </xdr:txBody>
    </xdr:sp>
    <xdr:clientData/>
  </xdr:twoCellAnchor>
  <xdr:twoCellAnchor>
    <xdr:from>
      <xdr:col>0</xdr:col>
      <xdr:colOff>152400</xdr:colOff>
      <xdr:row>8</xdr:row>
      <xdr:rowOff>11005</xdr:rowOff>
    </xdr:from>
    <xdr:to>
      <xdr:col>1</xdr:col>
      <xdr:colOff>1089660</xdr:colOff>
      <xdr:row>10</xdr:row>
      <xdr:rowOff>125305</xdr:rowOff>
    </xdr:to>
    <xdr:sp macro="" textlink="Pivots!I4">
      <xdr:nvSpPr>
        <xdr:cNvPr id="6" name="TextBox 5">
          <a:extLst>
            <a:ext uri="{FF2B5EF4-FFF2-40B4-BE49-F238E27FC236}">
              <a16:creationId xmlns:a16="http://schemas.microsoft.com/office/drawing/2014/main" id="{E3A4DE7F-B726-4CFF-80D4-77F815D76195}"/>
            </a:ext>
          </a:extLst>
        </xdr:cNvPr>
        <xdr:cNvSpPr txBox="1"/>
      </xdr:nvSpPr>
      <xdr:spPr>
        <a:xfrm>
          <a:off x="152400" y="1588345"/>
          <a:ext cx="131064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B6AFB0D-8D9F-43FD-B5F7-ECF8F62DE5D4}" type="TxLink">
            <a:rPr lang="en-US" sz="1800" b="1" i="0" u="none" strike="noStrike">
              <a:gradFill>
                <a:gsLst>
                  <a:gs pos="0">
                    <a:schemeClr val="bg1"/>
                  </a:gs>
                  <a:gs pos="62000">
                    <a:schemeClr val="bg1">
                      <a:lumMod val="85000"/>
                    </a:schemeClr>
                  </a:gs>
                </a:gsLst>
                <a:lin ang="5400000" scaled="1"/>
              </a:gradFill>
              <a:latin typeface="Aptos Narrow"/>
              <a:ea typeface="+mn-ea"/>
              <a:cs typeface="+mn-cs"/>
            </a:rPr>
            <a:pPr marL="0" indent="0"/>
            <a:t>$ 649.0k</a:t>
          </a:fld>
          <a:endParaRPr lang="en-US" sz="1800" b="1" i="0" u="none" strike="noStrike">
            <a:gradFill>
              <a:gsLst>
                <a:gs pos="0">
                  <a:schemeClr val="bg1"/>
                </a:gs>
                <a:gs pos="62000">
                  <a:schemeClr val="bg1">
                    <a:lumMod val="85000"/>
                  </a:schemeClr>
                </a:gs>
              </a:gsLst>
              <a:lin ang="5400000" scaled="1"/>
            </a:gradFill>
            <a:latin typeface="Aptos Narrow"/>
            <a:ea typeface="+mn-ea"/>
            <a:cs typeface="+mn-cs"/>
          </a:endParaRPr>
        </a:p>
      </xdr:txBody>
    </xdr:sp>
    <xdr:clientData/>
  </xdr:twoCellAnchor>
  <xdr:twoCellAnchor>
    <xdr:from>
      <xdr:col>0</xdr:col>
      <xdr:colOff>152400</xdr:colOff>
      <xdr:row>11</xdr:row>
      <xdr:rowOff>16931</xdr:rowOff>
    </xdr:from>
    <xdr:to>
      <xdr:col>1</xdr:col>
      <xdr:colOff>1089660</xdr:colOff>
      <xdr:row>13</xdr:row>
      <xdr:rowOff>131231</xdr:rowOff>
    </xdr:to>
    <xdr:sp macro="" textlink="Pivots!J4">
      <xdr:nvSpPr>
        <xdr:cNvPr id="7" name="TextBox 6">
          <a:extLst>
            <a:ext uri="{FF2B5EF4-FFF2-40B4-BE49-F238E27FC236}">
              <a16:creationId xmlns:a16="http://schemas.microsoft.com/office/drawing/2014/main" id="{5EA24F52-AD88-4012-B922-5DA822C72D49}"/>
            </a:ext>
          </a:extLst>
        </xdr:cNvPr>
        <xdr:cNvSpPr txBox="1"/>
      </xdr:nvSpPr>
      <xdr:spPr>
        <a:xfrm>
          <a:off x="152400" y="2142911"/>
          <a:ext cx="131064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4904410D-2DB0-4372-88C9-D8B57E4FD4F3}" type="TxLink">
            <a:rPr lang="en-US" sz="1800" b="1" i="0" u="none" strike="noStrike">
              <a:gradFill>
                <a:gsLst>
                  <a:gs pos="0">
                    <a:schemeClr val="bg1"/>
                  </a:gs>
                  <a:gs pos="62000">
                    <a:schemeClr val="bg1">
                      <a:lumMod val="85000"/>
                    </a:schemeClr>
                  </a:gs>
                </a:gsLst>
                <a:lin ang="5400000" scaled="1"/>
              </a:gradFill>
              <a:latin typeface="Aptos Narrow"/>
              <a:ea typeface="+mn-ea"/>
              <a:cs typeface="+mn-cs"/>
            </a:rPr>
            <a:pPr marL="0" indent="0"/>
            <a:t>4.0</a:t>
          </a:fld>
          <a:endParaRPr lang="en-US" sz="1800" b="1" i="0" u="none" strike="noStrike">
            <a:gradFill>
              <a:gsLst>
                <a:gs pos="0">
                  <a:schemeClr val="bg1"/>
                </a:gs>
                <a:gs pos="62000">
                  <a:schemeClr val="bg1">
                    <a:lumMod val="85000"/>
                  </a:schemeClr>
                </a:gs>
              </a:gsLst>
              <a:lin ang="5400000" scaled="1"/>
            </a:gradFill>
            <a:latin typeface="Aptos Narrow"/>
            <a:ea typeface="+mn-ea"/>
            <a:cs typeface="+mn-cs"/>
          </a:endParaRPr>
        </a:p>
      </xdr:txBody>
    </xdr:sp>
    <xdr:clientData/>
  </xdr:twoCellAnchor>
  <xdr:twoCellAnchor>
    <xdr:from>
      <xdr:col>0</xdr:col>
      <xdr:colOff>152400</xdr:colOff>
      <xdr:row>14</xdr:row>
      <xdr:rowOff>30480</xdr:rowOff>
    </xdr:from>
    <xdr:to>
      <xdr:col>1</xdr:col>
      <xdr:colOff>1089660</xdr:colOff>
      <xdr:row>16</xdr:row>
      <xdr:rowOff>144780</xdr:rowOff>
    </xdr:to>
    <xdr:sp macro="" textlink="Pivots!K4">
      <xdr:nvSpPr>
        <xdr:cNvPr id="8" name="TextBox 7">
          <a:extLst>
            <a:ext uri="{FF2B5EF4-FFF2-40B4-BE49-F238E27FC236}">
              <a16:creationId xmlns:a16="http://schemas.microsoft.com/office/drawing/2014/main" id="{D752A41F-8AFB-4AF9-9185-128DBFF525CB}"/>
            </a:ext>
          </a:extLst>
        </xdr:cNvPr>
        <xdr:cNvSpPr txBox="1"/>
      </xdr:nvSpPr>
      <xdr:spPr>
        <a:xfrm>
          <a:off x="152400" y="2705100"/>
          <a:ext cx="131064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4BD6BDC-B800-4CFA-893F-EA79E5DA1F52}" type="TxLink">
            <a:rPr lang="en-US" sz="1800" b="1" i="0" u="none" strike="noStrike">
              <a:gradFill>
                <a:gsLst>
                  <a:gs pos="0">
                    <a:schemeClr val="bg1"/>
                  </a:gs>
                  <a:gs pos="62000">
                    <a:schemeClr val="bg1">
                      <a:lumMod val="85000"/>
                    </a:schemeClr>
                  </a:gs>
                </a:gsLst>
                <a:lin ang="5400000" scaled="1"/>
              </a:gradFill>
              <a:latin typeface="Aptos Narrow"/>
              <a:ea typeface="+mn-ea"/>
              <a:cs typeface="+mn-cs"/>
            </a:rPr>
            <a:pPr marL="0" indent="0"/>
            <a:t>2.3</a:t>
          </a:fld>
          <a:endParaRPr lang="en-US" sz="1800" b="1" i="0" u="none" strike="noStrike">
            <a:gradFill>
              <a:gsLst>
                <a:gs pos="0">
                  <a:schemeClr val="bg1"/>
                </a:gs>
                <a:gs pos="62000">
                  <a:schemeClr val="bg1">
                    <a:lumMod val="85000"/>
                  </a:schemeClr>
                </a:gs>
              </a:gsLst>
              <a:lin ang="5400000" scaled="1"/>
            </a:gradFill>
            <a:latin typeface="Aptos Narrow"/>
            <a:ea typeface="+mn-ea"/>
            <a:cs typeface="+mn-cs"/>
          </a:endParaRPr>
        </a:p>
      </xdr:txBody>
    </xdr:sp>
    <xdr:clientData/>
  </xdr:twoCellAnchor>
  <xdr:twoCellAnchor>
    <xdr:from>
      <xdr:col>0</xdr:col>
      <xdr:colOff>152400</xdr:colOff>
      <xdr:row>1</xdr:row>
      <xdr:rowOff>38100</xdr:rowOff>
    </xdr:from>
    <xdr:to>
      <xdr:col>1</xdr:col>
      <xdr:colOff>807720</xdr:colOff>
      <xdr:row>2</xdr:row>
      <xdr:rowOff>68580</xdr:rowOff>
    </xdr:to>
    <xdr:sp macro="" textlink="">
      <xdr:nvSpPr>
        <xdr:cNvPr id="10" name="TextBox 9">
          <a:extLst>
            <a:ext uri="{FF2B5EF4-FFF2-40B4-BE49-F238E27FC236}">
              <a16:creationId xmlns:a16="http://schemas.microsoft.com/office/drawing/2014/main" id="{86C4E825-9701-28F0-8890-742D9CA13AED}"/>
            </a:ext>
          </a:extLst>
        </xdr:cNvPr>
        <xdr:cNvSpPr txBox="1"/>
      </xdr:nvSpPr>
      <xdr:spPr>
        <a:xfrm>
          <a:off x="152400" y="335280"/>
          <a:ext cx="10287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a:t>
          </a:r>
          <a:r>
            <a:rPr lang="en-US" sz="1100">
              <a:solidFill>
                <a:schemeClr val="bg1"/>
              </a:solidFill>
            </a:rPr>
            <a:t>Orders</a:t>
          </a:r>
        </a:p>
      </xdr:txBody>
    </xdr:sp>
    <xdr:clientData/>
  </xdr:twoCellAnchor>
  <xdr:twoCellAnchor>
    <xdr:from>
      <xdr:col>0</xdr:col>
      <xdr:colOff>152400</xdr:colOff>
      <xdr:row>4</xdr:row>
      <xdr:rowOff>44026</xdr:rowOff>
    </xdr:from>
    <xdr:to>
      <xdr:col>1</xdr:col>
      <xdr:colOff>807720</xdr:colOff>
      <xdr:row>5</xdr:row>
      <xdr:rowOff>74506</xdr:rowOff>
    </xdr:to>
    <xdr:sp macro="" textlink="">
      <xdr:nvSpPr>
        <xdr:cNvPr id="11" name="TextBox 10">
          <a:extLst>
            <a:ext uri="{FF2B5EF4-FFF2-40B4-BE49-F238E27FC236}">
              <a16:creationId xmlns:a16="http://schemas.microsoft.com/office/drawing/2014/main" id="{B4832777-EFE8-4245-B657-361CC523E2B4}"/>
            </a:ext>
          </a:extLst>
        </xdr:cNvPr>
        <xdr:cNvSpPr txBox="1"/>
      </xdr:nvSpPr>
      <xdr:spPr>
        <a:xfrm>
          <a:off x="152400" y="889846"/>
          <a:ext cx="10287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a:t>
          </a:r>
          <a:r>
            <a:rPr lang="en-US" sz="1100">
              <a:solidFill>
                <a:schemeClr val="bg1"/>
              </a:solidFill>
            </a:rPr>
            <a:t>Quantity</a:t>
          </a:r>
        </a:p>
      </xdr:txBody>
    </xdr:sp>
    <xdr:clientData/>
  </xdr:twoCellAnchor>
  <xdr:twoCellAnchor>
    <xdr:from>
      <xdr:col>0</xdr:col>
      <xdr:colOff>152400</xdr:colOff>
      <xdr:row>7</xdr:row>
      <xdr:rowOff>49952</xdr:rowOff>
    </xdr:from>
    <xdr:to>
      <xdr:col>1</xdr:col>
      <xdr:colOff>807720</xdr:colOff>
      <xdr:row>8</xdr:row>
      <xdr:rowOff>80432</xdr:rowOff>
    </xdr:to>
    <xdr:sp macro="" textlink="">
      <xdr:nvSpPr>
        <xdr:cNvPr id="12" name="TextBox 11">
          <a:extLst>
            <a:ext uri="{FF2B5EF4-FFF2-40B4-BE49-F238E27FC236}">
              <a16:creationId xmlns:a16="http://schemas.microsoft.com/office/drawing/2014/main" id="{1CF010AC-ED36-46ED-B192-F03CF3F4CAAB}"/>
            </a:ext>
          </a:extLst>
        </xdr:cNvPr>
        <xdr:cNvSpPr txBox="1"/>
      </xdr:nvSpPr>
      <xdr:spPr>
        <a:xfrm>
          <a:off x="152400" y="1444412"/>
          <a:ext cx="10287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a:t>
          </a:r>
          <a:r>
            <a:rPr lang="en-US" sz="1100">
              <a:solidFill>
                <a:schemeClr val="bg1"/>
              </a:solidFill>
            </a:rPr>
            <a:t>Amount</a:t>
          </a:r>
        </a:p>
      </xdr:txBody>
    </xdr:sp>
    <xdr:clientData/>
  </xdr:twoCellAnchor>
  <xdr:twoCellAnchor>
    <xdr:from>
      <xdr:col>0</xdr:col>
      <xdr:colOff>152400</xdr:colOff>
      <xdr:row>10</xdr:row>
      <xdr:rowOff>55878</xdr:rowOff>
    </xdr:from>
    <xdr:to>
      <xdr:col>1</xdr:col>
      <xdr:colOff>807720</xdr:colOff>
      <xdr:row>11</xdr:row>
      <xdr:rowOff>86358</xdr:rowOff>
    </xdr:to>
    <xdr:sp macro="" textlink="">
      <xdr:nvSpPr>
        <xdr:cNvPr id="13" name="TextBox 12">
          <a:extLst>
            <a:ext uri="{FF2B5EF4-FFF2-40B4-BE49-F238E27FC236}">
              <a16:creationId xmlns:a16="http://schemas.microsoft.com/office/drawing/2014/main" id="{98364F59-3C20-4D6D-AFE7-D4D6159532F6}"/>
            </a:ext>
          </a:extLst>
        </xdr:cNvPr>
        <xdr:cNvSpPr txBox="1"/>
      </xdr:nvSpPr>
      <xdr:spPr>
        <a:xfrm>
          <a:off x="152400" y="1998978"/>
          <a:ext cx="10287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a:t>
          </a:r>
          <a:r>
            <a:rPr lang="en-US" sz="1100">
              <a:solidFill>
                <a:schemeClr val="bg1"/>
              </a:solidFill>
            </a:rPr>
            <a:t>Avg.</a:t>
          </a:r>
          <a:r>
            <a:rPr lang="en-US" sz="1100" baseline="0">
              <a:solidFill>
                <a:schemeClr val="bg1"/>
              </a:solidFill>
            </a:rPr>
            <a:t> Rating</a:t>
          </a:r>
          <a:endParaRPr lang="en-US" sz="1100">
            <a:solidFill>
              <a:schemeClr val="bg1"/>
            </a:solidFill>
          </a:endParaRPr>
        </a:p>
      </xdr:txBody>
    </xdr:sp>
    <xdr:clientData/>
  </xdr:twoCellAnchor>
  <xdr:twoCellAnchor>
    <xdr:from>
      <xdr:col>0</xdr:col>
      <xdr:colOff>152400</xdr:colOff>
      <xdr:row>13</xdr:row>
      <xdr:rowOff>61804</xdr:rowOff>
    </xdr:from>
    <xdr:to>
      <xdr:col>2</xdr:col>
      <xdr:colOff>68580</xdr:colOff>
      <xdr:row>14</xdr:row>
      <xdr:rowOff>99904</xdr:rowOff>
    </xdr:to>
    <xdr:sp macro="" textlink="">
      <xdr:nvSpPr>
        <xdr:cNvPr id="14" name="TextBox 13">
          <a:extLst>
            <a:ext uri="{FF2B5EF4-FFF2-40B4-BE49-F238E27FC236}">
              <a16:creationId xmlns:a16="http://schemas.microsoft.com/office/drawing/2014/main" id="{AABE4005-AFBC-4464-864A-7CABC2E00C2D}"/>
            </a:ext>
          </a:extLst>
        </xdr:cNvPr>
        <xdr:cNvSpPr txBox="1"/>
      </xdr:nvSpPr>
      <xdr:spPr>
        <a:xfrm>
          <a:off x="152400" y="2553544"/>
          <a:ext cx="139446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a:t>
          </a:r>
          <a:r>
            <a:rPr lang="en-US" sz="1100">
              <a:solidFill>
                <a:schemeClr val="bg1"/>
              </a:solidFill>
            </a:rPr>
            <a:t>Days</a:t>
          </a:r>
          <a:r>
            <a:rPr lang="en-US" sz="1100" baseline="0">
              <a:solidFill>
                <a:schemeClr val="bg1"/>
              </a:solidFill>
            </a:rPr>
            <a:t> to Deliver</a:t>
          </a:r>
          <a:endParaRPr lang="en-US" sz="1100">
            <a:solidFill>
              <a:schemeClr val="bg1"/>
            </a:solidFill>
          </a:endParaRPr>
        </a:p>
      </xdr:txBody>
    </xdr:sp>
    <xdr:clientData/>
  </xdr:twoCellAnchor>
  <xdr:twoCellAnchor>
    <xdr:from>
      <xdr:col>3</xdr:col>
      <xdr:colOff>205740</xdr:colOff>
      <xdr:row>0</xdr:row>
      <xdr:rowOff>99060</xdr:rowOff>
    </xdr:from>
    <xdr:to>
      <xdr:col>9</xdr:col>
      <xdr:colOff>396240</xdr:colOff>
      <xdr:row>11</xdr:row>
      <xdr:rowOff>22860</xdr:rowOff>
    </xdr:to>
    <xdr:graphicFrame macro="">
      <xdr:nvGraphicFramePr>
        <xdr:cNvPr id="15" name="Chart 14">
          <a:extLst>
            <a:ext uri="{FF2B5EF4-FFF2-40B4-BE49-F238E27FC236}">
              <a16:creationId xmlns:a16="http://schemas.microsoft.com/office/drawing/2014/main" id="{7CC51724-A5B3-440B-A6C1-B00BD93193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579120</xdr:colOff>
      <xdr:row>0</xdr:row>
      <xdr:rowOff>99060</xdr:rowOff>
    </xdr:from>
    <xdr:to>
      <xdr:col>16</xdr:col>
      <xdr:colOff>525780</xdr:colOff>
      <xdr:row>11</xdr:row>
      <xdr:rowOff>45720</xdr:rowOff>
    </xdr:to>
    <xdr:sp macro="" textlink="">
      <xdr:nvSpPr>
        <xdr:cNvPr id="18" name="Rectangle 17">
          <a:extLst>
            <a:ext uri="{FF2B5EF4-FFF2-40B4-BE49-F238E27FC236}">
              <a16:creationId xmlns:a16="http://schemas.microsoft.com/office/drawing/2014/main" id="{5019C7B8-6DCB-3275-B8F5-B50B8D86CD67}"/>
            </a:ext>
          </a:extLst>
        </xdr:cNvPr>
        <xdr:cNvSpPr/>
      </xdr:nvSpPr>
      <xdr:spPr>
        <a:xfrm>
          <a:off x="6088380" y="99060"/>
          <a:ext cx="4213860" cy="207264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10</xdr:col>
          <xdr:colOff>137159</xdr:colOff>
          <xdr:row>0</xdr:row>
          <xdr:rowOff>251460</xdr:rowOff>
        </xdr:from>
        <xdr:to>
          <xdr:col>16</xdr:col>
          <xdr:colOff>427398</xdr:colOff>
          <xdr:row>9</xdr:row>
          <xdr:rowOff>152400</xdr:rowOff>
        </xdr:to>
        <xdr:pic>
          <xdr:nvPicPr>
            <xdr:cNvPr id="16" name="Picture 15">
              <a:extLst>
                <a:ext uri="{FF2B5EF4-FFF2-40B4-BE49-F238E27FC236}">
                  <a16:creationId xmlns:a16="http://schemas.microsoft.com/office/drawing/2014/main" id="{9ABCEADE-246A-E1C4-F5B3-8F0E56C73693}"/>
                </a:ext>
              </a:extLst>
            </xdr:cNvPr>
            <xdr:cNvPicPr>
              <a:picLocks noChangeAspect="1" noChangeArrowheads="1"/>
              <a:extLst>
                <a:ext uri="{84589F7E-364E-4C9E-8A38-B11213B215E9}">
                  <a14:cameraTool cellRange="heatmap!$I$4:$M$9" spid="_x0000_s1032"/>
                </a:ext>
              </a:extLst>
            </xdr:cNvPicPr>
          </xdr:nvPicPr>
          <xdr:blipFill>
            <a:blip xmlns:r="http://schemas.openxmlformats.org/officeDocument/2006/relationships" r:embed="rId2"/>
            <a:srcRect/>
            <a:stretch>
              <a:fillRect/>
            </a:stretch>
          </xdr:blipFill>
          <xdr:spPr bwMode="auto">
            <a:xfrm>
              <a:off x="6256019" y="251460"/>
              <a:ext cx="3947839" cy="166116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17</xdr:col>
      <xdr:colOff>0</xdr:colOff>
      <xdr:row>0</xdr:row>
      <xdr:rowOff>99060</xdr:rowOff>
    </xdr:from>
    <xdr:to>
      <xdr:col>23</xdr:col>
      <xdr:colOff>243840</xdr:colOff>
      <xdr:row>11</xdr:row>
      <xdr:rowOff>68580</xdr:rowOff>
    </xdr:to>
    <xdr:graphicFrame macro="">
      <xdr:nvGraphicFramePr>
        <xdr:cNvPr id="19" name="Chart 18">
          <a:extLst>
            <a:ext uri="{FF2B5EF4-FFF2-40B4-BE49-F238E27FC236}">
              <a16:creationId xmlns:a16="http://schemas.microsoft.com/office/drawing/2014/main" id="{9089BB2E-540B-4377-8D1B-C095E1FD97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175260</xdr:colOff>
      <xdr:row>11</xdr:row>
      <xdr:rowOff>175260</xdr:rowOff>
    </xdr:from>
    <xdr:to>
      <xdr:col>9</xdr:col>
      <xdr:colOff>403860</xdr:colOff>
      <xdr:row>30</xdr:row>
      <xdr:rowOff>76200</xdr:rowOff>
    </xdr:to>
    <xdr:graphicFrame macro="">
      <xdr:nvGraphicFramePr>
        <xdr:cNvPr id="20" name="Chart 19">
          <a:extLst>
            <a:ext uri="{FF2B5EF4-FFF2-40B4-BE49-F238E27FC236}">
              <a16:creationId xmlns:a16="http://schemas.microsoft.com/office/drawing/2014/main" id="{201A14B0-7BD4-4382-A978-BEE9D84C1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541020</xdr:colOff>
      <xdr:row>12</xdr:row>
      <xdr:rowOff>0</xdr:rowOff>
    </xdr:from>
    <xdr:to>
      <xdr:col>16</xdr:col>
      <xdr:colOff>518160</xdr:colOff>
      <xdr:row>30</xdr:row>
      <xdr:rowOff>83820</xdr:rowOff>
    </xdr:to>
    <mc:AlternateContent xmlns:mc="http://schemas.openxmlformats.org/markup-compatibility/2006">
      <mc:Choice xmlns:cx4="http://schemas.microsoft.com/office/drawing/2016/5/10/chartex" Requires="cx4">
        <xdr:graphicFrame macro="">
          <xdr:nvGraphicFramePr>
            <xdr:cNvPr id="21" name="Chart 20">
              <a:extLst>
                <a:ext uri="{FF2B5EF4-FFF2-40B4-BE49-F238E27FC236}">
                  <a16:creationId xmlns:a16="http://schemas.microsoft.com/office/drawing/2014/main" id="{B90B713F-40BF-4FE0-B326-687D309B63C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6050280" y="2308860"/>
              <a:ext cx="4244340" cy="337566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586740</xdr:colOff>
      <xdr:row>16</xdr:row>
      <xdr:rowOff>30480</xdr:rowOff>
    </xdr:from>
    <xdr:to>
      <xdr:col>16</xdr:col>
      <xdr:colOff>297180</xdr:colOff>
      <xdr:row>23</xdr:row>
      <xdr:rowOff>30480</xdr:rowOff>
    </xdr:to>
    <mc:AlternateContent xmlns:mc="http://schemas.openxmlformats.org/markup-compatibility/2006">
      <mc:Choice xmlns:cx4="http://schemas.microsoft.com/office/drawing/2016/5/10/chartex" Requires="cx4">
        <xdr:graphicFrame macro="">
          <xdr:nvGraphicFramePr>
            <xdr:cNvPr id="22" name="Chart 21">
              <a:extLst>
                <a:ext uri="{FF2B5EF4-FFF2-40B4-BE49-F238E27FC236}">
                  <a16:creationId xmlns:a16="http://schemas.microsoft.com/office/drawing/2014/main" id="{42584AEC-1BBE-4524-A831-A8F0E1F4AB4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534400" y="3070860"/>
              <a:ext cx="1539240" cy="128016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600075</xdr:colOff>
      <xdr:row>12</xdr:row>
      <xdr:rowOff>15240</xdr:rowOff>
    </xdr:from>
    <xdr:to>
      <xdr:col>23</xdr:col>
      <xdr:colOff>243840</xdr:colOff>
      <xdr:row>30</xdr:row>
      <xdr:rowOff>83820</xdr:rowOff>
    </xdr:to>
    <xdr:graphicFrame macro="">
      <xdr:nvGraphicFramePr>
        <xdr:cNvPr id="23" name="Chart 22">
          <a:extLst>
            <a:ext uri="{FF2B5EF4-FFF2-40B4-BE49-F238E27FC236}">
              <a16:creationId xmlns:a16="http://schemas.microsoft.com/office/drawing/2014/main" id="{C49484DA-7C11-4AA0-BF27-2002B60285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219075</xdr:colOff>
      <xdr:row>16</xdr:row>
      <xdr:rowOff>66675</xdr:rowOff>
    </xdr:from>
    <xdr:to>
      <xdr:col>1</xdr:col>
      <xdr:colOff>1085850</xdr:colOff>
      <xdr:row>26</xdr:row>
      <xdr:rowOff>66675</xdr:rowOff>
    </xdr:to>
    <mc:AlternateContent xmlns:mc="http://schemas.openxmlformats.org/markup-compatibility/2006">
      <mc:Choice xmlns:a14="http://schemas.microsoft.com/office/drawing/2010/main" Requires="a14">
        <xdr:graphicFrame macro="">
          <xdr:nvGraphicFramePr>
            <xdr:cNvPr id="24" name="Order Mode">
              <a:extLst>
                <a:ext uri="{FF2B5EF4-FFF2-40B4-BE49-F238E27FC236}">
                  <a16:creationId xmlns:a16="http://schemas.microsoft.com/office/drawing/2014/main" id="{7E7324F5-996B-4883-B249-5D236BF1E05B}"/>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dr:sp macro="" textlink="">
          <xdr:nvSpPr>
            <xdr:cNvPr id="0" name=""/>
            <xdr:cNvSpPr>
              <a:spLocks noTextEdit="1"/>
            </xdr:cNvSpPr>
          </xdr:nvSpPr>
          <xdr:spPr>
            <a:xfrm>
              <a:off x="219075" y="3076575"/>
              <a:ext cx="1238250" cy="1809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27</xdr:row>
      <xdr:rowOff>7620</xdr:rowOff>
    </xdr:from>
    <xdr:to>
      <xdr:col>2</xdr:col>
      <xdr:colOff>9525</xdr:colOff>
      <xdr:row>35</xdr:row>
      <xdr:rowOff>47626</xdr:rowOff>
    </xdr:to>
    <mc:AlternateContent xmlns:mc="http://schemas.openxmlformats.org/markup-compatibility/2006">
      <mc:Choice xmlns:a14="http://schemas.microsoft.com/office/drawing/2010/main" Requires="a14">
        <xdr:graphicFrame macro="">
          <xdr:nvGraphicFramePr>
            <xdr:cNvPr id="25" name="Gender Value">
              <a:extLst>
                <a:ext uri="{FF2B5EF4-FFF2-40B4-BE49-F238E27FC236}">
                  <a16:creationId xmlns:a16="http://schemas.microsoft.com/office/drawing/2014/main" id="{8B097200-4471-4739-B445-C3B9C1691112}"/>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dr:sp macro="" textlink="">
          <xdr:nvSpPr>
            <xdr:cNvPr id="0" name=""/>
            <xdr:cNvSpPr>
              <a:spLocks noTextEdit="1"/>
            </xdr:cNvSpPr>
          </xdr:nvSpPr>
          <xdr:spPr>
            <a:xfrm>
              <a:off x="190500" y="5008245"/>
              <a:ext cx="1295400" cy="14878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lton Mendieta Flores" refreshedDate="46314.808165277776" createdVersion="8" refreshedVersion="8" minRefreshableVersion="3" recordCount="2400" xr:uid="{39C8206A-8349-4D27-9A7E-A07AFB6358E3}">
  <cacheSource type="worksheet">
    <worksheetSource name="orders"/>
  </cacheSource>
  <cacheFields count="16">
    <cacheField name="TX ID" numFmtId="0">
      <sharedItems count="2400">
        <s v="TX500001"/>
        <s v="TX500002"/>
        <s v="TX500003"/>
        <s v="TX500004"/>
        <s v="TX500005"/>
        <s v="TX500006"/>
        <s v="TX500007"/>
        <s v="TX500008"/>
        <s v="TX500009"/>
        <s v="TX500010"/>
        <s v="TX500011"/>
        <s v="TX500012"/>
        <s v="TX500013"/>
        <s v="TX500014"/>
        <s v="TX500015"/>
        <s v="TX500016"/>
        <s v="TX500017"/>
        <s v="TX500018"/>
        <s v="TX500019"/>
        <s v="TX500020"/>
        <s v="TX500021"/>
        <s v="TX500022"/>
        <s v="TX500023"/>
        <s v="TX500024"/>
        <s v="TX500025"/>
        <s v="TX500026"/>
        <s v="TX500027"/>
        <s v="TX500028"/>
        <s v="TX500029"/>
        <s v="TX500030"/>
        <s v="TX500031"/>
        <s v="TX500032"/>
        <s v="TX500033"/>
        <s v="TX500034"/>
        <s v="TX500035"/>
        <s v="TX500036"/>
        <s v="TX500037"/>
        <s v="TX500038"/>
        <s v="TX500039"/>
        <s v="TX500040"/>
        <s v="TX500041"/>
        <s v="TX500042"/>
        <s v="TX500043"/>
        <s v="TX500044"/>
        <s v="TX500045"/>
        <s v="TX500046"/>
        <s v="TX500047"/>
        <s v="TX500048"/>
        <s v="TX500049"/>
        <s v="TX500050"/>
        <s v="TX500051"/>
        <s v="TX500052"/>
        <s v="TX500053"/>
        <s v="TX500054"/>
        <s v="TX500055"/>
        <s v="TX500056"/>
        <s v="TX500057"/>
        <s v="TX500058"/>
        <s v="TX500059"/>
        <s v="TX500060"/>
        <s v="TX500061"/>
        <s v="TX500062"/>
        <s v="TX500063"/>
        <s v="TX500064"/>
        <s v="TX500065"/>
        <s v="TX500066"/>
        <s v="TX500067"/>
        <s v="TX500068"/>
        <s v="TX500069"/>
        <s v="TX500070"/>
        <s v="TX500071"/>
        <s v="TX500072"/>
        <s v="TX500073"/>
        <s v="TX500074"/>
        <s v="TX500075"/>
        <s v="TX500076"/>
        <s v="TX500077"/>
        <s v="TX500078"/>
        <s v="TX500079"/>
        <s v="TX500080"/>
        <s v="TX500081"/>
        <s v="TX500082"/>
        <s v="TX500083"/>
        <s v="TX500084"/>
        <s v="TX500085"/>
        <s v="TX500086"/>
        <s v="TX500087"/>
        <s v="TX500088"/>
        <s v="TX500089"/>
        <s v="TX500090"/>
        <s v="TX500091"/>
        <s v="TX500092"/>
        <s v="TX500093"/>
        <s v="TX500094"/>
        <s v="TX500095"/>
        <s v="TX500096"/>
        <s v="TX500097"/>
        <s v="TX500098"/>
        <s v="TX500099"/>
        <s v="TX500100"/>
        <s v="TX500101"/>
        <s v="TX500102"/>
        <s v="TX500103"/>
        <s v="TX500104"/>
        <s v="TX500105"/>
        <s v="TX500106"/>
        <s v="TX500107"/>
        <s v="TX500108"/>
        <s v="TX500109"/>
        <s v="TX500110"/>
        <s v="TX500111"/>
        <s v="TX500112"/>
        <s v="TX500113"/>
        <s v="TX500114"/>
        <s v="TX500115"/>
        <s v="TX500116"/>
        <s v="TX500117"/>
        <s v="TX500118"/>
        <s v="TX500119"/>
        <s v="TX500120"/>
        <s v="TX500121"/>
        <s v="TX500122"/>
        <s v="TX500123"/>
        <s v="TX500124"/>
        <s v="TX500125"/>
        <s v="TX500126"/>
        <s v="TX500127"/>
        <s v="TX500128"/>
        <s v="TX500129"/>
        <s v="TX500130"/>
        <s v="TX500131"/>
        <s v="TX500132"/>
        <s v="TX500133"/>
        <s v="TX500134"/>
        <s v="TX500135"/>
        <s v="TX500136"/>
        <s v="TX500137"/>
        <s v="TX500138"/>
        <s v="TX500139"/>
        <s v="TX500140"/>
        <s v="TX500141"/>
        <s v="TX500142"/>
        <s v="TX500143"/>
        <s v="TX500144"/>
        <s v="TX500145"/>
        <s v="TX500146"/>
        <s v="TX500147"/>
        <s v="TX500148"/>
        <s v="TX500149"/>
        <s v="TX500150"/>
        <s v="TX500151"/>
        <s v="TX500152"/>
        <s v="TX500153"/>
        <s v="TX500154"/>
        <s v="TX500155"/>
        <s v="TX500156"/>
        <s v="TX500157"/>
        <s v="TX500158"/>
        <s v="TX500159"/>
        <s v="TX500160"/>
        <s v="TX500161"/>
        <s v="TX500162"/>
        <s v="TX500163"/>
        <s v="TX500164"/>
        <s v="TX500165"/>
        <s v="TX500166"/>
        <s v="TX500167"/>
        <s v="TX500168"/>
        <s v="TX500169"/>
        <s v="TX500170"/>
        <s v="TX500171"/>
        <s v="TX500172"/>
        <s v="TX500173"/>
        <s v="TX500174"/>
        <s v="TX500175"/>
        <s v="TX500176"/>
        <s v="TX500177"/>
        <s v="TX500178"/>
        <s v="TX500179"/>
        <s v="TX500180"/>
        <s v="TX500181"/>
        <s v="TX500182"/>
        <s v="TX500183"/>
        <s v="TX500184"/>
        <s v="TX500185"/>
        <s v="TX500186"/>
        <s v="TX500187"/>
        <s v="TX500188"/>
        <s v="TX500189"/>
        <s v="TX500190"/>
        <s v="TX500191"/>
        <s v="TX500192"/>
        <s v="TX500193"/>
        <s v="TX500194"/>
        <s v="TX500195"/>
        <s v="TX500196"/>
        <s v="TX500197"/>
        <s v="TX500198"/>
        <s v="TX500199"/>
        <s v="TX500200"/>
        <s v="TX500201"/>
        <s v="TX500202"/>
        <s v="TX500203"/>
        <s v="TX500204"/>
        <s v="TX500205"/>
        <s v="TX500206"/>
        <s v="TX500207"/>
        <s v="TX500208"/>
        <s v="TX500209"/>
        <s v="TX500210"/>
        <s v="TX500211"/>
        <s v="TX500212"/>
        <s v="TX500213"/>
        <s v="TX500214"/>
        <s v="TX500215"/>
        <s v="TX500216"/>
        <s v="TX500217"/>
        <s v="TX500218"/>
        <s v="TX500219"/>
        <s v="TX500220"/>
        <s v="TX500221"/>
        <s v="TX500222"/>
        <s v="TX500223"/>
        <s v="TX500224"/>
        <s v="TX500225"/>
        <s v="TX500226"/>
        <s v="TX500227"/>
        <s v="TX500228"/>
        <s v="TX500229"/>
        <s v="TX500230"/>
        <s v="TX500231"/>
        <s v="TX500232"/>
        <s v="TX500233"/>
        <s v="TX500234"/>
        <s v="TX500235"/>
        <s v="TX500236"/>
        <s v="TX500237"/>
        <s v="TX500238"/>
        <s v="TX500239"/>
        <s v="TX500240"/>
        <s v="TX500241"/>
        <s v="TX500242"/>
        <s v="TX500243"/>
        <s v="TX500244"/>
        <s v="TX500245"/>
        <s v="TX500246"/>
        <s v="TX500247"/>
        <s v="TX500248"/>
        <s v="TX500249"/>
        <s v="TX500250"/>
        <s v="TX500251"/>
        <s v="TX500252"/>
        <s v="TX500253"/>
        <s v="TX500254"/>
        <s v="TX500255"/>
        <s v="TX500256"/>
        <s v="TX500257"/>
        <s v="TX500258"/>
        <s v="TX500259"/>
        <s v="TX500260"/>
        <s v="TX500261"/>
        <s v="TX500262"/>
        <s v="TX500263"/>
        <s v="TX500264"/>
        <s v="TX500265"/>
        <s v="TX500266"/>
        <s v="TX500267"/>
        <s v="TX500268"/>
        <s v="TX500269"/>
        <s v="TX500270"/>
        <s v="TX500271"/>
        <s v="TX500272"/>
        <s v="TX500273"/>
        <s v="TX500274"/>
        <s v="TX500275"/>
        <s v="TX500276"/>
        <s v="TX500277"/>
        <s v="TX500278"/>
        <s v="TX500279"/>
        <s v="TX500280"/>
        <s v="TX500281"/>
        <s v="TX500282"/>
        <s v="TX500283"/>
        <s v="TX500284"/>
        <s v="TX500285"/>
        <s v="TX500286"/>
        <s v="TX500287"/>
        <s v="TX500288"/>
        <s v="TX500289"/>
        <s v="TX500290"/>
        <s v="TX500291"/>
        <s v="TX500292"/>
        <s v="TX500293"/>
        <s v="TX500294"/>
        <s v="TX500295"/>
        <s v="TX500296"/>
        <s v="TX500297"/>
        <s v="TX500298"/>
        <s v="TX500299"/>
        <s v="TX500300"/>
        <s v="TX500301"/>
        <s v="TX500302"/>
        <s v="TX500303"/>
        <s v="TX500304"/>
        <s v="TX500305"/>
        <s v="TX500306"/>
        <s v="TX500307"/>
        <s v="TX500308"/>
        <s v="TX500309"/>
        <s v="TX500310"/>
        <s v="TX500311"/>
        <s v="TX500312"/>
        <s v="TX500313"/>
        <s v="TX500314"/>
        <s v="TX500315"/>
        <s v="TX500316"/>
        <s v="TX500317"/>
        <s v="TX500318"/>
        <s v="TX500319"/>
        <s v="TX500320"/>
        <s v="TX500321"/>
        <s v="TX500322"/>
        <s v="TX500323"/>
        <s v="TX500324"/>
        <s v="TX500325"/>
        <s v="TX500326"/>
        <s v="TX500327"/>
        <s v="TX500328"/>
        <s v="TX500329"/>
        <s v="TX500330"/>
        <s v="TX500331"/>
        <s v="TX500332"/>
        <s v="TX500333"/>
        <s v="TX500334"/>
        <s v="TX500335"/>
        <s v="TX500336"/>
        <s v="TX500337"/>
        <s v="TX500338"/>
        <s v="TX500339"/>
        <s v="TX500340"/>
        <s v="TX500341"/>
        <s v="TX500342"/>
        <s v="TX500343"/>
        <s v="TX500344"/>
        <s v="TX500345"/>
        <s v="TX500346"/>
        <s v="TX500347"/>
        <s v="TX500348"/>
        <s v="TX500349"/>
        <s v="TX500350"/>
        <s v="TX500351"/>
        <s v="TX500352"/>
        <s v="TX500353"/>
        <s v="TX500354"/>
        <s v="TX500355"/>
        <s v="TX500356"/>
        <s v="TX500357"/>
        <s v="TX500358"/>
        <s v="TX500359"/>
        <s v="TX500360"/>
        <s v="TX500361"/>
        <s v="TX500362"/>
        <s v="TX500363"/>
        <s v="TX500364"/>
        <s v="TX500365"/>
        <s v="TX500366"/>
        <s v="TX500367"/>
        <s v="TX500368"/>
        <s v="TX500369"/>
        <s v="TX500370"/>
        <s v="TX500371"/>
        <s v="TX500372"/>
        <s v="TX500373"/>
        <s v="TX500374"/>
        <s v="TX500375"/>
        <s v="TX500376"/>
        <s v="TX500377"/>
        <s v="TX500378"/>
        <s v="TX500379"/>
        <s v="TX500380"/>
        <s v="TX500381"/>
        <s v="TX500382"/>
        <s v="TX500383"/>
        <s v="TX500384"/>
        <s v="TX500385"/>
        <s v="TX500386"/>
        <s v="TX500387"/>
        <s v="TX500388"/>
        <s v="TX500389"/>
        <s v="TX500390"/>
        <s v="TX500391"/>
        <s v="TX500392"/>
        <s v="TX500393"/>
        <s v="TX500394"/>
        <s v="TX500395"/>
        <s v="TX500396"/>
        <s v="TX500397"/>
        <s v="TX500398"/>
        <s v="TX500399"/>
        <s v="TX500400"/>
        <s v="TX500401"/>
        <s v="TX500402"/>
        <s v="TX500403"/>
        <s v="TX500404"/>
        <s v="TX500405"/>
        <s v="TX500406"/>
        <s v="TX500407"/>
        <s v="TX500408"/>
        <s v="TX500409"/>
        <s v="TX500410"/>
        <s v="TX500411"/>
        <s v="TX500412"/>
        <s v="TX500413"/>
        <s v="TX500414"/>
        <s v="TX500415"/>
        <s v="TX500416"/>
        <s v="TX500417"/>
        <s v="TX500418"/>
        <s v="TX500419"/>
        <s v="TX500420"/>
        <s v="TX500421"/>
        <s v="TX500422"/>
        <s v="TX500423"/>
        <s v="TX500424"/>
        <s v="TX500425"/>
        <s v="TX500426"/>
        <s v="TX500427"/>
        <s v="TX500428"/>
        <s v="TX500429"/>
        <s v="TX500430"/>
        <s v="TX500431"/>
        <s v="TX500432"/>
        <s v="TX500433"/>
        <s v="TX500434"/>
        <s v="TX500435"/>
        <s v="TX500436"/>
        <s v="TX500437"/>
        <s v="TX500438"/>
        <s v="TX500439"/>
        <s v="TX500440"/>
        <s v="TX500441"/>
        <s v="TX500442"/>
        <s v="TX500443"/>
        <s v="TX500444"/>
        <s v="TX500445"/>
        <s v="TX500446"/>
        <s v="TX500447"/>
        <s v="TX500448"/>
        <s v="TX500449"/>
        <s v="TX500450"/>
        <s v="TX500451"/>
        <s v="TX500452"/>
        <s v="TX500453"/>
        <s v="TX500454"/>
        <s v="TX500455"/>
        <s v="TX500456"/>
        <s v="TX500457"/>
        <s v="TX500458"/>
        <s v="TX500459"/>
        <s v="TX500460"/>
        <s v="TX500461"/>
        <s v="TX500462"/>
        <s v="TX500463"/>
        <s v="TX500464"/>
        <s v="TX500465"/>
        <s v="TX500466"/>
        <s v="TX500467"/>
        <s v="TX500468"/>
        <s v="TX500469"/>
        <s v="TX500470"/>
        <s v="TX500471"/>
        <s v="TX500472"/>
        <s v="TX500473"/>
        <s v="TX500474"/>
        <s v="TX500475"/>
        <s v="TX500476"/>
        <s v="TX500477"/>
        <s v="TX500478"/>
        <s v="TX500479"/>
        <s v="TX500480"/>
        <s v="TX500481"/>
        <s v="TX500482"/>
        <s v="TX500483"/>
        <s v="TX500484"/>
        <s v="TX500485"/>
        <s v="TX500486"/>
        <s v="TX500487"/>
        <s v="TX500488"/>
        <s v="TX500489"/>
        <s v="TX500490"/>
        <s v="TX500491"/>
        <s v="TX500492"/>
        <s v="TX500493"/>
        <s v="TX500494"/>
        <s v="TX500495"/>
        <s v="TX500496"/>
        <s v="TX500497"/>
        <s v="TX500498"/>
        <s v="TX500499"/>
        <s v="TX500500"/>
        <s v="TX500501"/>
        <s v="TX500502"/>
        <s v="TX500503"/>
        <s v="TX500504"/>
        <s v="TX500505"/>
        <s v="TX500506"/>
        <s v="TX500507"/>
        <s v="TX500508"/>
        <s v="TX500509"/>
        <s v="TX500510"/>
        <s v="TX500511"/>
        <s v="TX500512"/>
        <s v="TX500513"/>
        <s v="TX500514"/>
        <s v="TX500515"/>
        <s v="TX500516"/>
        <s v="TX500517"/>
        <s v="TX500518"/>
        <s v="TX500519"/>
        <s v="TX500520"/>
        <s v="TX500521"/>
        <s v="TX500522"/>
        <s v="TX500523"/>
        <s v="TX500524"/>
        <s v="TX500525"/>
        <s v="TX500526"/>
        <s v="TX500527"/>
        <s v="TX500528"/>
        <s v="TX500529"/>
        <s v="TX500530"/>
        <s v="TX500531"/>
        <s v="TX500532"/>
        <s v="TX500533"/>
        <s v="TX500534"/>
        <s v="TX500535"/>
        <s v="TX500536"/>
        <s v="TX500537"/>
        <s v="TX500538"/>
        <s v="TX500539"/>
        <s v="TX500540"/>
        <s v="TX500541"/>
        <s v="TX500542"/>
        <s v="TX500543"/>
        <s v="TX500544"/>
        <s v="TX500545"/>
        <s v="TX500546"/>
        <s v="TX500547"/>
        <s v="TX500548"/>
        <s v="TX500549"/>
        <s v="TX500550"/>
        <s v="TX500551"/>
        <s v="TX500552"/>
        <s v="TX500553"/>
        <s v="TX500554"/>
        <s v="TX500555"/>
        <s v="TX500556"/>
        <s v="TX500557"/>
        <s v="TX500558"/>
        <s v="TX500559"/>
        <s v="TX500560"/>
        <s v="TX500561"/>
        <s v="TX500562"/>
        <s v="TX500563"/>
        <s v="TX500564"/>
        <s v="TX500565"/>
        <s v="TX500566"/>
        <s v="TX500567"/>
        <s v="TX500568"/>
        <s v="TX500569"/>
        <s v="TX500570"/>
        <s v="TX500571"/>
        <s v="TX500572"/>
        <s v="TX500573"/>
        <s v="TX500574"/>
        <s v="TX500575"/>
        <s v="TX500576"/>
        <s v="TX500577"/>
        <s v="TX500578"/>
        <s v="TX500579"/>
        <s v="TX500580"/>
        <s v="TX500581"/>
        <s v="TX500582"/>
        <s v="TX500583"/>
        <s v="TX500584"/>
        <s v="TX500585"/>
        <s v="TX500586"/>
        <s v="TX500587"/>
        <s v="TX500588"/>
        <s v="TX500589"/>
        <s v="TX500590"/>
        <s v="TX500591"/>
        <s v="TX500592"/>
        <s v="TX500593"/>
        <s v="TX500594"/>
        <s v="TX500595"/>
        <s v="TX500596"/>
        <s v="TX500597"/>
        <s v="TX500598"/>
        <s v="TX500599"/>
        <s v="TX500600"/>
        <s v="TX500601"/>
        <s v="TX500602"/>
        <s v="TX500603"/>
        <s v="TX500604"/>
        <s v="TX500605"/>
        <s v="TX500606"/>
        <s v="TX500607"/>
        <s v="TX500608"/>
        <s v="TX500609"/>
        <s v="TX500610"/>
        <s v="TX500611"/>
        <s v="TX500612"/>
        <s v="TX500613"/>
        <s v="TX500614"/>
        <s v="TX500615"/>
        <s v="TX500616"/>
        <s v="TX500617"/>
        <s v="TX500618"/>
        <s v="TX500619"/>
        <s v="TX500620"/>
        <s v="TX500621"/>
        <s v="TX500622"/>
        <s v="TX500623"/>
        <s v="TX500624"/>
        <s v="TX500625"/>
        <s v="TX500626"/>
        <s v="TX500627"/>
        <s v="TX500628"/>
        <s v="TX500629"/>
        <s v="TX500630"/>
        <s v="TX500631"/>
        <s v="TX500632"/>
        <s v="TX500633"/>
        <s v="TX500634"/>
        <s v="TX500635"/>
        <s v="TX500636"/>
        <s v="TX500637"/>
        <s v="TX500638"/>
        <s v="TX500639"/>
        <s v="TX500640"/>
        <s v="TX500641"/>
        <s v="TX500642"/>
        <s v="TX500643"/>
        <s v="TX500644"/>
        <s v="TX500645"/>
        <s v="TX500646"/>
        <s v="TX500647"/>
        <s v="TX500648"/>
        <s v="TX500649"/>
        <s v="TX500650"/>
        <s v="TX500651"/>
        <s v="TX500652"/>
        <s v="TX500653"/>
        <s v="TX500654"/>
        <s v="TX500655"/>
        <s v="TX500656"/>
        <s v="TX500657"/>
        <s v="TX500658"/>
        <s v="TX500659"/>
        <s v="TX500660"/>
        <s v="TX500661"/>
        <s v="TX500662"/>
        <s v="TX500663"/>
        <s v="TX500664"/>
        <s v="TX500665"/>
        <s v="TX500666"/>
        <s v="TX500667"/>
        <s v="TX500668"/>
        <s v="TX500669"/>
        <s v="TX500670"/>
        <s v="TX500671"/>
        <s v="TX500672"/>
        <s v="TX500673"/>
        <s v="TX500674"/>
        <s v="TX500675"/>
        <s v="TX500676"/>
        <s v="TX500677"/>
        <s v="TX500678"/>
        <s v="TX500679"/>
        <s v="TX500680"/>
        <s v="TX500681"/>
        <s v="TX500682"/>
        <s v="TX500683"/>
        <s v="TX500684"/>
        <s v="TX500685"/>
        <s v="TX500686"/>
        <s v="TX500687"/>
        <s v="TX500688"/>
        <s v="TX500689"/>
        <s v="TX500690"/>
        <s v="TX500691"/>
        <s v="TX500692"/>
        <s v="TX500693"/>
        <s v="TX500694"/>
        <s v="TX500695"/>
        <s v="TX500696"/>
        <s v="TX500697"/>
        <s v="TX500698"/>
        <s v="TX500699"/>
        <s v="TX500700"/>
        <s v="TX500701"/>
        <s v="TX500702"/>
        <s v="TX500703"/>
        <s v="TX500704"/>
        <s v="TX500705"/>
        <s v="TX500706"/>
        <s v="TX500707"/>
        <s v="TX500708"/>
        <s v="TX500709"/>
        <s v="TX500710"/>
        <s v="TX500711"/>
        <s v="TX500712"/>
        <s v="TX500713"/>
        <s v="TX500714"/>
        <s v="TX500715"/>
        <s v="TX500716"/>
        <s v="TX500717"/>
        <s v="TX500718"/>
        <s v="TX500719"/>
        <s v="TX500720"/>
        <s v="TX500721"/>
        <s v="TX500722"/>
        <s v="TX500723"/>
        <s v="TX500724"/>
        <s v="TX500725"/>
        <s v="TX500726"/>
        <s v="TX500727"/>
        <s v="TX500728"/>
        <s v="TX500729"/>
        <s v="TX500730"/>
        <s v="TX500731"/>
        <s v="TX500732"/>
        <s v="TX500733"/>
        <s v="TX500734"/>
        <s v="TX500735"/>
        <s v="TX500736"/>
        <s v="TX500737"/>
        <s v="TX500738"/>
        <s v="TX500739"/>
        <s v="TX500740"/>
        <s v="TX500741"/>
        <s v="TX500742"/>
        <s v="TX500743"/>
        <s v="TX500744"/>
        <s v="TX500745"/>
        <s v="TX500746"/>
        <s v="TX500747"/>
        <s v="TX500748"/>
        <s v="TX500749"/>
        <s v="TX500750"/>
        <s v="TX500751"/>
        <s v="TX500752"/>
        <s v="TX500753"/>
        <s v="TX500754"/>
        <s v="TX500755"/>
        <s v="TX500756"/>
        <s v="TX500757"/>
        <s v="TX500758"/>
        <s v="TX500759"/>
        <s v="TX500760"/>
        <s v="TX500761"/>
        <s v="TX500762"/>
        <s v="TX500763"/>
        <s v="TX500764"/>
        <s v="TX500765"/>
        <s v="TX500766"/>
        <s v="TX500767"/>
        <s v="TX500768"/>
        <s v="TX500769"/>
        <s v="TX500770"/>
        <s v="TX500771"/>
        <s v="TX500772"/>
        <s v="TX500773"/>
        <s v="TX500774"/>
        <s v="TX500775"/>
        <s v="TX500776"/>
        <s v="TX500777"/>
        <s v="TX500778"/>
        <s v="TX500779"/>
        <s v="TX500780"/>
        <s v="TX500781"/>
        <s v="TX500782"/>
        <s v="TX500783"/>
        <s v="TX500784"/>
        <s v="TX500785"/>
        <s v="TX500786"/>
        <s v="TX500787"/>
        <s v="TX500788"/>
        <s v="TX500789"/>
        <s v="TX500790"/>
        <s v="TX500791"/>
        <s v="TX500792"/>
        <s v="TX500793"/>
        <s v="TX500794"/>
        <s v="TX500795"/>
        <s v="TX500796"/>
        <s v="TX500797"/>
        <s v="TX500798"/>
        <s v="TX500799"/>
        <s v="TX500800"/>
        <s v="TX500801"/>
        <s v="TX500802"/>
        <s v="TX500803"/>
        <s v="TX500804"/>
        <s v="TX500805"/>
        <s v="TX500806"/>
        <s v="TX500807"/>
        <s v="TX500808"/>
        <s v="TX500809"/>
        <s v="TX500810"/>
        <s v="TX500811"/>
        <s v="TX500812"/>
        <s v="TX500813"/>
        <s v="TX500814"/>
        <s v="TX500815"/>
        <s v="TX500816"/>
        <s v="TX500817"/>
        <s v="TX500818"/>
        <s v="TX500819"/>
        <s v="TX500820"/>
        <s v="TX500821"/>
        <s v="TX500822"/>
        <s v="TX500823"/>
        <s v="TX500824"/>
        <s v="TX500825"/>
        <s v="TX500826"/>
        <s v="TX500827"/>
        <s v="TX500828"/>
        <s v="TX500829"/>
        <s v="TX500830"/>
        <s v="TX500831"/>
        <s v="TX500832"/>
        <s v="TX500833"/>
        <s v="TX500834"/>
        <s v="TX500835"/>
        <s v="TX500836"/>
        <s v="TX500837"/>
        <s v="TX500838"/>
        <s v="TX500839"/>
        <s v="TX500840"/>
        <s v="TX500841"/>
        <s v="TX500842"/>
        <s v="TX500843"/>
        <s v="TX500844"/>
        <s v="TX500845"/>
        <s v="TX500846"/>
        <s v="TX500847"/>
        <s v="TX500848"/>
        <s v="TX500849"/>
        <s v="TX500850"/>
        <s v="TX500851"/>
        <s v="TX500852"/>
        <s v="TX500853"/>
        <s v="TX500854"/>
        <s v="TX500855"/>
        <s v="TX500856"/>
        <s v="TX500857"/>
        <s v="TX500858"/>
        <s v="TX500859"/>
        <s v="TX500860"/>
        <s v="TX500861"/>
        <s v="TX500862"/>
        <s v="TX500863"/>
        <s v="TX500864"/>
        <s v="TX500865"/>
        <s v="TX500866"/>
        <s v="TX500867"/>
        <s v="TX500868"/>
        <s v="TX500869"/>
        <s v="TX500870"/>
        <s v="TX500871"/>
        <s v="TX500872"/>
        <s v="TX500873"/>
        <s v="TX500874"/>
        <s v="TX500875"/>
        <s v="TX500876"/>
        <s v="TX500877"/>
        <s v="TX500878"/>
        <s v="TX500879"/>
        <s v="TX500880"/>
        <s v="TX500881"/>
        <s v="TX500882"/>
        <s v="TX500883"/>
        <s v="TX500884"/>
        <s v="TX500885"/>
        <s v="TX500886"/>
        <s v="TX500887"/>
        <s v="TX500888"/>
        <s v="TX500889"/>
        <s v="TX500890"/>
        <s v="TX500891"/>
        <s v="TX500892"/>
        <s v="TX500893"/>
        <s v="TX500894"/>
        <s v="TX500895"/>
        <s v="TX500896"/>
        <s v="TX500897"/>
        <s v="TX500898"/>
        <s v="TX500899"/>
        <s v="TX500900"/>
        <s v="TX500901"/>
        <s v="TX500902"/>
        <s v="TX500903"/>
        <s v="TX500904"/>
        <s v="TX500905"/>
        <s v="TX500906"/>
        <s v="TX500907"/>
        <s v="TX500908"/>
        <s v="TX500909"/>
        <s v="TX500910"/>
        <s v="TX500911"/>
        <s v="TX500912"/>
        <s v="TX500913"/>
        <s v="TX500914"/>
        <s v="TX500915"/>
        <s v="TX500916"/>
        <s v="TX500917"/>
        <s v="TX500918"/>
        <s v="TX500919"/>
        <s v="TX500920"/>
        <s v="TX500921"/>
        <s v="TX500922"/>
        <s v="TX500923"/>
        <s v="TX500924"/>
        <s v="TX500925"/>
        <s v="TX500926"/>
        <s v="TX500927"/>
        <s v="TX500928"/>
        <s v="TX500929"/>
        <s v="TX500930"/>
        <s v="TX500931"/>
        <s v="TX500932"/>
        <s v="TX500933"/>
        <s v="TX500934"/>
        <s v="TX500935"/>
        <s v="TX500936"/>
        <s v="TX500937"/>
        <s v="TX500938"/>
        <s v="TX500939"/>
        <s v="TX500940"/>
        <s v="TX500941"/>
        <s v="TX500942"/>
        <s v="TX500943"/>
        <s v="TX500944"/>
        <s v="TX500945"/>
        <s v="TX500946"/>
        <s v="TX500947"/>
        <s v="TX500948"/>
        <s v="TX500949"/>
        <s v="TX500950"/>
        <s v="TX500951"/>
        <s v="TX500952"/>
        <s v="TX500953"/>
        <s v="TX500954"/>
        <s v="TX500955"/>
        <s v="TX500956"/>
        <s v="TX500957"/>
        <s v="TX500958"/>
        <s v="TX500959"/>
        <s v="TX500960"/>
        <s v="TX500961"/>
        <s v="TX500962"/>
        <s v="TX500963"/>
        <s v="TX500964"/>
        <s v="TX500965"/>
        <s v="TX500966"/>
        <s v="TX500967"/>
        <s v="TX500968"/>
        <s v="TX500969"/>
        <s v="TX500970"/>
        <s v="TX500971"/>
        <s v="TX500972"/>
        <s v="TX500973"/>
        <s v="TX500974"/>
        <s v="TX500975"/>
        <s v="TX500976"/>
        <s v="TX500977"/>
        <s v="TX500978"/>
        <s v="TX500979"/>
        <s v="TX500980"/>
        <s v="TX500981"/>
        <s v="TX500982"/>
        <s v="TX500983"/>
        <s v="TX500984"/>
        <s v="TX500985"/>
        <s v="TX500986"/>
        <s v="TX500987"/>
        <s v="TX500988"/>
        <s v="TX500989"/>
        <s v="TX500990"/>
        <s v="TX500991"/>
        <s v="TX500992"/>
        <s v="TX500993"/>
        <s v="TX500994"/>
        <s v="TX500995"/>
        <s v="TX500996"/>
        <s v="TX500997"/>
        <s v="TX500998"/>
        <s v="TX500999"/>
        <s v="TX501000"/>
        <s v="TX501001"/>
        <s v="TX501002"/>
        <s v="TX501003"/>
        <s v="TX501004"/>
        <s v="TX501005"/>
        <s v="TX501006"/>
        <s v="TX501007"/>
        <s v="TX501008"/>
        <s v="TX501009"/>
        <s v="TX501010"/>
        <s v="TX501011"/>
        <s v="TX501012"/>
        <s v="TX501013"/>
        <s v="TX501014"/>
        <s v="TX501015"/>
        <s v="TX501016"/>
        <s v="TX501017"/>
        <s v="TX501018"/>
        <s v="TX501019"/>
        <s v="TX501020"/>
        <s v="TX501021"/>
        <s v="TX501022"/>
        <s v="TX501023"/>
        <s v="TX501024"/>
        <s v="TX501025"/>
        <s v="TX501026"/>
        <s v="TX501027"/>
        <s v="TX501028"/>
        <s v="TX501029"/>
        <s v="TX501030"/>
        <s v="TX501031"/>
        <s v="TX501032"/>
        <s v="TX501033"/>
        <s v="TX501034"/>
        <s v="TX501035"/>
        <s v="TX501036"/>
        <s v="TX501037"/>
        <s v="TX501038"/>
        <s v="TX501039"/>
        <s v="TX501040"/>
        <s v="TX501041"/>
        <s v="TX501042"/>
        <s v="TX501043"/>
        <s v="TX501044"/>
        <s v="TX501045"/>
        <s v="TX501046"/>
        <s v="TX501047"/>
        <s v="TX501048"/>
        <s v="TX501049"/>
        <s v="TX501050"/>
        <s v="TX501051"/>
        <s v="TX501052"/>
        <s v="TX501053"/>
        <s v="TX501054"/>
        <s v="TX501055"/>
        <s v="TX501056"/>
        <s v="TX501057"/>
        <s v="TX501058"/>
        <s v="TX501059"/>
        <s v="TX501060"/>
        <s v="TX501061"/>
        <s v="TX501062"/>
        <s v="TX501063"/>
        <s v="TX501064"/>
        <s v="TX501065"/>
        <s v="TX501066"/>
        <s v="TX501067"/>
        <s v="TX501068"/>
        <s v="TX501069"/>
        <s v="TX501070"/>
        <s v="TX501071"/>
        <s v="TX501072"/>
        <s v="TX501073"/>
        <s v="TX501074"/>
        <s v="TX501075"/>
        <s v="TX501076"/>
        <s v="TX501077"/>
        <s v="TX501078"/>
        <s v="TX501079"/>
        <s v="TX501080"/>
        <s v="TX501081"/>
        <s v="TX501082"/>
        <s v="TX501083"/>
        <s v="TX501084"/>
        <s v="TX501085"/>
        <s v="TX501086"/>
        <s v="TX501087"/>
        <s v="TX501088"/>
        <s v="TX501089"/>
        <s v="TX501090"/>
        <s v="TX501091"/>
        <s v="TX501092"/>
        <s v="TX501093"/>
        <s v="TX501094"/>
        <s v="TX501095"/>
        <s v="TX501096"/>
        <s v="TX501097"/>
        <s v="TX501098"/>
        <s v="TX501099"/>
        <s v="TX501100"/>
        <s v="TX501101"/>
        <s v="TX501102"/>
        <s v="TX501103"/>
        <s v="TX501104"/>
        <s v="TX501105"/>
        <s v="TX501106"/>
        <s v="TX501107"/>
        <s v="TX501108"/>
        <s v="TX501109"/>
        <s v="TX501110"/>
        <s v="TX501111"/>
        <s v="TX501112"/>
        <s v="TX501113"/>
        <s v="TX501114"/>
        <s v="TX501115"/>
        <s v="TX501116"/>
        <s v="TX501117"/>
        <s v="TX501118"/>
        <s v="TX501119"/>
        <s v="TX501120"/>
        <s v="TX501121"/>
        <s v="TX501122"/>
        <s v="TX501123"/>
        <s v="TX501124"/>
        <s v="TX501125"/>
        <s v="TX501126"/>
        <s v="TX501127"/>
        <s v="TX501128"/>
        <s v="TX501129"/>
        <s v="TX501130"/>
        <s v="TX501131"/>
        <s v="TX501132"/>
        <s v="TX501133"/>
        <s v="TX501134"/>
        <s v="TX501135"/>
        <s v="TX501136"/>
        <s v="TX501137"/>
        <s v="TX501138"/>
        <s v="TX501139"/>
        <s v="TX501140"/>
        <s v="TX501141"/>
        <s v="TX501142"/>
        <s v="TX501143"/>
        <s v="TX501144"/>
        <s v="TX501145"/>
        <s v="TX501146"/>
        <s v="TX501147"/>
        <s v="TX501148"/>
        <s v="TX501149"/>
        <s v="TX501150"/>
        <s v="TX501151"/>
        <s v="TX501152"/>
        <s v="TX501153"/>
        <s v="TX501154"/>
        <s v="TX501155"/>
        <s v="TX501156"/>
        <s v="TX501157"/>
        <s v="TX501158"/>
        <s v="TX501159"/>
        <s v="TX501160"/>
        <s v="TX501161"/>
        <s v="TX501162"/>
        <s v="TX501163"/>
        <s v="TX501164"/>
        <s v="TX501165"/>
        <s v="TX501166"/>
        <s v="TX501167"/>
        <s v="TX501168"/>
        <s v="TX501169"/>
        <s v="TX501170"/>
        <s v="TX501171"/>
        <s v="TX501172"/>
        <s v="TX501173"/>
        <s v="TX501174"/>
        <s v="TX501175"/>
        <s v="TX501176"/>
        <s v="TX501177"/>
        <s v="TX501178"/>
        <s v="TX501179"/>
        <s v="TX501180"/>
        <s v="TX501181"/>
        <s v="TX501182"/>
        <s v="TX501183"/>
        <s v="TX501184"/>
        <s v="TX501185"/>
        <s v="TX501186"/>
        <s v="TX501187"/>
        <s v="TX501188"/>
        <s v="TX501189"/>
        <s v="TX501190"/>
        <s v="TX501191"/>
        <s v="TX501192"/>
        <s v="TX501193"/>
        <s v="TX501194"/>
        <s v="TX501195"/>
        <s v="TX501196"/>
        <s v="TX501197"/>
        <s v="TX501198"/>
        <s v="TX501199"/>
        <s v="TX501200"/>
        <s v="TX501201"/>
        <s v="TX501202"/>
        <s v="TX501203"/>
        <s v="TX501204"/>
        <s v="TX501205"/>
        <s v="TX501206"/>
        <s v="TX501207"/>
        <s v="TX501208"/>
        <s v="TX501209"/>
        <s v="TX501210"/>
        <s v="TX501211"/>
        <s v="TX501212"/>
        <s v="TX501213"/>
        <s v="TX501214"/>
        <s v="TX501215"/>
        <s v="TX501216"/>
        <s v="TX501217"/>
        <s v="TX501218"/>
        <s v="TX501219"/>
        <s v="TX501220"/>
        <s v="TX501221"/>
        <s v="TX501222"/>
        <s v="TX501223"/>
        <s v="TX501224"/>
        <s v="TX501225"/>
        <s v="TX501226"/>
        <s v="TX501227"/>
        <s v="TX501228"/>
        <s v="TX501229"/>
        <s v="TX501230"/>
        <s v="TX501231"/>
        <s v="TX501232"/>
        <s v="TX501233"/>
        <s v="TX501234"/>
        <s v="TX501235"/>
        <s v="TX501236"/>
        <s v="TX501237"/>
        <s v="TX501238"/>
        <s v="TX501239"/>
        <s v="TX501240"/>
        <s v="TX501241"/>
        <s v="TX501242"/>
        <s v="TX501243"/>
        <s v="TX501244"/>
        <s v="TX501245"/>
        <s v="TX501246"/>
        <s v="TX501247"/>
        <s v="TX501248"/>
        <s v="TX501249"/>
        <s v="TX501250"/>
        <s v="TX501251"/>
        <s v="TX501252"/>
        <s v="TX501253"/>
        <s v="TX501254"/>
        <s v="TX501255"/>
        <s v="TX501256"/>
        <s v="TX501257"/>
        <s v="TX501258"/>
        <s v="TX501259"/>
        <s v="TX501260"/>
        <s v="TX501261"/>
        <s v="TX501262"/>
        <s v="TX501263"/>
        <s v="TX501264"/>
        <s v="TX501265"/>
        <s v="TX501266"/>
        <s v="TX501267"/>
        <s v="TX501268"/>
        <s v="TX501269"/>
        <s v="TX501270"/>
        <s v="TX501271"/>
        <s v="TX501272"/>
        <s v="TX501273"/>
        <s v="TX501274"/>
        <s v="TX501275"/>
        <s v="TX501276"/>
        <s v="TX501277"/>
        <s v="TX501278"/>
        <s v="TX501279"/>
        <s v="TX501280"/>
        <s v="TX501281"/>
        <s v="TX501282"/>
        <s v="TX501283"/>
        <s v="TX501284"/>
        <s v="TX501285"/>
        <s v="TX501286"/>
        <s v="TX501287"/>
        <s v="TX501288"/>
        <s v="TX501289"/>
        <s v="TX501290"/>
        <s v="TX501291"/>
        <s v="TX501292"/>
        <s v="TX501293"/>
        <s v="TX501294"/>
        <s v="TX501295"/>
        <s v="TX501296"/>
        <s v="TX501297"/>
        <s v="TX501298"/>
        <s v="TX501299"/>
        <s v="TX501300"/>
        <s v="TX501301"/>
        <s v="TX501302"/>
        <s v="TX501303"/>
        <s v="TX501304"/>
        <s v="TX501305"/>
        <s v="TX501306"/>
        <s v="TX501307"/>
        <s v="TX501308"/>
        <s v="TX501309"/>
        <s v="TX501310"/>
        <s v="TX501311"/>
        <s v="TX501312"/>
        <s v="TX501313"/>
        <s v="TX501314"/>
        <s v="TX501315"/>
        <s v="TX501316"/>
        <s v="TX501317"/>
        <s v="TX501318"/>
        <s v="TX501319"/>
        <s v="TX501320"/>
        <s v="TX501321"/>
        <s v="TX501322"/>
        <s v="TX501323"/>
        <s v="TX501324"/>
        <s v="TX501325"/>
        <s v="TX501326"/>
        <s v="TX501327"/>
        <s v="TX501328"/>
        <s v="TX501329"/>
        <s v="TX501330"/>
        <s v="TX501331"/>
        <s v="TX501332"/>
        <s v="TX501333"/>
        <s v="TX501334"/>
        <s v="TX501335"/>
        <s v="TX501336"/>
        <s v="TX501337"/>
        <s v="TX501338"/>
        <s v="TX501339"/>
        <s v="TX501340"/>
        <s v="TX501341"/>
        <s v="TX501342"/>
        <s v="TX501343"/>
        <s v="TX501344"/>
        <s v="TX501345"/>
        <s v="TX501346"/>
        <s v="TX501347"/>
        <s v="TX501348"/>
        <s v="TX501349"/>
        <s v="TX501350"/>
        <s v="TX501351"/>
        <s v="TX501352"/>
        <s v="TX501353"/>
        <s v="TX501354"/>
        <s v="TX501355"/>
        <s v="TX501356"/>
        <s v="TX501357"/>
        <s v="TX501358"/>
        <s v="TX501359"/>
        <s v="TX501360"/>
        <s v="TX501361"/>
        <s v="TX501362"/>
        <s v="TX501363"/>
        <s v="TX501364"/>
        <s v="TX501365"/>
        <s v="TX501366"/>
        <s v="TX501367"/>
        <s v="TX501368"/>
        <s v="TX501369"/>
        <s v="TX501370"/>
        <s v="TX501371"/>
        <s v="TX501372"/>
        <s v="TX501373"/>
        <s v="TX501374"/>
        <s v="TX501375"/>
        <s v="TX501376"/>
        <s v="TX501377"/>
        <s v="TX501378"/>
        <s v="TX501379"/>
        <s v="TX501380"/>
        <s v="TX501381"/>
        <s v="TX501382"/>
        <s v="TX501383"/>
        <s v="TX501384"/>
        <s v="TX501385"/>
        <s v="TX501386"/>
        <s v="TX501387"/>
        <s v="TX501388"/>
        <s v="TX501389"/>
        <s v="TX501390"/>
        <s v="TX501391"/>
        <s v="TX501392"/>
        <s v="TX501393"/>
        <s v="TX501394"/>
        <s v="TX501395"/>
        <s v="TX501396"/>
        <s v="TX501397"/>
        <s v="TX501398"/>
        <s v="TX501399"/>
        <s v="TX501400"/>
        <s v="TX501401"/>
        <s v="TX501402"/>
        <s v="TX501403"/>
        <s v="TX501404"/>
        <s v="TX501405"/>
        <s v="TX501406"/>
        <s v="TX501407"/>
        <s v="TX501408"/>
        <s v="TX501409"/>
        <s v="TX501410"/>
        <s v="TX501411"/>
        <s v="TX501412"/>
        <s v="TX501413"/>
        <s v="TX501414"/>
        <s v="TX501415"/>
        <s v="TX501416"/>
        <s v="TX501417"/>
        <s v="TX501418"/>
        <s v="TX501419"/>
        <s v="TX501420"/>
        <s v="TX501421"/>
        <s v="TX501422"/>
        <s v="TX501423"/>
        <s v="TX501424"/>
        <s v="TX501425"/>
        <s v="TX501426"/>
        <s v="TX501427"/>
        <s v="TX501428"/>
        <s v="TX501429"/>
        <s v="TX501430"/>
        <s v="TX501431"/>
        <s v="TX501432"/>
        <s v="TX501433"/>
        <s v="TX501434"/>
        <s v="TX501435"/>
        <s v="TX501436"/>
        <s v="TX501437"/>
        <s v="TX501438"/>
        <s v="TX501439"/>
        <s v="TX501440"/>
        <s v="TX501441"/>
        <s v="TX501442"/>
        <s v="TX501443"/>
        <s v="TX501444"/>
        <s v="TX501445"/>
        <s v="TX501446"/>
        <s v="TX501447"/>
        <s v="TX501448"/>
        <s v="TX501449"/>
        <s v="TX501450"/>
        <s v="TX501451"/>
        <s v="TX501452"/>
        <s v="TX501453"/>
        <s v="TX501454"/>
        <s v="TX501455"/>
        <s v="TX501456"/>
        <s v="TX501457"/>
        <s v="TX501458"/>
        <s v="TX501459"/>
        <s v="TX501460"/>
        <s v="TX501461"/>
        <s v="TX501462"/>
        <s v="TX501463"/>
        <s v="TX501464"/>
        <s v="TX501465"/>
        <s v="TX501466"/>
        <s v="TX501467"/>
        <s v="TX501468"/>
        <s v="TX501469"/>
        <s v="TX501470"/>
        <s v="TX501471"/>
        <s v="TX501472"/>
        <s v="TX501473"/>
        <s v="TX501474"/>
        <s v="TX501475"/>
        <s v="TX501476"/>
        <s v="TX501477"/>
        <s v="TX501478"/>
        <s v="TX501479"/>
        <s v="TX501480"/>
        <s v="TX501481"/>
        <s v="TX501482"/>
        <s v="TX501483"/>
        <s v="TX501484"/>
        <s v="TX501485"/>
        <s v="TX501486"/>
        <s v="TX501487"/>
        <s v="TX501488"/>
        <s v="TX501489"/>
        <s v="TX501490"/>
        <s v="TX501491"/>
        <s v="TX501492"/>
        <s v="TX501493"/>
        <s v="TX501494"/>
        <s v="TX501495"/>
        <s v="TX501496"/>
        <s v="TX501497"/>
        <s v="TX501498"/>
        <s v="TX501499"/>
        <s v="TX501500"/>
        <s v="TX501501"/>
        <s v="TX501502"/>
        <s v="TX501503"/>
        <s v="TX501504"/>
        <s v="TX501505"/>
        <s v="TX501506"/>
        <s v="TX501507"/>
        <s v="TX501508"/>
        <s v="TX501509"/>
        <s v="TX501510"/>
        <s v="TX501511"/>
        <s v="TX501512"/>
        <s v="TX501513"/>
        <s v="TX501514"/>
        <s v="TX501515"/>
        <s v="TX501516"/>
        <s v="TX501517"/>
        <s v="TX501518"/>
        <s v="TX501519"/>
        <s v="TX501520"/>
        <s v="TX501521"/>
        <s v="TX501522"/>
        <s v="TX501523"/>
        <s v="TX501524"/>
        <s v="TX501525"/>
        <s v="TX501526"/>
        <s v="TX501527"/>
        <s v="TX501528"/>
        <s v="TX501529"/>
        <s v="TX501530"/>
        <s v="TX501531"/>
        <s v="TX501532"/>
        <s v="TX501533"/>
        <s v="TX501534"/>
        <s v="TX501535"/>
        <s v="TX501536"/>
        <s v="TX501537"/>
        <s v="TX501538"/>
        <s v="TX501539"/>
        <s v="TX501540"/>
        <s v="TX501541"/>
        <s v="TX501542"/>
        <s v="TX501543"/>
        <s v="TX501544"/>
        <s v="TX501545"/>
        <s v="TX501546"/>
        <s v="TX501547"/>
        <s v="TX501548"/>
        <s v="TX501549"/>
        <s v="TX501550"/>
        <s v="TX501551"/>
        <s v="TX501552"/>
        <s v="TX501553"/>
        <s v="TX501554"/>
        <s v="TX501555"/>
        <s v="TX501556"/>
        <s v="TX501557"/>
        <s v="TX501558"/>
        <s v="TX501559"/>
        <s v="TX501560"/>
        <s v="TX501561"/>
        <s v="TX501562"/>
        <s v="TX501563"/>
        <s v="TX501564"/>
        <s v="TX501565"/>
        <s v="TX501566"/>
        <s v="TX501567"/>
        <s v="TX501568"/>
        <s v="TX501569"/>
        <s v="TX501570"/>
        <s v="TX501571"/>
        <s v="TX501572"/>
        <s v="TX501573"/>
        <s v="TX501574"/>
        <s v="TX501575"/>
        <s v="TX501576"/>
        <s v="TX501577"/>
        <s v="TX501578"/>
        <s v="TX501579"/>
        <s v="TX501580"/>
        <s v="TX501581"/>
        <s v="TX501582"/>
        <s v="TX501583"/>
        <s v="TX501584"/>
        <s v="TX501585"/>
        <s v="TX501586"/>
        <s v="TX501587"/>
        <s v="TX501588"/>
        <s v="TX501589"/>
        <s v="TX501590"/>
        <s v="TX501591"/>
        <s v="TX501592"/>
        <s v="TX501593"/>
        <s v="TX501594"/>
        <s v="TX501595"/>
        <s v="TX501596"/>
        <s v="TX501597"/>
        <s v="TX501598"/>
        <s v="TX501599"/>
        <s v="TX501600"/>
        <s v="TX501601"/>
        <s v="TX501602"/>
        <s v="TX501603"/>
        <s v="TX501604"/>
        <s v="TX501605"/>
        <s v="TX501606"/>
        <s v="TX501607"/>
        <s v="TX501608"/>
        <s v="TX501609"/>
        <s v="TX501610"/>
        <s v="TX501611"/>
        <s v="TX501612"/>
        <s v="TX501613"/>
        <s v="TX501614"/>
        <s v="TX501615"/>
        <s v="TX501616"/>
        <s v="TX501617"/>
        <s v="TX501618"/>
        <s v="TX501619"/>
        <s v="TX501620"/>
        <s v="TX501621"/>
        <s v="TX501622"/>
        <s v="TX501623"/>
        <s v="TX501624"/>
        <s v="TX501625"/>
        <s v="TX501626"/>
        <s v="TX501627"/>
        <s v="TX501628"/>
        <s v="TX501629"/>
        <s v="TX501630"/>
        <s v="TX501631"/>
        <s v="TX501632"/>
        <s v="TX501633"/>
        <s v="TX501634"/>
        <s v="TX501635"/>
        <s v="TX501636"/>
        <s v="TX501637"/>
        <s v="TX501638"/>
        <s v="TX501639"/>
        <s v="TX501640"/>
        <s v="TX501641"/>
        <s v="TX501642"/>
        <s v="TX501643"/>
        <s v="TX501644"/>
        <s v="TX501645"/>
        <s v="TX501646"/>
        <s v="TX501647"/>
        <s v="TX501648"/>
        <s v="TX501649"/>
        <s v="TX501650"/>
        <s v="TX501651"/>
        <s v="TX501652"/>
        <s v="TX501653"/>
        <s v="TX501654"/>
        <s v="TX501655"/>
        <s v="TX501656"/>
        <s v="TX501657"/>
        <s v="TX501658"/>
        <s v="TX501659"/>
        <s v="TX501660"/>
        <s v="TX501661"/>
        <s v="TX501662"/>
        <s v="TX501663"/>
        <s v="TX501664"/>
        <s v="TX501665"/>
        <s v="TX501666"/>
        <s v="TX501667"/>
        <s v="TX501668"/>
        <s v="TX501669"/>
        <s v="TX501670"/>
        <s v="TX501671"/>
        <s v="TX501672"/>
        <s v="TX501673"/>
        <s v="TX501674"/>
        <s v="TX501675"/>
        <s v="TX501676"/>
        <s v="TX501677"/>
        <s v="TX501678"/>
        <s v="TX501679"/>
        <s v="TX501680"/>
        <s v="TX501681"/>
        <s v="TX501682"/>
        <s v="TX501683"/>
        <s v="TX501684"/>
        <s v="TX501685"/>
        <s v="TX501686"/>
        <s v="TX501687"/>
        <s v="TX501688"/>
        <s v="TX501689"/>
        <s v="TX501690"/>
        <s v="TX501691"/>
        <s v="TX501692"/>
        <s v="TX501693"/>
        <s v="TX501694"/>
        <s v="TX501695"/>
        <s v="TX501696"/>
        <s v="TX501697"/>
        <s v="TX501698"/>
        <s v="TX501699"/>
        <s v="TX501700"/>
        <s v="TX501701"/>
        <s v="TX501702"/>
        <s v="TX501703"/>
        <s v="TX501704"/>
        <s v="TX501705"/>
        <s v="TX501706"/>
        <s v="TX501707"/>
        <s v="TX501708"/>
        <s v="TX501709"/>
        <s v="TX501710"/>
        <s v="TX501711"/>
        <s v="TX501712"/>
        <s v="TX501713"/>
        <s v="TX501714"/>
        <s v="TX501715"/>
        <s v="TX501716"/>
        <s v="TX501717"/>
        <s v="TX501718"/>
        <s v="TX501719"/>
        <s v="TX501720"/>
        <s v="TX501721"/>
        <s v="TX501722"/>
        <s v="TX501723"/>
        <s v="TX501724"/>
        <s v="TX501725"/>
        <s v="TX501726"/>
        <s v="TX501727"/>
        <s v="TX501728"/>
        <s v="TX501729"/>
        <s v="TX501730"/>
        <s v="TX501731"/>
        <s v="TX501732"/>
        <s v="TX501733"/>
        <s v="TX501734"/>
        <s v="TX501735"/>
        <s v="TX501736"/>
        <s v="TX501737"/>
        <s v="TX501738"/>
        <s v="TX501739"/>
        <s v="TX501740"/>
        <s v="TX501741"/>
        <s v="TX501742"/>
        <s v="TX501743"/>
        <s v="TX501744"/>
        <s v="TX501745"/>
        <s v="TX501746"/>
        <s v="TX501747"/>
        <s v="TX501748"/>
        <s v="TX501749"/>
        <s v="TX501750"/>
        <s v="TX501751"/>
        <s v="TX501752"/>
        <s v="TX501753"/>
        <s v="TX501754"/>
        <s v="TX501755"/>
        <s v="TX501756"/>
        <s v="TX501757"/>
        <s v="TX501758"/>
        <s v="TX501759"/>
        <s v="TX501760"/>
        <s v="TX501761"/>
        <s v="TX501762"/>
        <s v="TX501763"/>
        <s v="TX501764"/>
        <s v="TX501765"/>
        <s v="TX501766"/>
        <s v="TX501767"/>
        <s v="TX501768"/>
        <s v="TX501769"/>
        <s v="TX501770"/>
        <s v="TX501771"/>
        <s v="TX501772"/>
        <s v="TX501773"/>
        <s v="TX501774"/>
        <s v="TX501775"/>
        <s v="TX501776"/>
        <s v="TX501777"/>
        <s v="TX501778"/>
        <s v="TX501779"/>
        <s v="TX501780"/>
        <s v="TX501781"/>
        <s v="TX501782"/>
        <s v="TX501783"/>
        <s v="TX501784"/>
        <s v="TX501785"/>
        <s v="TX501786"/>
        <s v="TX501787"/>
        <s v="TX501788"/>
        <s v="TX501789"/>
        <s v="TX501790"/>
        <s v="TX501791"/>
        <s v="TX501792"/>
        <s v="TX501793"/>
        <s v="TX501794"/>
        <s v="TX501795"/>
        <s v="TX501796"/>
        <s v="TX501797"/>
        <s v="TX501798"/>
        <s v="TX501799"/>
        <s v="TX501800"/>
        <s v="TX501801"/>
        <s v="TX501802"/>
        <s v="TX501803"/>
        <s v="TX501804"/>
        <s v="TX501805"/>
        <s v="TX501806"/>
        <s v="TX501807"/>
        <s v="TX501808"/>
        <s v="TX501809"/>
        <s v="TX501810"/>
        <s v="TX501811"/>
        <s v="TX501812"/>
        <s v="TX501813"/>
        <s v="TX501814"/>
        <s v="TX501815"/>
        <s v="TX501816"/>
        <s v="TX501817"/>
        <s v="TX501818"/>
        <s v="TX501819"/>
        <s v="TX501820"/>
        <s v="TX501821"/>
        <s v="TX501822"/>
        <s v="TX501823"/>
        <s v="TX501824"/>
        <s v="TX501825"/>
        <s v="TX501826"/>
        <s v="TX501827"/>
        <s v="TX501828"/>
        <s v="TX501829"/>
        <s v="TX501830"/>
        <s v="TX501831"/>
        <s v="TX501832"/>
        <s v="TX501833"/>
        <s v="TX501834"/>
        <s v="TX501835"/>
        <s v="TX501836"/>
        <s v="TX501837"/>
        <s v="TX501838"/>
        <s v="TX501839"/>
        <s v="TX501840"/>
        <s v="TX501841"/>
        <s v="TX501842"/>
        <s v="TX501843"/>
        <s v="TX501844"/>
        <s v="TX501845"/>
        <s v="TX501846"/>
        <s v="TX501847"/>
        <s v="TX501848"/>
        <s v="TX501849"/>
        <s v="TX501850"/>
        <s v="TX501851"/>
        <s v="TX501852"/>
        <s v="TX501853"/>
        <s v="TX501854"/>
        <s v="TX501855"/>
        <s v="TX501856"/>
        <s v="TX501857"/>
        <s v="TX501858"/>
        <s v="TX501859"/>
        <s v="TX501860"/>
        <s v="TX501861"/>
        <s v="TX501862"/>
        <s v="TX501863"/>
        <s v="TX501864"/>
        <s v="TX501865"/>
        <s v="TX501866"/>
        <s v="TX501867"/>
        <s v="TX501868"/>
        <s v="TX501869"/>
        <s v="TX501870"/>
        <s v="TX501871"/>
        <s v="TX501872"/>
        <s v="TX501873"/>
        <s v="TX501874"/>
        <s v="TX501875"/>
        <s v="TX501876"/>
        <s v="TX501877"/>
        <s v="TX501878"/>
        <s v="TX501879"/>
        <s v="TX501880"/>
        <s v="TX501881"/>
        <s v="TX501882"/>
        <s v="TX501883"/>
        <s v="TX501884"/>
        <s v="TX501885"/>
        <s v="TX501886"/>
        <s v="TX501887"/>
        <s v="TX501888"/>
        <s v="TX501889"/>
        <s v="TX501890"/>
        <s v="TX501891"/>
        <s v="TX501892"/>
        <s v="TX501893"/>
        <s v="TX501894"/>
        <s v="TX501895"/>
        <s v="TX501896"/>
        <s v="TX501897"/>
        <s v="TX501898"/>
        <s v="TX501899"/>
        <s v="TX501900"/>
        <s v="TX501901"/>
        <s v="TX501902"/>
        <s v="TX501903"/>
        <s v="TX501904"/>
        <s v="TX501905"/>
        <s v="TX501906"/>
        <s v="TX501907"/>
        <s v="TX501908"/>
        <s v="TX501909"/>
        <s v="TX501910"/>
        <s v="TX501911"/>
        <s v="TX501912"/>
        <s v="TX501913"/>
        <s v="TX501914"/>
        <s v="TX501915"/>
        <s v="TX501916"/>
        <s v="TX501917"/>
        <s v="TX501918"/>
        <s v="TX501919"/>
        <s v="TX501920"/>
        <s v="TX501921"/>
        <s v="TX501922"/>
        <s v="TX501923"/>
        <s v="TX501924"/>
        <s v="TX501925"/>
        <s v="TX501926"/>
        <s v="TX501927"/>
        <s v="TX501928"/>
        <s v="TX501929"/>
        <s v="TX501930"/>
        <s v="TX501931"/>
        <s v="TX501932"/>
        <s v="TX501933"/>
        <s v="TX501934"/>
        <s v="TX501935"/>
        <s v="TX501936"/>
        <s v="TX501937"/>
        <s v="TX501938"/>
        <s v="TX501939"/>
        <s v="TX501940"/>
        <s v="TX501941"/>
        <s v="TX501942"/>
        <s v="TX501943"/>
        <s v="TX501944"/>
        <s v="TX501945"/>
        <s v="TX501946"/>
        <s v="TX501947"/>
        <s v="TX501948"/>
        <s v="TX501949"/>
        <s v="TX501950"/>
        <s v="TX501951"/>
        <s v="TX501952"/>
        <s v="TX501953"/>
        <s v="TX501954"/>
        <s v="TX501955"/>
        <s v="TX501956"/>
        <s v="TX501957"/>
        <s v="TX501958"/>
        <s v="TX501959"/>
        <s v="TX501960"/>
        <s v="TX501961"/>
        <s v="TX501962"/>
        <s v="TX501963"/>
        <s v="TX501964"/>
        <s v="TX501965"/>
        <s v="TX501966"/>
        <s v="TX501967"/>
        <s v="TX501968"/>
        <s v="TX501969"/>
        <s v="TX501970"/>
        <s v="TX501971"/>
        <s v="TX501972"/>
        <s v="TX501973"/>
        <s v="TX501974"/>
        <s v="TX501975"/>
        <s v="TX501976"/>
        <s v="TX501977"/>
        <s v="TX501978"/>
        <s v="TX501979"/>
        <s v="TX501980"/>
        <s v="TX501981"/>
        <s v="TX501982"/>
        <s v="TX501983"/>
        <s v="TX501984"/>
        <s v="TX501985"/>
        <s v="TX501986"/>
        <s v="TX501987"/>
        <s v="TX501988"/>
        <s v="TX501989"/>
        <s v="TX501990"/>
        <s v="TX501991"/>
        <s v="TX501992"/>
        <s v="TX501993"/>
        <s v="TX501994"/>
        <s v="TX501995"/>
        <s v="TX501996"/>
        <s v="TX501997"/>
        <s v="TX501998"/>
        <s v="TX501999"/>
        <s v="TX502000"/>
        <s v="TX502001"/>
        <s v="TX502002"/>
        <s v="TX502003"/>
        <s v="TX502004"/>
        <s v="TX502005"/>
        <s v="TX502006"/>
        <s v="TX502007"/>
        <s v="TX502008"/>
        <s v="TX502009"/>
        <s v="TX502010"/>
        <s v="TX502011"/>
        <s v="TX502012"/>
        <s v="TX502013"/>
        <s v="TX502014"/>
        <s v="TX502015"/>
        <s v="TX502016"/>
        <s v="TX502017"/>
        <s v="TX502018"/>
        <s v="TX502019"/>
        <s v="TX502020"/>
        <s v="TX502021"/>
        <s v="TX502022"/>
        <s v="TX502023"/>
        <s v="TX502024"/>
        <s v="TX502025"/>
        <s v="TX502026"/>
        <s v="TX502027"/>
        <s v="TX502028"/>
        <s v="TX502029"/>
        <s v="TX502030"/>
        <s v="TX502031"/>
        <s v="TX502032"/>
        <s v="TX502033"/>
        <s v="TX502034"/>
        <s v="TX502035"/>
        <s v="TX502036"/>
        <s v="TX502037"/>
        <s v="TX502038"/>
        <s v="TX502039"/>
        <s v="TX502040"/>
        <s v="TX502041"/>
        <s v="TX502042"/>
        <s v="TX502043"/>
        <s v="TX502044"/>
        <s v="TX502045"/>
        <s v="TX502046"/>
        <s v="TX502047"/>
        <s v="TX502048"/>
        <s v="TX502049"/>
        <s v="TX502050"/>
        <s v="TX502051"/>
        <s v="TX502052"/>
        <s v="TX502053"/>
        <s v="TX502054"/>
        <s v="TX502055"/>
        <s v="TX502056"/>
        <s v="TX502057"/>
        <s v="TX502058"/>
        <s v="TX502059"/>
        <s v="TX502060"/>
        <s v="TX502061"/>
        <s v="TX502062"/>
        <s v="TX502063"/>
        <s v="TX502064"/>
        <s v="TX502065"/>
        <s v="TX502066"/>
        <s v="TX502067"/>
        <s v="TX502068"/>
        <s v="TX502069"/>
        <s v="TX502070"/>
        <s v="TX502071"/>
        <s v="TX502072"/>
        <s v="TX502073"/>
        <s v="TX502074"/>
        <s v="TX502075"/>
        <s v="TX502076"/>
        <s v="TX502077"/>
        <s v="TX502078"/>
        <s v="TX502079"/>
        <s v="TX502080"/>
        <s v="TX502081"/>
        <s v="TX502082"/>
        <s v="TX502083"/>
        <s v="TX502084"/>
        <s v="TX502085"/>
        <s v="TX502086"/>
        <s v="TX502087"/>
        <s v="TX502088"/>
        <s v="TX502089"/>
        <s v="TX502090"/>
        <s v="TX502091"/>
        <s v="TX502092"/>
        <s v="TX502093"/>
        <s v="TX502094"/>
        <s v="TX502095"/>
        <s v="TX502096"/>
        <s v="TX502097"/>
        <s v="TX502098"/>
        <s v="TX502099"/>
        <s v="TX502100"/>
        <s v="TX502101"/>
        <s v="TX502102"/>
        <s v="TX502103"/>
        <s v="TX502104"/>
        <s v="TX502105"/>
        <s v="TX502106"/>
        <s v="TX502107"/>
        <s v="TX502108"/>
        <s v="TX502109"/>
        <s v="TX502110"/>
        <s v="TX502111"/>
        <s v="TX502112"/>
        <s v="TX502113"/>
        <s v="TX502114"/>
        <s v="TX502115"/>
        <s v="TX502116"/>
        <s v="TX502117"/>
        <s v="TX502118"/>
        <s v="TX502119"/>
        <s v="TX502120"/>
        <s v="TX502121"/>
        <s v="TX502122"/>
        <s v="TX502123"/>
        <s v="TX502124"/>
        <s v="TX502125"/>
        <s v="TX502126"/>
        <s v="TX502127"/>
        <s v="TX502128"/>
        <s v="TX502129"/>
        <s v="TX502130"/>
        <s v="TX502131"/>
        <s v="TX502132"/>
        <s v="TX502133"/>
        <s v="TX502134"/>
        <s v="TX502135"/>
        <s v="TX502136"/>
        <s v="TX502137"/>
        <s v="TX502138"/>
        <s v="TX502139"/>
        <s v="TX502140"/>
        <s v="TX502141"/>
        <s v="TX502142"/>
        <s v="TX502143"/>
        <s v="TX502144"/>
        <s v="TX502145"/>
        <s v="TX502146"/>
        <s v="TX502147"/>
        <s v="TX502148"/>
        <s v="TX502149"/>
        <s v="TX502150"/>
        <s v="TX502151"/>
        <s v="TX502152"/>
        <s v="TX502153"/>
        <s v="TX502154"/>
        <s v="TX502155"/>
        <s v="TX502156"/>
        <s v="TX502157"/>
        <s v="TX502158"/>
        <s v="TX502159"/>
        <s v="TX502160"/>
        <s v="TX502161"/>
        <s v="TX502162"/>
        <s v="TX502163"/>
        <s v="TX502164"/>
        <s v="TX502165"/>
        <s v="TX502166"/>
        <s v="TX502167"/>
        <s v="TX502168"/>
        <s v="TX502169"/>
        <s v="TX502170"/>
        <s v="TX502171"/>
        <s v="TX502172"/>
        <s v="TX502173"/>
        <s v="TX502174"/>
        <s v="TX502175"/>
        <s v="TX502176"/>
        <s v="TX502177"/>
        <s v="TX502178"/>
        <s v="TX502179"/>
        <s v="TX502180"/>
        <s v="TX502181"/>
        <s v="TX502182"/>
        <s v="TX502183"/>
        <s v="TX502184"/>
        <s v="TX502185"/>
        <s v="TX502186"/>
        <s v="TX502187"/>
        <s v="TX502188"/>
        <s v="TX502189"/>
        <s v="TX502190"/>
        <s v="TX502191"/>
        <s v="TX502192"/>
        <s v="TX502193"/>
        <s v="TX502194"/>
        <s v="TX502195"/>
        <s v="TX502196"/>
        <s v="TX502197"/>
        <s v="TX502198"/>
        <s v="TX502199"/>
        <s v="TX502200"/>
        <s v="TX502201"/>
        <s v="TX502202"/>
        <s v="TX502203"/>
        <s v="TX502204"/>
        <s v="TX502205"/>
        <s v="TX502206"/>
        <s v="TX502207"/>
        <s v="TX502208"/>
        <s v="TX502209"/>
        <s v="TX502210"/>
        <s v="TX502211"/>
        <s v="TX502212"/>
        <s v="TX502213"/>
        <s v="TX502214"/>
        <s v="TX502215"/>
        <s v="TX502216"/>
        <s v="TX502217"/>
        <s v="TX502218"/>
        <s v="TX502219"/>
        <s v="TX502220"/>
        <s v="TX502221"/>
        <s v="TX502222"/>
        <s v="TX502223"/>
        <s v="TX502224"/>
        <s v="TX502225"/>
        <s v="TX502226"/>
        <s v="TX502227"/>
        <s v="TX502228"/>
        <s v="TX502229"/>
        <s v="TX502230"/>
        <s v="TX502231"/>
        <s v="TX502232"/>
        <s v="TX502233"/>
        <s v="TX502234"/>
        <s v="TX502235"/>
        <s v="TX502236"/>
        <s v="TX502237"/>
        <s v="TX502238"/>
        <s v="TX502239"/>
        <s v="TX502240"/>
        <s v="TX502241"/>
        <s v="TX502242"/>
        <s v="TX502243"/>
        <s v="TX502244"/>
        <s v="TX502245"/>
        <s v="TX502246"/>
        <s v="TX502247"/>
        <s v="TX502248"/>
        <s v="TX502249"/>
        <s v="TX502250"/>
        <s v="TX502251"/>
        <s v="TX502252"/>
        <s v="TX502253"/>
        <s v="TX502254"/>
        <s v="TX502255"/>
        <s v="TX502256"/>
        <s v="TX502257"/>
        <s v="TX502258"/>
        <s v="TX502259"/>
        <s v="TX502260"/>
        <s v="TX502261"/>
        <s v="TX502262"/>
        <s v="TX502263"/>
        <s v="TX502264"/>
        <s v="TX502265"/>
        <s v="TX502266"/>
        <s v="TX502267"/>
        <s v="TX502268"/>
        <s v="TX502269"/>
        <s v="TX502270"/>
        <s v="TX502271"/>
        <s v="TX502272"/>
        <s v="TX502273"/>
        <s v="TX502274"/>
        <s v="TX502275"/>
        <s v="TX502276"/>
        <s v="TX502277"/>
        <s v="TX502278"/>
        <s v="TX502279"/>
        <s v="TX502280"/>
        <s v="TX502281"/>
        <s v="TX502282"/>
        <s v="TX502283"/>
        <s v="TX502284"/>
        <s v="TX502285"/>
        <s v="TX502286"/>
        <s v="TX502287"/>
        <s v="TX502288"/>
        <s v="TX502289"/>
        <s v="TX502290"/>
        <s v="TX502291"/>
        <s v="TX502292"/>
        <s v="TX502293"/>
        <s v="TX502294"/>
        <s v="TX502295"/>
        <s v="TX502296"/>
        <s v="TX502297"/>
        <s v="TX502298"/>
        <s v="TX502299"/>
        <s v="TX502300"/>
        <s v="TX502301"/>
        <s v="TX502302"/>
        <s v="TX502303"/>
        <s v="TX502304"/>
        <s v="TX502305"/>
        <s v="TX502306"/>
        <s v="TX502307"/>
        <s v="TX502308"/>
        <s v="TX502309"/>
        <s v="TX502310"/>
        <s v="TX502311"/>
        <s v="TX502312"/>
        <s v="TX502313"/>
        <s v="TX502314"/>
        <s v="TX502315"/>
        <s v="TX502316"/>
        <s v="TX502317"/>
        <s v="TX502318"/>
        <s v="TX502319"/>
        <s v="TX502320"/>
        <s v="TX502321"/>
        <s v="TX502322"/>
        <s v="TX502323"/>
        <s v="TX502324"/>
        <s v="TX502325"/>
        <s v="TX502326"/>
        <s v="TX502327"/>
        <s v="TX502328"/>
        <s v="TX502329"/>
        <s v="TX502330"/>
        <s v="TX502331"/>
        <s v="TX502332"/>
        <s v="TX502333"/>
        <s v="TX502334"/>
        <s v="TX502335"/>
        <s v="TX502336"/>
        <s v="TX502337"/>
        <s v="TX502338"/>
        <s v="TX502339"/>
        <s v="TX502340"/>
        <s v="TX502341"/>
        <s v="TX502342"/>
        <s v="TX502343"/>
        <s v="TX502344"/>
        <s v="TX502345"/>
        <s v="TX502346"/>
        <s v="TX502347"/>
        <s v="TX502348"/>
        <s v="TX502349"/>
        <s v="TX502350"/>
        <s v="TX502351"/>
        <s v="TX502352"/>
        <s v="TX502353"/>
        <s v="TX502354"/>
        <s v="TX502355"/>
        <s v="TX502356"/>
        <s v="TX502357"/>
        <s v="TX502358"/>
        <s v="TX502359"/>
        <s v="TX502360"/>
        <s v="TX502361"/>
        <s v="TX502362"/>
        <s v="TX502363"/>
        <s v="TX502364"/>
        <s v="TX502365"/>
        <s v="TX502366"/>
        <s v="TX502367"/>
        <s v="TX502368"/>
        <s v="TX502369"/>
        <s v="TX502370"/>
        <s v="TX502371"/>
        <s v="TX502372"/>
        <s v="TX502373"/>
        <s v="TX502374"/>
        <s v="TX502375"/>
        <s v="TX502376"/>
        <s v="TX502377"/>
        <s v="TX502378"/>
        <s v="TX502379"/>
        <s v="TX502380"/>
        <s v="TX502381"/>
        <s v="TX502382"/>
        <s v="TX502383"/>
        <s v="TX502384"/>
        <s v="TX502385"/>
        <s v="TX502386"/>
        <s v="TX502387"/>
        <s v="TX502388"/>
        <s v="TX502389"/>
        <s v="TX502390"/>
        <s v="TX502391"/>
        <s v="TX502392"/>
        <s v="TX502393"/>
        <s v="TX502394"/>
        <s v="TX502395"/>
        <s v="TX502396"/>
        <s v="TX502397"/>
        <s v="TX502398"/>
        <s v="TX502399"/>
        <s v="TX50240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cacheField>
    <cacheField name="Ship Date" numFmtId="15">
      <sharedItems containsSemiMixedTypes="0" containsNonDate="0" containsDate="1" containsString="0" minDate="2025-01-02T00:00:00" maxDate="2025-04-11T00:00:00"/>
    </cacheField>
    <cacheField name="Customer Gender" numFmtId="0">
      <sharedItems count="4">
        <s v=""/>
        <s v="M"/>
        <s v="F"/>
        <s v="O"/>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s>
  <extLst>
    <ext xmlns:x14="http://schemas.microsoft.com/office/spreadsheetml/2009/9/main" uri="{725AE2AE-9491-48be-B2B4-4EB974FC3084}">
      <x14:pivotCacheDefinition pivotCacheId="1522714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x v="0"/>
    <x v="0"/>
    <x v="0"/>
    <n v="10.9"/>
    <n v="10.9"/>
    <x v="0"/>
    <d v="2025-01-06T00:00:00"/>
    <x v="0"/>
    <x v="0"/>
    <n v="4"/>
    <x v="0"/>
    <x v="0"/>
    <x v="0"/>
    <x v="0"/>
    <x v="0"/>
  </r>
  <r>
    <x v="1"/>
    <x v="1"/>
    <x v="1"/>
    <n v="30.6"/>
    <n v="61.2"/>
    <x v="0"/>
    <d v="2025-01-03T00:00:00"/>
    <x v="1"/>
    <x v="0"/>
    <n v="4"/>
    <x v="0"/>
    <x v="1"/>
    <x v="1"/>
    <x v="0"/>
    <x v="1"/>
  </r>
  <r>
    <x v="2"/>
    <x v="2"/>
    <x v="2"/>
    <n v="109.4"/>
    <n v="328.20000000000005"/>
    <x v="0"/>
    <d v="2025-01-04T00:00:00"/>
    <x v="2"/>
    <x v="0"/>
    <n v="3"/>
    <x v="0"/>
    <x v="2"/>
    <x v="2"/>
    <x v="0"/>
    <x v="2"/>
  </r>
  <r>
    <x v="3"/>
    <x v="3"/>
    <x v="3"/>
    <n v="37.700000000000003"/>
    <n v="263.90000000000003"/>
    <x v="0"/>
    <d v="2025-01-02T00:00:00"/>
    <x v="2"/>
    <x v="0"/>
    <n v="4"/>
    <x v="0"/>
    <x v="2"/>
    <x v="3"/>
    <x v="0"/>
    <x v="2"/>
  </r>
  <r>
    <x v="4"/>
    <x v="4"/>
    <x v="2"/>
    <n v="56.7"/>
    <n v="170.10000000000002"/>
    <x v="0"/>
    <d v="2025-01-04T00:00:00"/>
    <x v="2"/>
    <x v="0"/>
    <n v="5"/>
    <x v="0"/>
    <x v="3"/>
    <x v="2"/>
    <x v="0"/>
    <x v="2"/>
  </r>
  <r>
    <x v="5"/>
    <x v="1"/>
    <x v="4"/>
    <n v="83.5"/>
    <n v="1002"/>
    <x v="0"/>
    <d v="2025-01-04T00:00:00"/>
    <x v="1"/>
    <x v="1"/>
    <n v="4"/>
    <x v="0"/>
    <x v="3"/>
    <x v="2"/>
    <x v="0"/>
    <x v="1"/>
  </r>
  <r>
    <x v="6"/>
    <x v="5"/>
    <x v="0"/>
    <n v="55.3"/>
    <n v="55.3"/>
    <x v="0"/>
    <d v="2025-01-02T00:00:00"/>
    <x v="2"/>
    <x v="0"/>
    <n v="4"/>
    <x v="0"/>
    <x v="3"/>
    <x v="3"/>
    <x v="0"/>
    <x v="2"/>
  </r>
  <r>
    <x v="7"/>
    <x v="6"/>
    <x v="1"/>
    <n v="40.299999999999997"/>
    <n v="80.599999999999994"/>
    <x v="0"/>
    <d v="2025-01-02T00:00:00"/>
    <x v="1"/>
    <x v="2"/>
    <n v="5"/>
    <x v="0"/>
    <x v="3"/>
    <x v="3"/>
    <x v="0"/>
    <x v="1"/>
  </r>
  <r>
    <x v="8"/>
    <x v="7"/>
    <x v="5"/>
    <n v="35.700000000000003"/>
    <n v="392.70000000000005"/>
    <x v="0"/>
    <d v="2025-01-02T00:00:00"/>
    <x v="2"/>
    <x v="0"/>
    <n v="4"/>
    <x v="0"/>
    <x v="3"/>
    <x v="3"/>
    <x v="0"/>
    <x v="2"/>
  </r>
  <r>
    <x v="9"/>
    <x v="8"/>
    <x v="3"/>
    <n v="22.4"/>
    <n v="156.79999999999998"/>
    <x v="0"/>
    <d v="2025-01-04T00:00:00"/>
    <x v="1"/>
    <x v="0"/>
    <n v="3"/>
    <x v="0"/>
    <x v="3"/>
    <x v="2"/>
    <x v="0"/>
    <x v="1"/>
  </r>
  <r>
    <x v="10"/>
    <x v="9"/>
    <x v="1"/>
    <n v="54.4"/>
    <n v="108.8"/>
    <x v="0"/>
    <d v="2025-01-07T00:00:00"/>
    <x v="2"/>
    <x v="0"/>
    <n v="4"/>
    <x v="0"/>
    <x v="3"/>
    <x v="4"/>
    <x v="0"/>
    <x v="2"/>
  </r>
  <r>
    <x v="11"/>
    <x v="9"/>
    <x v="1"/>
    <n v="49"/>
    <n v="98"/>
    <x v="0"/>
    <d v="2025-01-03T00:00:00"/>
    <x v="2"/>
    <x v="2"/>
    <n v="3"/>
    <x v="0"/>
    <x v="3"/>
    <x v="1"/>
    <x v="0"/>
    <x v="2"/>
  </r>
  <r>
    <x v="12"/>
    <x v="5"/>
    <x v="3"/>
    <n v="118.6"/>
    <n v="830.19999999999993"/>
    <x v="0"/>
    <d v="2025-01-05T00:00:00"/>
    <x v="2"/>
    <x v="1"/>
    <n v="4"/>
    <x v="0"/>
    <x v="4"/>
    <x v="5"/>
    <x v="0"/>
    <x v="2"/>
  </r>
  <r>
    <x v="13"/>
    <x v="6"/>
    <x v="6"/>
    <n v="88.4"/>
    <n v="2386.8000000000002"/>
    <x v="0"/>
    <d v="2025-01-08T00:00:00"/>
    <x v="1"/>
    <x v="3"/>
    <n v="4"/>
    <x v="0"/>
    <x v="5"/>
    <x v="6"/>
    <x v="0"/>
    <x v="1"/>
  </r>
  <r>
    <x v="14"/>
    <x v="10"/>
    <x v="0"/>
    <n v="66.7"/>
    <n v="66.7"/>
    <x v="0"/>
    <d v="2025-01-04T00:00:00"/>
    <x v="1"/>
    <x v="0"/>
    <n v="4"/>
    <x v="0"/>
    <x v="6"/>
    <x v="2"/>
    <x v="0"/>
    <x v="1"/>
  </r>
  <r>
    <x v="15"/>
    <x v="9"/>
    <x v="7"/>
    <n v="30.9"/>
    <n v="309"/>
    <x v="0"/>
    <d v="2025-01-02T00:00:00"/>
    <x v="1"/>
    <x v="1"/>
    <n v="5"/>
    <x v="0"/>
    <x v="6"/>
    <x v="3"/>
    <x v="0"/>
    <x v="1"/>
  </r>
  <r>
    <x v="16"/>
    <x v="4"/>
    <x v="2"/>
    <n v="31.1"/>
    <n v="93.300000000000011"/>
    <x v="0"/>
    <d v="2025-01-02T00:00:00"/>
    <x v="2"/>
    <x v="0"/>
    <n v="3"/>
    <x v="0"/>
    <x v="6"/>
    <x v="3"/>
    <x v="0"/>
    <x v="2"/>
  </r>
  <r>
    <x v="17"/>
    <x v="7"/>
    <x v="2"/>
    <n v="36.6"/>
    <n v="109.80000000000001"/>
    <x v="0"/>
    <d v="2025-01-04T00:00:00"/>
    <x v="2"/>
    <x v="0"/>
    <n v="4"/>
    <x v="0"/>
    <x v="7"/>
    <x v="2"/>
    <x v="0"/>
    <x v="2"/>
  </r>
  <r>
    <x v="18"/>
    <x v="6"/>
    <x v="8"/>
    <n v="51.1"/>
    <n v="408.8"/>
    <x v="0"/>
    <d v="2025-01-04T00:00:00"/>
    <x v="2"/>
    <x v="2"/>
    <n v="1"/>
    <x v="0"/>
    <x v="7"/>
    <x v="2"/>
    <x v="0"/>
    <x v="2"/>
  </r>
  <r>
    <x v="19"/>
    <x v="9"/>
    <x v="0"/>
    <n v="25.2"/>
    <n v="25.2"/>
    <x v="0"/>
    <d v="2025-01-02T00:00:00"/>
    <x v="2"/>
    <x v="1"/>
    <n v="5"/>
    <x v="0"/>
    <x v="8"/>
    <x v="3"/>
    <x v="0"/>
    <x v="2"/>
  </r>
  <r>
    <x v="20"/>
    <x v="9"/>
    <x v="9"/>
    <n v="43.8"/>
    <n v="219"/>
    <x v="0"/>
    <d v="2025-01-04T00:00:00"/>
    <x v="2"/>
    <x v="2"/>
    <n v="4"/>
    <x v="0"/>
    <x v="8"/>
    <x v="2"/>
    <x v="0"/>
    <x v="2"/>
  </r>
  <r>
    <x v="21"/>
    <x v="8"/>
    <x v="4"/>
    <n v="46.7"/>
    <n v="560.40000000000009"/>
    <x v="0"/>
    <d v="2025-01-02T00:00:00"/>
    <x v="2"/>
    <x v="1"/>
    <n v="3"/>
    <x v="0"/>
    <x v="8"/>
    <x v="3"/>
    <x v="0"/>
    <x v="2"/>
  </r>
  <r>
    <x v="22"/>
    <x v="3"/>
    <x v="10"/>
    <n v="79.900000000000006"/>
    <n v="1518.1000000000001"/>
    <x v="0"/>
    <d v="2025-01-02T00:00:00"/>
    <x v="1"/>
    <x v="0"/>
    <n v="5"/>
    <x v="0"/>
    <x v="8"/>
    <x v="3"/>
    <x v="0"/>
    <x v="1"/>
  </r>
  <r>
    <x v="23"/>
    <x v="11"/>
    <x v="8"/>
    <n v="26.4"/>
    <n v="211.2"/>
    <x v="0"/>
    <d v="2025-01-02T00:00:00"/>
    <x v="2"/>
    <x v="3"/>
    <n v="4"/>
    <x v="0"/>
    <x v="8"/>
    <x v="3"/>
    <x v="0"/>
    <x v="2"/>
  </r>
  <r>
    <x v="24"/>
    <x v="12"/>
    <x v="8"/>
    <n v="88.8"/>
    <n v="710.4"/>
    <x v="0"/>
    <d v="2025-01-02T00:00:00"/>
    <x v="2"/>
    <x v="4"/>
    <n v="4"/>
    <x v="0"/>
    <x v="8"/>
    <x v="3"/>
    <x v="0"/>
    <x v="2"/>
  </r>
  <r>
    <x v="25"/>
    <x v="0"/>
    <x v="7"/>
    <n v="17.5"/>
    <n v="175"/>
    <x v="0"/>
    <d v="2025-01-02T00:00:00"/>
    <x v="2"/>
    <x v="2"/>
    <n v="4"/>
    <x v="0"/>
    <x v="9"/>
    <x v="3"/>
    <x v="0"/>
    <x v="2"/>
  </r>
  <r>
    <x v="26"/>
    <x v="1"/>
    <x v="11"/>
    <n v="38.700000000000003"/>
    <n v="348.3"/>
    <x v="0"/>
    <d v="2025-01-04T00:00:00"/>
    <x v="1"/>
    <x v="1"/>
    <n v="4"/>
    <x v="0"/>
    <x v="10"/>
    <x v="2"/>
    <x v="0"/>
    <x v="1"/>
  </r>
  <r>
    <x v="27"/>
    <x v="13"/>
    <x v="12"/>
    <n v="57.2"/>
    <n v="228.8"/>
    <x v="0"/>
    <d v="2025-01-03T00:00:00"/>
    <x v="0"/>
    <x v="1"/>
    <n v="5"/>
    <x v="0"/>
    <x v="11"/>
    <x v="1"/>
    <x v="0"/>
    <x v="0"/>
  </r>
  <r>
    <x v="28"/>
    <x v="6"/>
    <x v="9"/>
    <n v="50.9"/>
    <n v="254.5"/>
    <x v="0"/>
    <d v="2025-01-07T00:00:00"/>
    <x v="0"/>
    <x v="1"/>
    <n v="5"/>
    <x v="0"/>
    <x v="12"/>
    <x v="4"/>
    <x v="0"/>
    <x v="0"/>
  </r>
  <r>
    <x v="29"/>
    <x v="14"/>
    <x v="3"/>
    <n v="41"/>
    <n v="287"/>
    <x v="0"/>
    <d v="2025-01-05T00:00:00"/>
    <x v="2"/>
    <x v="1"/>
    <n v="4"/>
    <x v="0"/>
    <x v="13"/>
    <x v="5"/>
    <x v="0"/>
    <x v="2"/>
  </r>
  <r>
    <x v="30"/>
    <x v="8"/>
    <x v="3"/>
    <n v="19.100000000000001"/>
    <n v="133.70000000000002"/>
    <x v="0"/>
    <d v="2025-01-05T00:00:00"/>
    <x v="1"/>
    <x v="0"/>
    <n v="5"/>
    <x v="0"/>
    <x v="14"/>
    <x v="5"/>
    <x v="0"/>
    <x v="1"/>
  </r>
  <r>
    <x v="31"/>
    <x v="2"/>
    <x v="9"/>
    <n v="166.1"/>
    <n v="830.5"/>
    <x v="0"/>
    <d v="2025-01-04T00:00:00"/>
    <x v="1"/>
    <x v="0"/>
    <n v="4"/>
    <x v="0"/>
    <x v="15"/>
    <x v="2"/>
    <x v="0"/>
    <x v="1"/>
  </r>
  <r>
    <x v="32"/>
    <x v="4"/>
    <x v="2"/>
    <n v="29.9"/>
    <n v="89.699999999999989"/>
    <x v="0"/>
    <d v="2025-01-02T00:00:00"/>
    <x v="1"/>
    <x v="3"/>
    <n v="4"/>
    <x v="0"/>
    <x v="3"/>
    <x v="3"/>
    <x v="0"/>
    <x v="1"/>
  </r>
  <r>
    <x v="33"/>
    <x v="10"/>
    <x v="13"/>
    <n v="21.7"/>
    <n v="130.19999999999999"/>
    <x v="0"/>
    <d v="2025-01-03T00:00:00"/>
    <x v="3"/>
    <x v="2"/>
    <n v="5"/>
    <x v="0"/>
    <x v="3"/>
    <x v="1"/>
    <x v="0"/>
    <x v="3"/>
  </r>
  <r>
    <x v="34"/>
    <x v="11"/>
    <x v="1"/>
    <n v="32"/>
    <n v="64"/>
    <x v="0"/>
    <d v="2025-01-04T00:00:00"/>
    <x v="1"/>
    <x v="0"/>
    <n v="5"/>
    <x v="0"/>
    <x v="3"/>
    <x v="2"/>
    <x v="0"/>
    <x v="1"/>
  </r>
  <r>
    <x v="35"/>
    <x v="8"/>
    <x v="1"/>
    <n v="15.8"/>
    <n v="31.6"/>
    <x v="0"/>
    <d v="2025-01-02T00:00:00"/>
    <x v="1"/>
    <x v="4"/>
    <n v="5"/>
    <x v="0"/>
    <x v="3"/>
    <x v="3"/>
    <x v="0"/>
    <x v="1"/>
  </r>
  <r>
    <x v="36"/>
    <x v="2"/>
    <x v="14"/>
    <n v="203.1"/>
    <n v="3452.7"/>
    <x v="0"/>
    <d v="2025-01-05T00:00:00"/>
    <x v="1"/>
    <x v="3"/>
    <n v="3"/>
    <x v="0"/>
    <x v="3"/>
    <x v="5"/>
    <x v="0"/>
    <x v="1"/>
  </r>
  <r>
    <x v="37"/>
    <x v="7"/>
    <x v="15"/>
    <n v="39"/>
    <n v="507"/>
    <x v="0"/>
    <d v="2025-01-07T00:00:00"/>
    <x v="1"/>
    <x v="0"/>
    <n v="5"/>
    <x v="0"/>
    <x v="3"/>
    <x v="4"/>
    <x v="0"/>
    <x v="1"/>
  </r>
  <r>
    <x v="38"/>
    <x v="10"/>
    <x v="0"/>
    <n v="26.5"/>
    <n v="26.5"/>
    <x v="1"/>
    <d v="2025-01-03T00:00:00"/>
    <x v="1"/>
    <x v="2"/>
    <n v="4"/>
    <x v="0"/>
    <x v="3"/>
    <x v="3"/>
    <x v="0"/>
    <x v="1"/>
  </r>
  <r>
    <x v="39"/>
    <x v="5"/>
    <x v="0"/>
    <n v="43.1"/>
    <n v="43.1"/>
    <x v="1"/>
    <d v="2025-01-03T00:00:00"/>
    <x v="2"/>
    <x v="2"/>
    <n v="3"/>
    <x v="0"/>
    <x v="3"/>
    <x v="3"/>
    <x v="0"/>
    <x v="2"/>
  </r>
  <r>
    <x v="40"/>
    <x v="1"/>
    <x v="2"/>
    <n v="139"/>
    <n v="417"/>
    <x v="1"/>
    <d v="2025-01-03T00:00:00"/>
    <x v="2"/>
    <x v="4"/>
    <n v="5"/>
    <x v="0"/>
    <x v="3"/>
    <x v="3"/>
    <x v="0"/>
    <x v="2"/>
  </r>
  <r>
    <x v="41"/>
    <x v="12"/>
    <x v="0"/>
    <n v="80.7"/>
    <n v="80.7"/>
    <x v="1"/>
    <d v="2025-01-03T00:00:00"/>
    <x v="1"/>
    <x v="0"/>
    <n v="5"/>
    <x v="0"/>
    <x v="16"/>
    <x v="3"/>
    <x v="0"/>
    <x v="1"/>
  </r>
  <r>
    <x v="42"/>
    <x v="4"/>
    <x v="1"/>
    <n v="54.5"/>
    <n v="109"/>
    <x v="1"/>
    <d v="2025-01-04T00:00:00"/>
    <x v="1"/>
    <x v="1"/>
    <n v="3"/>
    <x v="0"/>
    <x v="6"/>
    <x v="1"/>
    <x v="0"/>
    <x v="1"/>
  </r>
  <r>
    <x v="43"/>
    <x v="6"/>
    <x v="2"/>
    <n v="68.599999999999994"/>
    <n v="205.79999999999998"/>
    <x v="1"/>
    <d v="2025-01-02T00:00:00"/>
    <x v="2"/>
    <x v="0"/>
    <n v="3"/>
    <x v="0"/>
    <x v="8"/>
    <x v="7"/>
    <x v="0"/>
    <x v="2"/>
  </r>
  <r>
    <x v="44"/>
    <x v="2"/>
    <x v="12"/>
    <n v="135.9"/>
    <n v="543.6"/>
    <x v="1"/>
    <d v="2025-01-03T00:00:00"/>
    <x v="2"/>
    <x v="2"/>
    <n v="5"/>
    <x v="0"/>
    <x v="8"/>
    <x v="3"/>
    <x v="0"/>
    <x v="2"/>
  </r>
  <r>
    <x v="45"/>
    <x v="2"/>
    <x v="12"/>
    <n v="70.900000000000006"/>
    <n v="283.60000000000002"/>
    <x v="1"/>
    <d v="2025-01-03T00:00:00"/>
    <x v="2"/>
    <x v="0"/>
    <n v="4"/>
    <x v="0"/>
    <x v="17"/>
    <x v="3"/>
    <x v="0"/>
    <x v="2"/>
  </r>
  <r>
    <x v="46"/>
    <x v="1"/>
    <x v="9"/>
    <n v="63.7"/>
    <n v="318.5"/>
    <x v="1"/>
    <d v="2025-01-03T00:00:00"/>
    <x v="1"/>
    <x v="1"/>
    <n v="3"/>
    <x v="0"/>
    <x v="9"/>
    <x v="3"/>
    <x v="0"/>
    <x v="1"/>
  </r>
  <r>
    <x v="47"/>
    <x v="13"/>
    <x v="0"/>
    <n v="29.7"/>
    <n v="29.7"/>
    <x v="1"/>
    <d v="2025-01-04T00:00:00"/>
    <x v="2"/>
    <x v="1"/>
    <n v="4"/>
    <x v="0"/>
    <x v="11"/>
    <x v="1"/>
    <x v="0"/>
    <x v="2"/>
  </r>
  <r>
    <x v="48"/>
    <x v="4"/>
    <x v="2"/>
    <n v="26.8"/>
    <n v="80.400000000000006"/>
    <x v="1"/>
    <d v="2025-01-11T00:00:00"/>
    <x v="2"/>
    <x v="1"/>
    <n v="5"/>
    <x v="0"/>
    <x v="11"/>
    <x v="8"/>
    <x v="0"/>
    <x v="2"/>
  </r>
  <r>
    <x v="49"/>
    <x v="14"/>
    <x v="0"/>
    <n v="27"/>
    <n v="27"/>
    <x v="1"/>
    <d v="2025-01-04T00:00:00"/>
    <x v="2"/>
    <x v="0"/>
    <n v="4"/>
    <x v="0"/>
    <x v="18"/>
    <x v="1"/>
    <x v="0"/>
    <x v="2"/>
  </r>
  <r>
    <x v="50"/>
    <x v="8"/>
    <x v="0"/>
    <n v="41.4"/>
    <n v="41.4"/>
    <x v="1"/>
    <d v="2025-01-03T00:00:00"/>
    <x v="1"/>
    <x v="1"/>
    <n v="5"/>
    <x v="0"/>
    <x v="19"/>
    <x v="3"/>
    <x v="0"/>
    <x v="1"/>
  </r>
  <r>
    <x v="51"/>
    <x v="8"/>
    <x v="1"/>
    <n v="24.3"/>
    <n v="48.6"/>
    <x v="1"/>
    <d v="2025-01-05T00:00:00"/>
    <x v="2"/>
    <x v="1"/>
    <n v="4"/>
    <x v="0"/>
    <x v="19"/>
    <x v="2"/>
    <x v="0"/>
    <x v="2"/>
  </r>
  <r>
    <x v="52"/>
    <x v="8"/>
    <x v="2"/>
    <n v="41.7"/>
    <n v="125.10000000000001"/>
    <x v="1"/>
    <d v="2025-01-04T00:00:00"/>
    <x v="1"/>
    <x v="0"/>
    <n v="5"/>
    <x v="0"/>
    <x v="20"/>
    <x v="1"/>
    <x v="0"/>
    <x v="1"/>
  </r>
  <r>
    <x v="53"/>
    <x v="0"/>
    <x v="1"/>
    <n v="18"/>
    <n v="36"/>
    <x v="1"/>
    <d v="2025-01-03T00:00:00"/>
    <x v="2"/>
    <x v="0"/>
    <n v="5"/>
    <x v="0"/>
    <x v="21"/>
    <x v="3"/>
    <x v="0"/>
    <x v="2"/>
  </r>
  <r>
    <x v="54"/>
    <x v="7"/>
    <x v="2"/>
    <n v="91.3"/>
    <n v="273.89999999999998"/>
    <x v="1"/>
    <d v="2025-01-05T00:00:00"/>
    <x v="1"/>
    <x v="2"/>
    <n v="5"/>
    <x v="0"/>
    <x v="3"/>
    <x v="2"/>
    <x v="0"/>
    <x v="1"/>
  </r>
  <r>
    <x v="55"/>
    <x v="8"/>
    <x v="8"/>
    <n v="19.3"/>
    <n v="154.4"/>
    <x v="1"/>
    <d v="2025-01-03T00:00:00"/>
    <x v="1"/>
    <x v="0"/>
    <n v="4"/>
    <x v="0"/>
    <x v="3"/>
    <x v="3"/>
    <x v="0"/>
    <x v="1"/>
  </r>
  <r>
    <x v="56"/>
    <x v="12"/>
    <x v="15"/>
    <n v="63.2"/>
    <n v="821.6"/>
    <x v="1"/>
    <d v="2025-01-03T00:00:00"/>
    <x v="2"/>
    <x v="0"/>
    <n v="4"/>
    <x v="0"/>
    <x v="3"/>
    <x v="3"/>
    <x v="0"/>
    <x v="2"/>
  </r>
  <r>
    <x v="57"/>
    <x v="10"/>
    <x v="11"/>
    <n v="33.299999999999997"/>
    <n v="299.7"/>
    <x v="2"/>
    <d v="2025-01-11T00:00:00"/>
    <x v="2"/>
    <x v="0"/>
    <n v="5"/>
    <x v="0"/>
    <x v="3"/>
    <x v="9"/>
    <x v="0"/>
    <x v="2"/>
  </r>
  <r>
    <x v="58"/>
    <x v="7"/>
    <x v="1"/>
    <n v="64.2"/>
    <n v="128.4"/>
    <x v="2"/>
    <d v="2025-01-04T00:00:00"/>
    <x v="1"/>
    <x v="0"/>
    <n v="5"/>
    <x v="0"/>
    <x v="3"/>
    <x v="3"/>
    <x v="0"/>
    <x v="1"/>
  </r>
  <r>
    <x v="59"/>
    <x v="9"/>
    <x v="2"/>
    <n v="23.1"/>
    <n v="69.300000000000011"/>
    <x v="2"/>
    <d v="2025-01-06T00:00:00"/>
    <x v="2"/>
    <x v="1"/>
    <n v="5"/>
    <x v="0"/>
    <x v="3"/>
    <x v="2"/>
    <x v="0"/>
    <x v="2"/>
  </r>
  <r>
    <x v="60"/>
    <x v="15"/>
    <x v="1"/>
    <n v="71.099999999999994"/>
    <n v="142.19999999999999"/>
    <x v="2"/>
    <d v="2025-01-05T00:00:00"/>
    <x v="2"/>
    <x v="3"/>
    <n v="3"/>
    <x v="0"/>
    <x v="3"/>
    <x v="1"/>
    <x v="0"/>
    <x v="2"/>
  </r>
  <r>
    <x v="61"/>
    <x v="0"/>
    <x v="1"/>
    <n v="11.5"/>
    <n v="23"/>
    <x v="2"/>
    <d v="2025-01-04T00:00:00"/>
    <x v="2"/>
    <x v="0"/>
    <n v="4"/>
    <x v="0"/>
    <x v="3"/>
    <x v="3"/>
    <x v="0"/>
    <x v="2"/>
  </r>
  <r>
    <x v="62"/>
    <x v="15"/>
    <x v="10"/>
    <n v="69.2"/>
    <n v="1314.8"/>
    <x v="2"/>
    <d v="2025-01-08T00:00:00"/>
    <x v="2"/>
    <x v="0"/>
    <n v="4"/>
    <x v="0"/>
    <x v="3"/>
    <x v="0"/>
    <x v="0"/>
    <x v="2"/>
  </r>
  <r>
    <x v="63"/>
    <x v="0"/>
    <x v="0"/>
    <n v="26.8"/>
    <n v="26.8"/>
    <x v="2"/>
    <d v="2025-01-04T00:00:00"/>
    <x v="1"/>
    <x v="2"/>
    <n v="2"/>
    <x v="0"/>
    <x v="3"/>
    <x v="3"/>
    <x v="0"/>
    <x v="1"/>
  </r>
  <r>
    <x v="64"/>
    <x v="16"/>
    <x v="2"/>
    <n v="31.2"/>
    <n v="93.6"/>
    <x v="2"/>
    <d v="2025-01-06T00:00:00"/>
    <x v="2"/>
    <x v="0"/>
    <n v="4"/>
    <x v="0"/>
    <x v="3"/>
    <x v="2"/>
    <x v="0"/>
    <x v="2"/>
  </r>
  <r>
    <x v="65"/>
    <x v="12"/>
    <x v="1"/>
    <n v="113.2"/>
    <n v="226.4"/>
    <x v="2"/>
    <d v="2025-01-04T00:00:00"/>
    <x v="2"/>
    <x v="4"/>
    <n v="4"/>
    <x v="0"/>
    <x v="3"/>
    <x v="3"/>
    <x v="0"/>
    <x v="2"/>
  </r>
  <r>
    <x v="66"/>
    <x v="10"/>
    <x v="8"/>
    <n v="21"/>
    <n v="168"/>
    <x v="2"/>
    <d v="2025-01-04T00:00:00"/>
    <x v="1"/>
    <x v="0"/>
    <n v="4"/>
    <x v="0"/>
    <x v="6"/>
    <x v="3"/>
    <x v="0"/>
    <x v="1"/>
  </r>
  <r>
    <x v="67"/>
    <x v="1"/>
    <x v="1"/>
    <n v="89.1"/>
    <n v="178.2"/>
    <x v="2"/>
    <d v="2025-01-04T00:00:00"/>
    <x v="2"/>
    <x v="2"/>
    <n v="5"/>
    <x v="0"/>
    <x v="6"/>
    <x v="3"/>
    <x v="0"/>
    <x v="2"/>
  </r>
  <r>
    <x v="68"/>
    <x v="1"/>
    <x v="0"/>
    <n v="97.7"/>
    <n v="97.7"/>
    <x v="2"/>
    <d v="2025-01-05T00:00:00"/>
    <x v="2"/>
    <x v="0"/>
    <n v="3"/>
    <x v="0"/>
    <x v="6"/>
    <x v="1"/>
    <x v="0"/>
    <x v="2"/>
  </r>
  <r>
    <x v="69"/>
    <x v="15"/>
    <x v="12"/>
    <n v="97.7"/>
    <n v="390.8"/>
    <x v="2"/>
    <d v="2025-01-05T00:00:00"/>
    <x v="1"/>
    <x v="3"/>
    <n v="4"/>
    <x v="0"/>
    <x v="6"/>
    <x v="1"/>
    <x v="0"/>
    <x v="1"/>
  </r>
  <r>
    <x v="70"/>
    <x v="17"/>
    <x v="2"/>
    <n v="47.4"/>
    <n v="142.19999999999999"/>
    <x v="2"/>
    <d v="2025-01-06T00:00:00"/>
    <x v="1"/>
    <x v="3"/>
    <n v="5"/>
    <x v="0"/>
    <x v="8"/>
    <x v="2"/>
    <x v="0"/>
    <x v="1"/>
  </r>
  <r>
    <x v="71"/>
    <x v="7"/>
    <x v="0"/>
    <n v="89.6"/>
    <n v="89.6"/>
    <x v="2"/>
    <d v="2025-01-06T00:00:00"/>
    <x v="2"/>
    <x v="0"/>
    <n v="5"/>
    <x v="0"/>
    <x v="8"/>
    <x v="2"/>
    <x v="0"/>
    <x v="2"/>
  </r>
  <r>
    <x v="72"/>
    <x v="10"/>
    <x v="16"/>
    <n v="28.4"/>
    <n v="511.2"/>
    <x v="2"/>
    <d v="2025-01-06T00:00:00"/>
    <x v="2"/>
    <x v="3"/>
    <n v="5"/>
    <x v="0"/>
    <x v="17"/>
    <x v="2"/>
    <x v="0"/>
    <x v="2"/>
  </r>
  <r>
    <x v="73"/>
    <x v="0"/>
    <x v="1"/>
    <n v="17.899999999999999"/>
    <n v="35.799999999999997"/>
    <x v="2"/>
    <d v="2025-01-04T00:00:00"/>
    <x v="2"/>
    <x v="0"/>
    <n v="5"/>
    <x v="0"/>
    <x v="9"/>
    <x v="3"/>
    <x v="0"/>
    <x v="2"/>
  </r>
  <r>
    <x v="74"/>
    <x v="9"/>
    <x v="1"/>
    <n v="48.4"/>
    <n v="96.8"/>
    <x v="2"/>
    <d v="2025-01-06T00:00:00"/>
    <x v="1"/>
    <x v="1"/>
    <n v="4"/>
    <x v="0"/>
    <x v="9"/>
    <x v="2"/>
    <x v="0"/>
    <x v="1"/>
  </r>
  <r>
    <x v="75"/>
    <x v="12"/>
    <x v="12"/>
    <n v="44.4"/>
    <n v="177.6"/>
    <x v="2"/>
    <d v="2025-01-04T00:00:00"/>
    <x v="3"/>
    <x v="1"/>
    <n v="3"/>
    <x v="0"/>
    <x v="11"/>
    <x v="3"/>
    <x v="0"/>
    <x v="3"/>
  </r>
  <r>
    <x v="76"/>
    <x v="2"/>
    <x v="8"/>
    <n v="103.7"/>
    <n v="829.6"/>
    <x v="2"/>
    <d v="2025-01-04T00:00:00"/>
    <x v="2"/>
    <x v="0"/>
    <n v="3"/>
    <x v="0"/>
    <x v="19"/>
    <x v="3"/>
    <x v="0"/>
    <x v="2"/>
  </r>
  <r>
    <x v="77"/>
    <x v="5"/>
    <x v="12"/>
    <n v="58.6"/>
    <n v="234.4"/>
    <x v="2"/>
    <d v="2025-01-05T00:00:00"/>
    <x v="1"/>
    <x v="3"/>
    <n v="4"/>
    <x v="0"/>
    <x v="19"/>
    <x v="1"/>
    <x v="0"/>
    <x v="1"/>
  </r>
  <r>
    <x v="78"/>
    <x v="9"/>
    <x v="12"/>
    <n v="54.8"/>
    <n v="219.2"/>
    <x v="2"/>
    <d v="2025-01-07T00:00:00"/>
    <x v="2"/>
    <x v="2"/>
    <n v="3"/>
    <x v="0"/>
    <x v="13"/>
    <x v="5"/>
    <x v="0"/>
    <x v="2"/>
  </r>
  <r>
    <x v="79"/>
    <x v="12"/>
    <x v="2"/>
    <n v="78.8"/>
    <n v="236.39999999999998"/>
    <x v="2"/>
    <d v="2025-01-09T00:00:00"/>
    <x v="2"/>
    <x v="4"/>
    <n v="3"/>
    <x v="0"/>
    <x v="21"/>
    <x v="4"/>
    <x v="0"/>
    <x v="2"/>
  </r>
  <r>
    <x v="80"/>
    <x v="18"/>
    <x v="9"/>
    <n v="36.799999999999997"/>
    <n v="184"/>
    <x v="2"/>
    <d v="2025-01-06T00:00:00"/>
    <x v="1"/>
    <x v="4"/>
    <n v="3"/>
    <x v="0"/>
    <x v="22"/>
    <x v="2"/>
    <x v="0"/>
    <x v="1"/>
  </r>
  <r>
    <x v="81"/>
    <x v="6"/>
    <x v="13"/>
    <n v="50.6"/>
    <n v="303.60000000000002"/>
    <x v="2"/>
    <d v="2025-01-05T00:00:00"/>
    <x v="2"/>
    <x v="3"/>
    <n v="4"/>
    <x v="0"/>
    <x v="3"/>
    <x v="1"/>
    <x v="0"/>
    <x v="2"/>
  </r>
  <r>
    <x v="82"/>
    <x v="15"/>
    <x v="2"/>
    <n v="36.799999999999997"/>
    <n v="110.39999999999999"/>
    <x v="2"/>
    <d v="2025-01-03T00:00:00"/>
    <x v="1"/>
    <x v="2"/>
    <n v="3"/>
    <x v="0"/>
    <x v="3"/>
    <x v="7"/>
    <x v="0"/>
    <x v="1"/>
  </r>
  <r>
    <x v="83"/>
    <x v="8"/>
    <x v="11"/>
    <n v="41.8"/>
    <n v="376.2"/>
    <x v="3"/>
    <d v="2025-01-10T00:00:00"/>
    <x v="2"/>
    <x v="3"/>
    <n v="4"/>
    <x v="0"/>
    <x v="3"/>
    <x v="4"/>
    <x v="0"/>
    <x v="2"/>
  </r>
  <r>
    <x v="84"/>
    <x v="18"/>
    <x v="0"/>
    <n v="77.3"/>
    <n v="77.3"/>
    <x v="3"/>
    <d v="2025-01-05T00:00:00"/>
    <x v="1"/>
    <x v="4"/>
    <n v="2"/>
    <x v="0"/>
    <x v="3"/>
    <x v="3"/>
    <x v="0"/>
    <x v="1"/>
  </r>
  <r>
    <x v="85"/>
    <x v="8"/>
    <x v="12"/>
    <n v="19.8"/>
    <n v="79.2"/>
    <x v="3"/>
    <d v="2025-01-10T00:00:00"/>
    <x v="1"/>
    <x v="1"/>
    <n v="5"/>
    <x v="0"/>
    <x v="3"/>
    <x v="4"/>
    <x v="0"/>
    <x v="1"/>
  </r>
  <r>
    <x v="86"/>
    <x v="13"/>
    <x v="12"/>
    <n v="15.5"/>
    <n v="62"/>
    <x v="3"/>
    <d v="2025-01-05T00:00:00"/>
    <x v="2"/>
    <x v="1"/>
    <n v="5"/>
    <x v="0"/>
    <x v="3"/>
    <x v="3"/>
    <x v="0"/>
    <x v="2"/>
  </r>
  <r>
    <x v="87"/>
    <x v="12"/>
    <x v="0"/>
    <n v="46.8"/>
    <n v="46.8"/>
    <x v="3"/>
    <d v="2025-01-08T00:00:00"/>
    <x v="1"/>
    <x v="0"/>
    <n v="5"/>
    <x v="0"/>
    <x v="3"/>
    <x v="5"/>
    <x v="0"/>
    <x v="1"/>
  </r>
  <r>
    <x v="88"/>
    <x v="9"/>
    <x v="11"/>
    <n v="28.6"/>
    <n v="257.40000000000003"/>
    <x v="3"/>
    <d v="2025-01-08T00:00:00"/>
    <x v="1"/>
    <x v="0"/>
    <n v="5"/>
    <x v="0"/>
    <x v="3"/>
    <x v="5"/>
    <x v="0"/>
    <x v="1"/>
  </r>
  <r>
    <x v="89"/>
    <x v="2"/>
    <x v="0"/>
    <n v="97.7"/>
    <n v="97.7"/>
    <x v="3"/>
    <d v="2025-01-07T00:00:00"/>
    <x v="2"/>
    <x v="1"/>
    <n v="4"/>
    <x v="0"/>
    <x v="3"/>
    <x v="2"/>
    <x v="0"/>
    <x v="2"/>
  </r>
  <r>
    <x v="90"/>
    <x v="9"/>
    <x v="9"/>
    <n v="54.7"/>
    <n v="273.5"/>
    <x v="3"/>
    <d v="2025-01-07T00:00:00"/>
    <x v="0"/>
    <x v="0"/>
    <n v="5"/>
    <x v="0"/>
    <x v="23"/>
    <x v="2"/>
    <x v="0"/>
    <x v="0"/>
  </r>
  <r>
    <x v="91"/>
    <x v="2"/>
    <x v="13"/>
    <n v="130.5"/>
    <n v="783"/>
    <x v="3"/>
    <d v="2025-01-06T00:00:00"/>
    <x v="2"/>
    <x v="0"/>
    <n v="3"/>
    <x v="0"/>
    <x v="23"/>
    <x v="1"/>
    <x v="0"/>
    <x v="2"/>
  </r>
  <r>
    <x v="92"/>
    <x v="11"/>
    <x v="1"/>
    <n v="50.4"/>
    <n v="100.8"/>
    <x v="3"/>
    <d v="2025-01-06T00:00:00"/>
    <x v="1"/>
    <x v="2"/>
    <n v="5"/>
    <x v="0"/>
    <x v="6"/>
    <x v="1"/>
    <x v="0"/>
    <x v="1"/>
  </r>
  <r>
    <x v="93"/>
    <x v="6"/>
    <x v="15"/>
    <n v="61.5"/>
    <n v="799.5"/>
    <x v="3"/>
    <d v="2025-01-05T00:00:00"/>
    <x v="0"/>
    <x v="3"/>
    <n v="3"/>
    <x v="0"/>
    <x v="11"/>
    <x v="3"/>
    <x v="0"/>
    <x v="0"/>
  </r>
  <r>
    <x v="94"/>
    <x v="9"/>
    <x v="12"/>
    <n v="30.1"/>
    <n v="120.4"/>
    <x v="3"/>
    <d v="2025-01-05T00:00:00"/>
    <x v="2"/>
    <x v="0"/>
    <n v="5"/>
    <x v="0"/>
    <x v="21"/>
    <x v="3"/>
    <x v="0"/>
    <x v="2"/>
  </r>
  <r>
    <x v="95"/>
    <x v="2"/>
    <x v="9"/>
    <n v="74.8"/>
    <n v="374"/>
    <x v="3"/>
    <d v="2025-01-05T00:00:00"/>
    <x v="2"/>
    <x v="1"/>
    <n v="4"/>
    <x v="0"/>
    <x v="1"/>
    <x v="3"/>
    <x v="0"/>
    <x v="2"/>
  </r>
  <r>
    <x v="96"/>
    <x v="16"/>
    <x v="2"/>
    <n v="64.900000000000006"/>
    <n v="194.70000000000002"/>
    <x v="3"/>
    <d v="2025-01-11T00:00:00"/>
    <x v="1"/>
    <x v="0"/>
    <n v="4"/>
    <x v="0"/>
    <x v="2"/>
    <x v="6"/>
    <x v="0"/>
    <x v="1"/>
  </r>
  <r>
    <x v="97"/>
    <x v="9"/>
    <x v="1"/>
    <n v="50.5"/>
    <n v="101"/>
    <x v="3"/>
    <d v="2025-01-06T00:00:00"/>
    <x v="1"/>
    <x v="1"/>
    <n v="4"/>
    <x v="0"/>
    <x v="22"/>
    <x v="1"/>
    <x v="0"/>
    <x v="1"/>
  </r>
  <r>
    <x v="98"/>
    <x v="11"/>
    <x v="3"/>
    <n v="63"/>
    <n v="441"/>
    <x v="3"/>
    <d v="2025-01-07T00:00:00"/>
    <x v="1"/>
    <x v="3"/>
    <n v="5"/>
    <x v="0"/>
    <x v="3"/>
    <x v="2"/>
    <x v="0"/>
    <x v="1"/>
  </r>
  <r>
    <x v="99"/>
    <x v="2"/>
    <x v="2"/>
    <n v="93.6"/>
    <n v="280.79999999999995"/>
    <x v="3"/>
    <d v="2025-01-17T00:00:00"/>
    <x v="2"/>
    <x v="0"/>
    <n v="5"/>
    <x v="0"/>
    <x v="3"/>
    <x v="10"/>
    <x v="0"/>
    <x v="2"/>
  </r>
  <r>
    <x v="100"/>
    <x v="5"/>
    <x v="17"/>
    <n v="41.4"/>
    <n v="1242"/>
    <x v="3"/>
    <d v="2025-01-08T00:00:00"/>
    <x v="1"/>
    <x v="2"/>
    <n v="5"/>
    <x v="0"/>
    <x v="3"/>
    <x v="5"/>
    <x v="0"/>
    <x v="1"/>
  </r>
  <r>
    <x v="101"/>
    <x v="2"/>
    <x v="1"/>
    <n v="160"/>
    <n v="320"/>
    <x v="4"/>
    <d v="2025-01-06T00:00:00"/>
    <x v="1"/>
    <x v="2"/>
    <n v="5"/>
    <x v="0"/>
    <x v="5"/>
    <x v="3"/>
    <x v="1"/>
    <x v="1"/>
  </r>
  <r>
    <x v="102"/>
    <x v="19"/>
    <x v="5"/>
    <n v="10.5"/>
    <n v="115.5"/>
    <x v="4"/>
    <d v="2025-01-08T00:00:00"/>
    <x v="2"/>
    <x v="4"/>
    <n v="4"/>
    <x v="0"/>
    <x v="8"/>
    <x v="2"/>
    <x v="1"/>
    <x v="2"/>
  </r>
  <r>
    <x v="103"/>
    <x v="10"/>
    <x v="1"/>
    <n v="53"/>
    <n v="106"/>
    <x v="4"/>
    <d v="2025-01-05T00:00:00"/>
    <x v="1"/>
    <x v="2"/>
    <n v="2"/>
    <x v="0"/>
    <x v="17"/>
    <x v="7"/>
    <x v="1"/>
    <x v="1"/>
  </r>
  <r>
    <x v="104"/>
    <x v="8"/>
    <x v="2"/>
    <n v="18.5"/>
    <n v="55.5"/>
    <x v="4"/>
    <d v="2025-01-10T00:00:00"/>
    <x v="2"/>
    <x v="1"/>
    <n v="5"/>
    <x v="0"/>
    <x v="11"/>
    <x v="0"/>
    <x v="1"/>
    <x v="2"/>
  </r>
  <r>
    <x v="105"/>
    <x v="16"/>
    <x v="2"/>
    <n v="84.5"/>
    <n v="253.5"/>
    <x v="4"/>
    <d v="2025-01-07T00:00:00"/>
    <x v="2"/>
    <x v="4"/>
    <n v="3"/>
    <x v="0"/>
    <x v="13"/>
    <x v="1"/>
    <x v="1"/>
    <x v="2"/>
  </r>
  <r>
    <x v="106"/>
    <x v="15"/>
    <x v="3"/>
    <n v="31.2"/>
    <n v="218.4"/>
    <x v="4"/>
    <d v="2025-01-05T00:00:00"/>
    <x v="2"/>
    <x v="2"/>
    <n v="5"/>
    <x v="0"/>
    <x v="3"/>
    <x v="7"/>
    <x v="1"/>
    <x v="2"/>
  </r>
  <r>
    <x v="107"/>
    <x v="8"/>
    <x v="16"/>
    <n v="32.6"/>
    <n v="586.80000000000007"/>
    <x v="4"/>
    <d v="2025-01-06T00:00:00"/>
    <x v="1"/>
    <x v="1"/>
    <n v="3"/>
    <x v="0"/>
    <x v="3"/>
    <x v="3"/>
    <x v="1"/>
    <x v="1"/>
  </r>
  <r>
    <x v="108"/>
    <x v="10"/>
    <x v="12"/>
    <n v="45.4"/>
    <n v="181.6"/>
    <x v="4"/>
    <d v="2025-01-07T00:00:00"/>
    <x v="1"/>
    <x v="1"/>
    <n v="4"/>
    <x v="0"/>
    <x v="3"/>
    <x v="1"/>
    <x v="1"/>
    <x v="1"/>
  </r>
  <r>
    <x v="109"/>
    <x v="2"/>
    <x v="4"/>
    <n v="120"/>
    <n v="1440"/>
    <x v="4"/>
    <d v="2025-01-06T00:00:00"/>
    <x v="2"/>
    <x v="2"/>
    <n v="2"/>
    <x v="0"/>
    <x v="3"/>
    <x v="3"/>
    <x v="1"/>
    <x v="2"/>
  </r>
  <r>
    <x v="110"/>
    <x v="0"/>
    <x v="12"/>
    <n v="18.899999999999999"/>
    <n v="75.599999999999994"/>
    <x v="4"/>
    <d v="2025-01-07T00:00:00"/>
    <x v="1"/>
    <x v="0"/>
    <n v="5"/>
    <x v="0"/>
    <x v="3"/>
    <x v="1"/>
    <x v="1"/>
    <x v="1"/>
  </r>
  <r>
    <x v="111"/>
    <x v="4"/>
    <x v="0"/>
    <n v="32"/>
    <n v="32"/>
    <x v="4"/>
    <d v="2025-01-07T00:00:00"/>
    <x v="2"/>
    <x v="4"/>
    <n v="4"/>
    <x v="0"/>
    <x v="3"/>
    <x v="1"/>
    <x v="1"/>
    <x v="2"/>
  </r>
  <r>
    <x v="112"/>
    <x v="7"/>
    <x v="1"/>
    <n v="37.299999999999997"/>
    <n v="74.599999999999994"/>
    <x v="4"/>
    <d v="2025-01-06T00:00:00"/>
    <x v="1"/>
    <x v="2"/>
    <n v="4"/>
    <x v="0"/>
    <x v="3"/>
    <x v="3"/>
    <x v="1"/>
    <x v="1"/>
  </r>
  <r>
    <x v="113"/>
    <x v="18"/>
    <x v="0"/>
    <n v="119.8"/>
    <n v="119.8"/>
    <x v="4"/>
    <d v="2025-01-06T00:00:00"/>
    <x v="1"/>
    <x v="1"/>
    <n v="3"/>
    <x v="0"/>
    <x v="3"/>
    <x v="3"/>
    <x v="1"/>
    <x v="1"/>
  </r>
  <r>
    <x v="114"/>
    <x v="10"/>
    <x v="1"/>
    <n v="26.4"/>
    <n v="52.8"/>
    <x v="4"/>
    <d v="2025-01-08T00:00:00"/>
    <x v="1"/>
    <x v="2"/>
    <n v="4"/>
    <x v="0"/>
    <x v="3"/>
    <x v="2"/>
    <x v="1"/>
    <x v="1"/>
  </r>
  <r>
    <x v="115"/>
    <x v="6"/>
    <x v="13"/>
    <n v="76.5"/>
    <n v="459"/>
    <x v="4"/>
    <d v="2025-01-06T00:00:00"/>
    <x v="2"/>
    <x v="1"/>
    <n v="3"/>
    <x v="0"/>
    <x v="3"/>
    <x v="3"/>
    <x v="1"/>
    <x v="2"/>
  </r>
  <r>
    <x v="116"/>
    <x v="4"/>
    <x v="7"/>
    <n v="45.7"/>
    <n v="457"/>
    <x v="4"/>
    <d v="2025-01-06T00:00:00"/>
    <x v="2"/>
    <x v="2"/>
    <n v="4"/>
    <x v="0"/>
    <x v="24"/>
    <x v="3"/>
    <x v="1"/>
    <x v="2"/>
  </r>
  <r>
    <x v="117"/>
    <x v="1"/>
    <x v="4"/>
    <n v="92.6"/>
    <n v="1111.1999999999998"/>
    <x v="4"/>
    <d v="2025-01-07T00:00:00"/>
    <x v="2"/>
    <x v="2"/>
    <n v="4"/>
    <x v="0"/>
    <x v="25"/>
    <x v="1"/>
    <x v="1"/>
    <x v="2"/>
  </r>
  <r>
    <x v="118"/>
    <x v="6"/>
    <x v="13"/>
    <n v="60.1"/>
    <n v="360.6"/>
    <x v="4"/>
    <d v="2025-01-06T00:00:00"/>
    <x v="1"/>
    <x v="1"/>
    <n v="4"/>
    <x v="0"/>
    <x v="23"/>
    <x v="3"/>
    <x v="1"/>
    <x v="1"/>
  </r>
  <r>
    <x v="119"/>
    <x v="1"/>
    <x v="2"/>
    <n v="73"/>
    <n v="219"/>
    <x v="4"/>
    <d v="2025-01-06T00:00:00"/>
    <x v="2"/>
    <x v="3"/>
    <n v="3"/>
    <x v="0"/>
    <x v="6"/>
    <x v="3"/>
    <x v="1"/>
    <x v="2"/>
  </r>
  <r>
    <x v="120"/>
    <x v="6"/>
    <x v="2"/>
    <n v="44.3"/>
    <n v="132.89999999999998"/>
    <x v="4"/>
    <d v="2025-01-09T00:00:00"/>
    <x v="0"/>
    <x v="2"/>
    <n v="5"/>
    <x v="0"/>
    <x v="6"/>
    <x v="5"/>
    <x v="1"/>
    <x v="0"/>
  </r>
  <r>
    <x v="121"/>
    <x v="6"/>
    <x v="2"/>
    <n v="63.3"/>
    <n v="189.89999999999998"/>
    <x v="4"/>
    <d v="2025-01-06T00:00:00"/>
    <x v="1"/>
    <x v="2"/>
    <n v="4"/>
    <x v="0"/>
    <x v="6"/>
    <x v="3"/>
    <x v="1"/>
    <x v="1"/>
  </r>
  <r>
    <x v="122"/>
    <x v="12"/>
    <x v="0"/>
    <n v="66.8"/>
    <n v="66.8"/>
    <x v="4"/>
    <d v="2025-01-06T00:00:00"/>
    <x v="2"/>
    <x v="1"/>
    <n v="4"/>
    <x v="0"/>
    <x v="6"/>
    <x v="3"/>
    <x v="1"/>
    <x v="2"/>
  </r>
  <r>
    <x v="123"/>
    <x v="2"/>
    <x v="1"/>
    <n v="59.7"/>
    <n v="119.4"/>
    <x v="4"/>
    <d v="2025-01-06T00:00:00"/>
    <x v="2"/>
    <x v="0"/>
    <n v="4"/>
    <x v="0"/>
    <x v="7"/>
    <x v="3"/>
    <x v="1"/>
    <x v="2"/>
  </r>
  <r>
    <x v="124"/>
    <x v="1"/>
    <x v="13"/>
    <n v="92"/>
    <n v="552"/>
    <x v="4"/>
    <d v="2025-01-07T00:00:00"/>
    <x v="1"/>
    <x v="0"/>
    <n v="2"/>
    <x v="0"/>
    <x v="7"/>
    <x v="1"/>
    <x v="1"/>
    <x v="1"/>
  </r>
  <r>
    <x v="125"/>
    <x v="7"/>
    <x v="1"/>
    <n v="87.6"/>
    <n v="175.2"/>
    <x v="4"/>
    <d v="2025-01-07T00:00:00"/>
    <x v="1"/>
    <x v="1"/>
    <n v="3"/>
    <x v="0"/>
    <x v="8"/>
    <x v="1"/>
    <x v="1"/>
    <x v="1"/>
  </r>
  <r>
    <x v="126"/>
    <x v="6"/>
    <x v="2"/>
    <n v="84.5"/>
    <n v="253.5"/>
    <x v="4"/>
    <d v="2025-01-06T00:00:00"/>
    <x v="2"/>
    <x v="1"/>
    <n v="3"/>
    <x v="0"/>
    <x v="8"/>
    <x v="3"/>
    <x v="1"/>
    <x v="2"/>
  </r>
  <r>
    <x v="127"/>
    <x v="1"/>
    <x v="1"/>
    <n v="116.3"/>
    <n v="232.6"/>
    <x v="5"/>
    <d v="2025-01-08T00:00:00"/>
    <x v="1"/>
    <x v="2"/>
    <n v="5"/>
    <x v="0"/>
    <x v="8"/>
    <x v="1"/>
    <x v="1"/>
    <x v="1"/>
  </r>
  <r>
    <x v="128"/>
    <x v="6"/>
    <x v="9"/>
    <n v="52.7"/>
    <n v="263.5"/>
    <x v="5"/>
    <d v="2025-01-10T00:00:00"/>
    <x v="1"/>
    <x v="0"/>
    <n v="4"/>
    <x v="0"/>
    <x v="8"/>
    <x v="5"/>
    <x v="1"/>
    <x v="1"/>
  </r>
  <r>
    <x v="129"/>
    <x v="16"/>
    <x v="2"/>
    <n v="34.200000000000003"/>
    <n v="102.60000000000001"/>
    <x v="5"/>
    <d v="2025-01-07T00:00:00"/>
    <x v="1"/>
    <x v="0"/>
    <n v="5"/>
    <x v="0"/>
    <x v="26"/>
    <x v="3"/>
    <x v="1"/>
    <x v="1"/>
  </r>
  <r>
    <x v="130"/>
    <x v="9"/>
    <x v="0"/>
    <n v="23.3"/>
    <n v="23.3"/>
    <x v="5"/>
    <d v="2025-01-15T00:00:00"/>
    <x v="3"/>
    <x v="2"/>
    <n v="5"/>
    <x v="0"/>
    <x v="9"/>
    <x v="8"/>
    <x v="1"/>
    <x v="3"/>
  </r>
  <r>
    <x v="131"/>
    <x v="0"/>
    <x v="18"/>
    <n v="25.9"/>
    <n v="673.4"/>
    <x v="5"/>
    <d v="2025-01-09T00:00:00"/>
    <x v="2"/>
    <x v="4"/>
    <n v="3"/>
    <x v="0"/>
    <x v="9"/>
    <x v="2"/>
    <x v="1"/>
    <x v="2"/>
  </r>
  <r>
    <x v="132"/>
    <x v="6"/>
    <x v="19"/>
    <n v="54.9"/>
    <n v="1592.1"/>
    <x v="5"/>
    <d v="2025-01-07T00:00:00"/>
    <x v="1"/>
    <x v="1"/>
    <n v="5"/>
    <x v="0"/>
    <x v="9"/>
    <x v="3"/>
    <x v="1"/>
    <x v="1"/>
  </r>
  <r>
    <x v="133"/>
    <x v="5"/>
    <x v="2"/>
    <n v="75.8"/>
    <n v="227.39999999999998"/>
    <x v="5"/>
    <d v="2025-01-11T00:00:00"/>
    <x v="3"/>
    <x v="1"/>
    <n v="4"/>
    <x v="0"/>
    <x v="18"/>
    <x v="0"/>
    <x v="1"/>
    <x v="3"/>
  </r>
  <r>
    <x v="134"/>
    <x v="1"/>
    <x v="11"/>
    <n v="44.9"/>
    <n v="404.09999999999997"/>
    <x v="5"/>
    <d v="2025-01-09T00:00:00"/>
    <x v="2"/>
    <x v="2"/>
    <n v="5"/>
    <x v="0"/>
    <x v="2"/>
    <x v="2"/>
    <x v="1"/>
    <x v="2"/>
  </r>
  <r>
    <x v="135"/>
    <x v="11"/>
    <x v="1"/>
    <n v="48.8"/>
    <n v="97.6"/>
    <x v="5"/>
    <d v="2025-01-08T00:00:00"/>
    <x v="2"/>
    <x v="3"/>
    <n v="4"/>
    <x v="0"/>
    <x v="27"/>
    <x v="1"/>
    <x v="1"/>
    <x v="2"/>
  </r>
  <r>
    <x v="136"/>
    <x v="15"/>
    <x v="0"/>
    <n v="20.3"/>
    <n v="20.3"/>
    <x v="5"/>
    <d v="2025-01-07T00:00:00"/>
    <x v="2"/>
    <x v="0"/>
    <n v="5"/>
    <x v="0"/>
    <x v="22"/>
    <x v="3"/>
    <x v="1"/>
    <x v="2"/>
  </r>
  <r>
    <x v="137"/>
    <x v="5"/>
    <x v="3"/>
    <n v="36.4"/>
    <n v="254.79999999999998"/>
    <x v="5"/>
    <d v="2025-01-09T00:00:00"/>
    <x v="2"/>
    <x v="0"/>
    <n v="3"/>
    <x v="0"/>
    <x v="3"/>
    <x v="2"/>
    <x v="1"/>
    <x v="2"/>
  </r>
  <r>
    <x v="138"/>
    <x v="0"/>
    <x v="0"/>
    <n v="19"/>
    <n v="19"/>
    <x v="5"/>
    <d v="2025-01-11T00:00:00"/>
    <x v="2"/>
    <x v="1"/>
    <n v="5"/>
    <x v="0"/>
    <x v="3"/>
    <x v="0"/>
    <x v="1"/>
    <x v="2"/>
  </r>
  <r>
    <x v="139"/>
    <x v="8"/>
    <x v="0"/>
    <n v="17.8"/>
    <n v="17.8"/>
    <x v="5"/>
    <d v="2025-01-06T00:00:00"/>
    <x v="1"/>
    <x v="0"/>
    <n v="4"/>
    <x v="0"/>
    <x v="3"/>
    <x v="7"/>
    <x v="1"/>
    <x v="1"/>
  </r>
  <r>
    <x v="140"/>
    <x v="2"/>
    <x v="13"/>
    <n v="139.6"/>
    <n v="837.59999999999991"/>
    <x v="5"/>
    <d v="2025-01-09T00:00:00"/>
    <x v="1"/>
    <x v="0"/>
    <n v="4"/>
    <x v="0"/>
    <x v="3"/>
    <x v="2"/>
    <x v="1"/>
    <x v="1"/>
  </r>
  <r>
    <x v="141"/>
    <x v="9"/>
    <x v="0"/>
    <n v="31.7"/>
    <n v="31.7"/>
    <x v="5"/>
    <d v="2025-01-06T00:00:00"/>
    <x v="0"/>
    <x v="0"/>
    <n v="4"/>
    <x v="0"/>
    <x v="3"/>
    <x v="7"/>
    <x v="1"/>
    <x v="0"/>
  </r>
  <r>
    <x v="142"/>
    <x v="8"/>
    <x v="8"/>
    <n v="26.3"/>
    <n v="210.4"/>
    <x v="5"/>
    <d v="2025-01-09T00:00:00"/>
    <x v="2"/>
    <x v="4"/>
    <n v="2"/>
    <x v="0"/>
    <x v="3"/>
    <x v="2"/>
    <x v="1"/>
    <x v="2"/>
  </r>
  <r>
    <x v="143"/>
    <x v="4"/>
    <x v="1"/>
    <n v="47.8"/>
    <n v="95.6"/>
    <x v="5"/>
    <d v="2025-01-07T00:00:00"/>
    <x v="0"/>
    <x v="0"/>
    <n v="4"/>
    <x v="0"/>
    <x v="3"/>
    <x v="3"/>
    <x v="1"/>
    <x v="0"/>
  </r>
  <r>
    <x v="144"/>
    <x v="9"/>
    <x v="2"/>
    <n v="69.400000000000006"/>
    <n v="208.20000000000002"/>
    <x v="5"/>
    <d v="2025-01-10T00:00:00"/>
    <x v="2"/>
    <x v="0"/>
    <n v="4"/>
    <x v="0"/>
    <x v="3"/>
    <x v="5"/>
    <x v="1"/>
    <x v="2"/>
  </r>
  <r>
    <x v="145"/>
    <x v="18"/>
    <x v="4"/>
    <n v="25.8"/>
    <n v="309.60000000000002"/>
    <x v="5"/>
    <d v="2025-01-07T00:00:00"/>
    <x v="1"/>
    <x v="4"/>
    <n v="2"/>
    <x v="0"/>
    <x v="3"/>
    <x v="3"/>
    <x v="1"/>
    <x v="1"/>
  </r>
  <r>
    <x v="146"/>
    <x v="0"/>
    <x v="12"/>
    <n v="26.4"/>
    <n v="105.6"/>
    <x v="5"/>
    <d v="2025-01-07T00:00:00"/>
    <x v="1"/>
    <x v="1"/>
    <n v="5"/>
    <x v="0"/>
    <x v="3"/>
    <x v="3"/>
    <x v="1"/>
    <x v="1"/>
  </r>
  <r>
    <x v="147"/>
    <x v="8"/>
    <x v="12"/>
    <n v="15.7"/>
    <n v="62.8"/>
    <x v="5"/>
    <d v="2025-01-07T00:00:00"/>
    <x v="1"/>
    <x v="2"/>
    <n v="4"/>
    <x v="0"/>
    <x v="3"/>
    <x v="3"/>
    <x v="1"/>
    <x v="1"/>
  </r>
  <r>
    <x v="148"/>
    <x v="8"/>
    <x v="0"/>
    <n v="39.700000000000003"/>
    <n v="39.700000000000003"/>
    <x v="5"/>
    <d v="2025-01-10T00:00:00"/>
    <x v="1"/>
    <x v="0"/>
    <n v="4"/>
    <x v="0"/>
    <x v="3"/>
    <x v="5"/>
    <x v="1"/>
    <x v="1"/>
  </r>
  <r>
    <x v="149"/>
    <x v="10"/>
    <x v="12"/>
    <n v="31.1"/>
    <n v="124.4"/>
    <x v="5"/>
    <d v="2025-01-08T00:00:00"/>
    <x v="2"/>
    <x v="2"/>
    <n v="3"/>
    <x v="0"/>
    <x v="3"/>
    <x v="1"/>
    <x v="1"/>
    <x v="2"/>
  </r>
  <r>
    <x v="150"/>
    <x v="13"/>
    <x v="20"/>
    <n v="23.4"/>
    <n v="351"/>
    <x v="5"/>
    <d v="2025-01-15T00:00:00"/>
    <x v="1"/>
    <x v="0"/>
    <n v="4"/>
    <x v="0"/>
    <x v="3"/>
    <x v="8"/>
    <x v="1"/>
    <x v="1"/>
  </r>
  <r>
    <x v="151"/>
    <x v="1"/>
    <x v="12"/>
    <n v="57.1"/>
    <n v="228.4"/>
    <x v="6"/>
    <d v="2025-01-08T00:00:00"/>
    <x v="1"/>
    <x v="2"/>
    <n v="4"/>
    <x v="0"/>
    <x v="25"/>
    <x v="3"/>
    <x v="1"/>
    <x v="1"/>
  </r>
  <r>
    <x v="152"/>
    <x v="2"/>
    <x v="9"/>
    <n v="89.9"/>
    <n v="449.5"/>
    <x v="6"/>
    <d v="2025-01-07T00:00:00"/>
    <x v="2"/>
    <x v="0"/>
    <n v="1"/>
    <x v="0"/>
    <x v="23"/>
    <x v="7"/>
    <x v="1"/>
    <x v="2"/>
  </r>
  <r>
    <x v="153"/>
    <x v="10"/>
    <x v="3"/>
    <n v="48.1"/>
    <n v="336.7"/>
    <x v="6"/>
    <d v="2025-01-09T00:00:00"/>
    <x v="2"/>
    <x v="1"/>
    <n v="5"/>
    <x v="0"/>
    <x v="6"/>
    <x v="1"/>
    <x v="1"/>
    <x v="2"/>
  </r>
  <r>
    <x v="154"/>
    <x v="8"/>
    <x v="1"/>
    <n v="29.3"/>
    <n v="58.6"/>
    <x v="6"/>
    <d v="2025-01-07T00:00:00"/>
    <x v="2"/>
    <x v="1"/>
    <n v="3"/>
    <x v="0"/>
    <x v="6"/>
    <x v="7"/>
    <x v="1"/>
    <x v="2"/>
  </r>
  <r>
    <x v="155"/>
    <x v="8"/>
    <x v="12"/>
    <n v="28.8"/>
    <n v="115.2"/>
    <x v="6"/>
    <d v="2025-01-08T00:00:00"/>
    <x v="2"/>
    <x v="0"/>
    <n v="2"/>
    <x v="0"/>
    <x v="6"/>
    <x v="3"/>
    <x v="1"/>
    <x v="2"/>
  </r>
  <r>
    <x v="156"/>
    <x v="10"/>
    <x v="9"/>
    <n v="40.5"/>
    <n v="202.5"/>
    <x v="6"/>
    <d v="2025-01-11T00:00:00"/>
    <x v="2"/>
    <x v="3"/>
    <n v="4"/>
    <x v="0"/>
    <x v="6"/>
    <x v="5"/>
    <x v="1"/>
    <x v="2"/>
  </r>
  <r>
    <x v="157"/>
    <x v="18"/>
    <x v="21"/>
    <n v="65.099999999999994"/>
    <n v="911.39999999999986"/>
    <x v="6"/>
    <d v="2025-01-08T00:00:00"/>
    <x v="2"/>
    <x v="4"/>
    <n v="4"/>
    <x v="0"/>
    <x v="7"/>
    <x v="3"/>
    <x v="1"/>
    <x v="2"/>
  </r>
  <r>
    <x v="158"/>
    <x v="8"/>
    <x v="12"/>
    <n v="40.299999999999997"/>
    <n v="161.19999999999999"/>
    <x v="6"/>
    <d v="2025-01-12T00:00:00"/>
    <x v="2"/>
    <x v="2"/>
    <n v="4"/>
    <x v="0"/>
    <x v="7"/>
    <x v="0"/>
    <x v="1"/>
    <x v="2"/>
  </r>
  <r>
    <x v="159"/>
    <x v="6"/>
    <x v="9"/>
    <n v="51.8"/>
    <n v="259"/>
    <x v="6"/>
    <d v="2025-01-08T00:00:00"/>
    <x v="1"/>
    <x v="2"/>
    <n v="5"/>
    <x v="0"/>
    <x v="8"/>
    <x v="3"/>
    <x v="1"/>
    <x v="1"/>
  </r>
  <r>
    <x v="160"/>
    <x v="6"/>
    <x v="2"/>
    <n v="61.3"/>
    <n v="183.89999999999998"/>
    <x v="6"/>
    <d v="2025-01-08T00:00:00"/>
    <x v="2"/>
    <x v="3"/>
    <n v="4"/>
    <x v="0"/>
    <x v="8"/>
    <x v="3"/>
    <x v="1"/>
    <x v="2"/>
  </r>
  <r>
    <x v="161"/>
    <x v="2"/>
    <x v="12"/>
    <n v="122.5"/>
    <n v="490"/>
    <x v="6"/>
    <d v="2025-01-08T00:00:00"/>
    <x v="1"/>
    <x v="0"/>
    <n v="4"/>
    <x v="0"/>
    <x v="8"/>
    <x v="3"/>
    <x v="1"/>
    <x v="1"/>
  </r>
  <r>
    <x v="162"/>
    <x v="0"/>
    <x v="11"/>
    <n v="12.5"/>
    <n v="112.5"/>
    <x v="6"/>
    <d v="2025-01-08T00:00:00"/>
    <x v="0"/>
    <x v="1"/>
    <n v="5"/>
    <x v="0"/>
    <x v="8"/>
    <x v="3"/>
    <x v="1"/>
    <x v="0"/>
  </r>
  <r>
    <x v="163"/>
    <x v="15"/>
    <x v="8"/>
    <n v="37.5"/>
    <n v="300"/>
    <x v="6"/>
    <d v="2025-01-08T00:00:00"/>
    <x v="2"/>
    <x v="0"/>
    <n v="4"/>
    <x v="0"/>
    <x v="9"/>
    <x v="3"/>
    <x v="1"/>
    <x v="2"/>
  </r>
  <r>
    <x v="164"/>
    <x v="6"/>
    <x v="2"/>
    <n v="40"/>
    <n v="120"/>
    <x v="6"/>
    <d v="2025-01-10T00:00:00"/>
    <x v="1"/>
    <x v="0"/>
    <n v="2"/>
    <x v="0"/>
    <x v="11"/>
    <x v="2"/>
    <x v="1"/>
    <x v="1"/>
  </r>
  <r>
    <x v="165"/>
    <x v="17"/>
    <x v="8"/>
    <n v="38.5"/>
    <n v="308"/>
    <x v="6"/>
    <d v="2025-01-12T00:00:00"/>
    <x v="2"/>
    <x v="2"/>
    <n v="3"/>
    <x v="0"/>
    <x v="11"/>
    <x v="0"/>
    <x v="1"/>
    <x v="2"/>
  </r>
  <r>
    <x v="166"/>
    <x v="2"/>
    <x v="1"/>
    <n v="86.4"/>
    <n v="172.8"/>
    <x v="6"/>
    <d v="2025-01-09T00:00:00"/>
    <x v="2"/>
    <x v="0"/>
    <n v="4"/>
    <x v="0"/>
    <x v="18"/>
    <x v="1"/>
    <x v="1"/>
    <x v="2"/>
  </r>
  <r>
    <x v="167"/>
    <x v="10"/>
    <x v="0"/>
    <n v="50.7"/>
    <n v="50.7"/>
    <x v="6"/>
    <d v="2025-01-11T00:00:00"/>
    <x v="2"/>
    <x v="1"/>
    <n v="4"/>
    <x v="0"/>
    <x v="18"/>
    <x v="5"/>
    <x v="1"/>
    <x v="2"/>
  </r>
  <r>
    <x v="168"/>
    <x v="10"/>
    <x v="1"/>
    <n v="61"/>
    <n v="122"/>
    <x v="6"/>
    <d v="2025-01-18T00:00:00"/>
    <x v="2"/>
    <x v="4"/>
    <n v="3"/>
    <x v="0"/>
    <x v="18"/>
    <x v="11"/>
    <x v="1"/>
    <x v="2"/>
  </r>
  <r>
    <x v="169"/>
    <x v="4"/>
    <x v="1"/>
    <n v="19.899999999999999"/>
    <n v="39.799999999999997"/>
    <x v="6"/>
    <d v="2025-01-10T00:00:00"/>
    <x v="2"/>
    <x v="1"/>
    <n v="4"/>
    <x v="0"/>
    <x v="28"/>
    <x v="2"/>
    <x v="1"/>
    <x v="2"/>
  </r>
  <r>
    <x v="170"/>
    <x v="5"/>
    <x v="0"/>
    <n v="78.3"/>
    <n v="78.3"/>
    <x v="6"/>
    <d v="2025-01-07T00:00:00"/>
    <x v="2"/>
    <x v="0"/>
    <n v="5"/>
    <x v="0"/>
    <x v="1"/>
    <x v="7"/>
    <x v="1"/>
    <x v="2"/>
  </r>
  <r>
    <x v="171"/>
    <x v="0"/>
    <x v="10"/>
    <n v="10.4"/>
    <n v="197.6"/>
    <x v="6"/>
    <d v="2025-01-09T00:00:00"/>
    <x v="1"/>
    <x v="0"/>
    <n v="5"/>
    <x v="0"/>
    <x v="2"/>
    <x v="1"/>
    <x v="1"/>
    <x v="1"/>
  </r>
  <r>
    <x v="172"/>
    <x v="10"/>
    <x v="0"/>
    <n v="36.1"/>
    <n v="36.1"/>
    <x v="6"/>
    <d v="2025-01-10T00:00:00"/>
    <x v="1"/>
    <x v="3"/>
    <n v="5"/>
    <x v="0"/>
    <x v="3"/>
    <x v="2"/>
    <x v="1"/>
    <x v="1"/>
  </r>
  <r>
    <x v="173"/>
    <x v="14"/>
    <x v="1"/>
    <n v="17.3"/>
    <n v="34.6"/>
    <x v="6"/>
    <d v="2025-01-09T00:00:00"/>
    <x v="2"/>
    <x v="1"/>
    <n v="5"/>
    <x v="0"/>
    <x v="3"/>
    <x v="1"/>
    <x v="1"/>
    <x v="2"/>
  </r>
  <r>
    <x v="174"/>
    <x v="10"/>
    <x v="1"/>
    <n v="30.5"/>
    <n v="61"/>
    <x v="6"/>
    <d v="2025-01-08T00:00:00"/>
    <x v="2"/>
    <x v="1"/>
    <n v="5"/>
    <x v="0"/>
    <x v="3"/>
    <x v="3"/>
    <x v="1"/>
    <x v="2"/>
  </r>
  <r>
    <x v="175"/>
    <x v="18"/>
    <x v="22"/>
    <n v="70.099999999999994"/>
    <n v="4346.2"/>
    <x v="6"/>
    <d v="2025-01-07T00:00:00"/>
    <x v="2"/>
    <x v="2"/>
    <n v="4"/>
    <x v="0"/>
    <x v="3"/>
    <x v="7"/>
    <x v="1"/>
    <x v="2"/>
  </r>
  <r>
    <x v="176"/>
    <x v="3"/>
    <x v="0"/>
    <n v="76.099999999999994"/>
    <n v="76.099999999999994"/>
    <x v="6"/>
    <d v="2025-01-07T00:00:00"/>
    <x v="2"/>
    <x v="2"/>
    <n v="3"/>
    <x v="0"/>
    <x v="3"/>
    <x v="7"/>
    <x v="1"/>
    <x v="2"/>
  </r>
  <r>
    <x v="177"/>
    <x v="15"/>
    <x v="15"/>
    <n v="34.200000000000003"/>
    <n v="444.6"/>
    <x v="6"/>
    <d v="2025-01-08T00:00:00"/>
    <x v="1"/>
    <x v="0"/>
    <n v="4"/>
    <x v="0"/>
    <x v="3"/>
    <x v="3"/>
    <x v="1"/>
    <x v="1"/>
  </r>
  <r>
    <x v="178"/>
    <x v="8"/>
    <x v="9"/>
    <n v="30.3"/>
    <n v="151.5"/>
    <x v="6"/>
    <d v="2025-01-12T00:00:00"/>
    <x v="2"/>
    <x v="4"/>
    <n v="4"/>
    <x v="0"/>
    <x v="3"/>
    <x v="0"/>
    <x v="1"/>
    <x v="2"/>
  </r>
  <r>
    <x v="179"/>
    <x v="6"/>
    <x v="9"/>
    <n v="52.5"/>
    <n v="262.5"/>
    <x v="6"/>
    <d v="2025-01-11T00:00:00"/>
    <x v="0"/>
    <x v="3"/>
    <n v="4"/>
    <x v="0"/>
    <x v="3"/>
    <x v="5"/>
    <x v="1"/>
    <x v="0"/>
  </r>
  <r>
    <x v="180"/>
    <x v="9"/>
    <x v="5"/>
    <n v="28.7"/>
    <n v="315.7"/>
    <x v="6"/>
    <d v="2025-01-08T00:00:00"/>
    <x v="2"/>
    <x v="2"/>
    <n v="4"/>
    <x v="0"/>
    <x v="3"/>
    <x v="3"/>
    <x v="1"/>
    <x v="2"/>
  </r>
  <r>
    <x v="181"/>
    <x v="7"/>
    <x v="3"/>
    <n v="52"/>
    <n v="364"/>
    <x v="6"/>
    <d v="2025-01-08T00:00:00"/>
    <x v="1"/>
    <x v="1"/>
    <n v="2"/>
    <x v="0"/>
    <x v="3"/>
    <x v="3"/>
    <x v="1"/>
    <x v="1"/>
  </r>
  <r>
    <x v="182"/>
    <x v="0"/>
    <x v="0"/>
    <n v="13.3"/>
    <n v="13.3"/>
    <x v="7"/>
    <d v="2025-01-12T00:00:00"/>
    <x v="2"/>
    <x v="2"/>
    <n v="3"/>
    <x v="0"/>
    <x v="3"/>
    <x v="5"/>
    <x v="1"/>
    <x v="2"/>
  </r>
  <r>
    <x v="183"/>
    <x v="0"/>
    <x v="2"/>
    <n v="15.7"/>
    <n v="47.099999999999994"/>
    <x v="7"/>
    <d v="2025-01-09T00:00:00"/>
    <x v="2"/>
    <x v="1"/>
    <n v="4"/>
    <x v="0"/>
    <x v="29"/>
    <x v="3"/>
    <x v="1"/>
    <x v="2"/>
  </r>
  <r>
    <x v="184"/>
    <x v="8"/>
    <x v="1"/>
    <n v="25.6"/>
    <n v="51.2"/>
    <x v="7"/>
    <d v="2025-01-09T00:00:00"/>
    <x v="1"/>
    <x v="0"/>
    <n v="5"/>
    <x v="0"/>
    <x v="23"/>
    <x v="3"/>
    <x v="1"/>
    <x v="1"/>
  </r>
  <r>
    <x v="185"/>
    <x v="8"/>
    <x v="0"/>
    <n v="43.4"/>
    <n v="43.4"/>
    <x v="7"/>
    <d v="2025-01-13T00:00:00"/>
    <x v="1"/>
    <x v="0"/>
    <n v="4"/>
    <x v="0"/>
    <x v="6"/>
    <x v="0"/>
    <x v="1"/>
    <x v="1"/>
  </r>
  <r>
    <x v="186"/>
    <x v="11"/>
    <x v="11"/>
    <n v="33.4"/>
    <n v="300.59999999999997"/>
    <x v="7"/>
    <d v="2025-01-08T00:00:00"/>
    <x v="2"/>
    <x v="0"/>
    <n v="4"/>
    <x v="0"/>
    <x v="8"/>
    <x v="7"/>
    <x v="1"/>
    <x v="2"/>
  </r>
  <r>
    <x v="187"/>
    <x v="8"/>
    <x v="10"/>
    <n v="55"/>
    <n v="1045"/>
    <x v="7"/>
    <d v="2025-01-09T00:00:00"/>
    <x v="2"/>
    <x v="1"/>
    <n v="5"/>
    <x v="0"/>
    <x v="8"/>
    <x v="3"/>
    <x v="1"/>
    <x v="2"/>
  </r>
  <r>
    <x v="188"/>
    <x v="8"/>
    <x v="2"/>
    <n v="23.6"/>
    <n v="70.800000000000011"/>
    <x v="7"/>
    <d v="2025-01-09T00:00:00"/>
    <x v="1"/>
    <x v="0"/>
    <n v="5"/>
    <x v="0"/>
    <x v="8"/>
    <x v="3"/>
    <x v="1"/>
    <x v="1"/>
  </r>
  <r>
    <x v="189"/>
    <x v="12"/>
    <x v="11"/>
    <n v="104"/>
    <n v="936"/>
    <x v="7"/>
    <d v="2025-01-10T00:00:00"/>
    <x v="2"/>
    <x v="2"/>
    <n v="5"/>
    <x v="0"/>
    <x v="17"/>
    <x v="1"/>
    <x v="1"/>
    <x v="2"/>
  </r>
  <r>
    <x v="190"/>
    <x v="6"/>
    <x v="1"/>
    <n v="51.8"/>
    <n v="103.6"/>
    <x v="7"/>
    <d v="2025-01-12T00:00:00"/>
    <x v="0"/>
    <x v="0"/>
    <n v="5"/>
    <x v="0"/>
    <x v="10"/>
    <x v="5"/>
    <x v="1"/>
    <x v="0"/>
  </r>
  <r>
    <x v="191"/>
    <x v="10"/>
    <x v="9"/>
    <n v="34.5"/>
    <n v="172.5"/>
    <x v="7"/>
    <d v="2025-01-10T00:00:00"/>
    <x v="0"/>
    <x v="2"/>
    <n v="5"/>
    <x v="0"/>
    <x v="11"/>
    <x v="1"/>
    <x v="1"/>
    <x v="0"/>
  </r>
  <r>
    <x v="192"/>
    <x v="6"/>
    <x v="1"/>
    <n v="51.8"/>
    <n v="103.6"/>
    <x v="7"/>
    <d v="2025-01-10T00:00:00"/>
    <x v="1"/>
    <x v="1"/>
    <n v="5"/>
    <x v="0"/>
    <x v="30"/>
    <x v="1"/>
    <x v="1"/>
    <x v="1"/>
  </r>
  <r>
    <x v="193"/>
    <x v="18"/>
    <x v="23"/>
    <n v="131.5"/>
    <n v="5654.5"/>
    <x v="7"/>
    <d v="2025-01-09T00:00:00"/>
    <x v="2"/>
    <x v="0"/>
    <n v="5"/>
    <x v="0"/>
    <x v="18"/>
    <x v="3"/>
    <x v="1"/>
    <x v="2"/>
  </r>
  <r>
    <x v="194"/>
    <x v="8"/>
    <x v="3"/>
    <n v="47.8"/>
    <n v="334.59999999999997"/>
    <x v="7"/>
    <d v="2025-01-08T00:00:00"/>
    <x v="2"/>
    <x v="0"/>
    <n v="4"/>
    <x v="0"/>
    <x v="19"/>
    <x v="7"/>
    <x v="1"/>
    <x v="2"/>
  </r>
  <r>
    <x v="195"/>
    <x v="0"/>
    <x v="1"/>
    <n v="10.199999999999999"/>
    <n v="20.399999999999999"/>
    <x v="7"/>
    <d v="2025-01-10T00:00:00"/>
    <x v="2"/>
    <x v="0"/>
    <n v="4"/>
    <x v="0"/>
    <x v="19"/>
    <x v="1"/>
    <x v="1"/>
    <x v="2"/>
  </r>
  <r>
    <x v="196"/>
    <x v="8"/>
    <x v="8"/>
    <n v="41"/>
    <n v="328"/>
    <x v="7"/>
    <d v="2025-01-08T00:00:00"/>
    <x v="2"/>
    <x v="1"/>
    <n v="5"/>
    <x v="0"/>
    <x v="19"/>
    <x v="7"/>
    <x v="1"/>
    <x v="2"/>
  </r>
  <r>
    <x v="197"/>
    <x v="10"/>
    <x v="3"/>
    <n v="50.8"/>
    <n v="355.59999999999997"/>
    <x v="7"/>
    <d v="2025-01-11T00:00:00"/>
    <x v="2"/>
    <x v="1"/>
    <n v="4"/>
    <x v="0"/>
    <x v="21"/>
    <x v="2"/>
    <x v="1"/>
    <x v="2"/>
  </r>
  <r>
    <x v="198"/>
    <x v="18"/>
    <x v="2"/>
    <n v="39.6"/>
    <n v="118.80000000000001"/>
    <x v="7"/>
    <d v="2025-01-09T00:00:00"/>
    <x v="1"/>
    <x v="2"/>
    <n v="5"/>
    <x v="0"/>
    <x v="1"/>
    <x v="3"/>
    <x v="1"/>
    <x v="1"/>
  </r>
  <r>
    <x v="199"/>
    <x v="5"/>
    <x v="1"/>
    <n v="69.5"/>
    <n v="139"/>
    <x v="7"/>
    <d v="2025-01-10T00:00:00"/>
    <x v="1"/>
    <x v="0"/>
    <n v="5"/>
    <x v="0"/>
    <x v="2"/>
    <x v="1"/>
    <x v="1"/>
    <x v="1"/>
  </r>
  <r>
    <x v="200"/>
    <x v="8"/>
    <x v="8"/>
    <n v="32.6"/>
    <n v="260.8"/>
    <x v="7"/>
    <d v="2025-01-11T00:00:00"/>
    <x v="1"/>
    <x v="1"/>
    <n v="4"/>
    <x v="0"/>
    <x v="3"/>
    <x v="2"/>
    <x v="1"/>
    <x v="1"/>
  </r>
  <r>
    <x v="201"/>
    <x v="7"/>
    <x v="1"/>
    <n v="49.1"/>
    <n v="98.2"/>
    <x v="7"/>
    <d v="2025-01-16T00:00:00"/>
    <x v="1"/>
    <x v="3"/>
    <n v="5"/>
    <x v="0"/>
    <x v="3"/>
    <x v="9"/>
    <x v="1"/>
    <x v="1"/>
  </r>
  <r>
    <x v="202"/>
    <x v="6"/>
    <x v="1"/>
    <n v="49.4"/>
    <n v="98.8"/>
    <x v="8"/>
    <d v="2025-01-10T00:00:00"/>
    <x v="2"/>
    <x v="2"/>
    <n v="4"/>
    <x v="0"/>
    <x v="3"/>
    <x v="3"/>
    <x v="1"/>
    <x v="2"/>
  </r>
  <r>
    <x v="203"/>
    <x v="7"/>
    <x v="3"/>
    <n v="65.099999999999994"/>
    <n v="455.69999999999993"/>
    <x v="8"/>
    <d v="2025-01-12T00:00:00"/>
    <x v="2"/>
    <x v="2"/>
    <n v="5"/>
    <x v="0"/>
    <x v="3"/>
    <x v="2"/>
    <x v="1"/>
    <x v="2"/>
  </r>
  <r>
    <x v="204"/>
    <x v="3"/>
    <x v="1"/>
    <n v="52.1"/>
    <n v="104.2"/>
    <x v="8"/>
    <d v="2025-01-13T00:00:00"/>
    <x v="2"/>
    <x v="2"/>
    <n v="4"/>
    <x v="0"/>
    <x v="3"/>
    <x v="5"/>
    <x v="1"/>
    <x v="2"/>
  </r>
  <r>
    <x v="205"/>
    <x v="2"/>
    <x v="12"/>
    <n v="129.19999999999999"/>
    <n v="516.79999999999995"/>
    <x v="8"/>
    <d v="2025-01-10T00:00:00"/>
    <x v="2"/>
    <x v="1"/>
    <n v="4"/>
    <x v="0"/>
    <x v="3"/>
    <x v="3"/>
    <x v="1"/>
    <x v="2"/>
  </r>
  <r>
    <x v="206"/>
    <x v="1"/>
    <x v="10"/>
    <n v="81.8"/>
    <n v="1554.2"/>
    <x v="8"/>
    <d v="2025-01-09T00:00:00"/>
    <x v="2"/>
    <x v="1"/>
    <n v="3"/>
    <x v="0"/>
    <x v="3"/>
    <x v="7"/>
    <x v="1"/>
    <x v="2"/>
  </r>
  <r>
    <x v="207"/>
    <x v="17"/>
    <x v="0"/>
    <n v="24.9"/>
    <n v="24.9"/>
    <x v="8"/>
    <d v="2025-01-13T00:00:00"/>
    <x v="2"/>
    <x v="1"/>
    <n v="4"/>
    <x v="0"/>
    <x v="3"/>
    <x v="5"/>
    <x v="1"/>
    <x v="2"/>
  </r>
  <r>
    <x v="208"/>
    <x v="0"/>
    <x v="2"/>
    <n v="49.4"/>
    <n v="148.19999999999999"/>
    <x v="8"/>
    <d v="2025-01-12T00:00:00"/>
    <x v="2"/>
    <x v="4"/>
    <n v="2"/>
    <x v="0"/>
    <x v="3"/>
    <x v="2"/>
    <x v="1"/>
    <x v="2"/>
  </r>
  <r>
    <x v="209"/>
    <x v="8"/>
    <x v="1"/>
    <n v="22.7"/>
    <n v="45.4"/>
    <x v="8"/>
    <d v="2025-01-10T00:00:00"/>
    <x v="1"/>
    <x v="3"/>
    <n v="5"/>
    <x v="0"/>
    <x v="3"/>
    <x v="3"/>
    <x v="1"/>
    <x v="1"/>
  </r>
  <r>
    <x v="210"/>
    <x v="1"/>
    <x v="0"/>
    <n v="77.3"/>
    <n v="77.3"/>
    <x v="8"/>
    <d v="2025-01-09T00:00:00"/>
    <x v="2"/>
    <x v="0"/>
    <n v="5"/>
    <x v="0"/>
    <x v="6"/>
    <x v="7"/>
    <x v="1"/>
    <x v="2"/>
  </r>
  <r>
    <x v="211"/>
    <x v="1"/>
    <x v="9"/>
    <n v="109.1"/>
    <n v="545.5"/>
    <x v="8"/>
    <d v="2025-01-12T00:00:00"/>
    <x v="2"/>
    <x v="0"/>
    <n v="4"/>
    <x v="0"/>
    <x v="6"/>
    <x v="2"/>
    <x v="1"/>
    <x v="2"/>
  </r>
  <r>
    <x v="212"/>
    <x v="2"/>
    <x v="12"/>
    <n v="53.9"/>
    <n v="215.6"/>
    <x v="8"/>
    <d v="2025-01-10T00:00:00"/>
    <x v="1"/>
    <x v="0"/>
    <n v="3"/>
    <x v="0"/>
    <x v="8"/>
    <x v="3"/>
    <x v="1"/>
    <x v="1"/>
  </r>
  <r>
    <x v="213"/>
    <x v="9"/>
    <x v="18"/>
    <n v="21.2"/>
    <n v="551.19999999999993"/>
    <x v="8"/>
    <d v="2025-01-09T00:00:00"/>
    <x v="2"/>
    <x v="0"/>
    <n v="4"/>
    <x v="0"/>
    <x v="9"/>
    <x v="7"/>
    <x v="1"/>
    <x v="2"/>
  </r>
  <r>
    <x v="214"/>
    <x v="16"/>
    <x v="12"/>
    <n v="69"/>
    <n v="276"/>
    <x v="8"/>
    <d v="2025-01-11T00:00:00"/>
    <x v="2"/>
    <x v="1"/>
    <n v="3"/>
    <x v="0"/>
    <x v="18"/>
    <x v="1"/>
    <x v="1"/>
    <x v="2"/>
  </r>
  <r>
    <x v="215"/>
    <x v="6"/>
    <x v="2"/>
    <n v="46.2"/>
    <n v="138.60000000000002"/>
    <x v="8"/>
    <d v="2025-01-11T00:00:00"/>
    <x v="2"/>
    <x v="0"/>
    <n v="5"/>
    <x v="0"/>
    <x v="31"/>
    <x v="1"/>
    <x v="1"/>
    <x v="2"/>
  </r>
  <r>
    <x v="216"/>
    <x v="1"/>
    <x v="9"/>
    <n v="97.4"/>
    <n v="487"/>
    <x v="8"/>
    <d v="2025-01-13T00:00:00"/>
    <x v="2"/>
    <x v="4"/>
    <n v="5"/>
    <x v="0"/>
    <x v="21"/>
    <x v="5"/>
    <x v="1"/>
    <x v="2"/>
  </r>
  <r>
    <x v="217"/>
    <x v="8"/>
    <x v="9"/>
    <n v="21"/>
    <n v="105"/>
    <x v="8"/>
    <d v="2025-01-10T00:00:00"/>
    <x v="1"/>
    <x v="0"/>
    <n v="3"/>
    <x v="0"/>
    <x v="21"/>
    <x v="3"/>
    <x v="1"/>
    <x v="1"/>
  </r>
  <r>
    <x v="218"/>
    <x v="5"/>
    <x v="1"/>
    <n v="32.700000000000003"/>
    <n v="65.400000000000006"/>
    <x v="9"/>
    <d v="2025-01-13T00:00:00"/>
    <x v="2"/>
    <x v="1"/>
    <n v="4"/>
    <x v="0"/>
    <x v="2"/>
    <x v="2"/>
    <x v="1"/>
    <x v="2"/>
  </r>
  <r>
    <x v="219"/>
    <x v="6"/>
    <x v="12"/>
    <n v="48"/>
    <n v="192"/>
    <x v="9"/>
    <d v="2025-01-11T00:00:00"/>
    <x v="1"/>
    <x v="3"/>
    <n v="4"/>
    <x v="0"/>
    <x v="3"/>
    <x v="3"/>
    <x v="1"/>
    <x v="1"/>
  </r>
  <r>
    <x v="220"/>
    <x v="6"/>
    <x v="2"/>
    <n v="68.2"/>
    <n v="204.60000000000002"/>
    <x v="9"/>
    <d v="2025-01-14T00:00:00"/>
    <x v="0"/>
    <x v="0"/>
    <n v="5"/>
    <x v="0"/>
    <x v="3"/>
    <x v="5"/>
    <x v="1"/>
    <x v="0"/>
  </r>
  <r>
    <x v="221"/>
    <x v="5"/>
    <x v="0"/>
    <n v="45.4"/>
    <n v="45.4"/>
    <x v="9"/>
    <d v="2025-01-12T00:00:00"/>
    <x v="1"/>
    <x v="1"/>
    <n v="4"/>
    <x v="0"/>
    <x v="3"/>
    <x v="1"/>
    <x v="1"/>
    <x v="1"/>
  </r>
  <r>
    <x v="222"/>
    <x v="12"/>
    <x v="1"/>
    <n v="53.9"/>
    <n v="107.8"/>
    <x v="9"/>
    <d v="2025-01-11T00:00:00"/>
    <x v="2"/>
    <x v="2"/>
    <n v="4"/>
    <x v="0"/>
    <x v="3"/>
    <x v="3"/>
    <x v="1"/>
    <x v="2"/>
  </r>
  <r>
    <x v="223"/>
    <x v="2"/>
    <x v="12"/>
    <n v="62.1"/>
    <n v="248.4"/>
    <x v="9"/>
    <d v="2025-01-14T00:00:00"/>
    <x v="2"/>
    <x v="0"/>
    <n v="4"/>
    <x v="0"/>
    <x v="4"/>
    <x v="5"/>
    <x v="1"/>
    <x v="2"/>
  </r>
  <r>
    <x v="224"/>
    <x v="13"/>
    <x v="3"/>
    <n v="33.1"/>
    <n v="231.70000000000002"/>
    <x v="9"/>
    <d v="2025-01-15T00:00:00"/>
    <x v="1"/>
    <x v="1"/>
    <n v="4"/>
    <x v="0"/>
    <x v="6"/>
    <x v="0"/>
    <x v="1"/>
    <x v="1"/>
  </r>
  <r>
    <x v="225"/>
    <x v="18"/>
    <x v="9"/>
    <n v="35.200000000000003"/>
    <n v="176"/>
    <x v="9"/>
    <d v="2025-01-10T00:00:00"/>
    <x v="2"/>
    <x v="1"/>
    <n v="4"/>
    <x v="0"/>
    <x v="6"/>
    <x v="7"/>
    <x v="1"/>
    <x v="2"/>
  </r>
  <r>
    <x v="226"/>
    <x v="9"/>
    <x v="2"/>
    <n v="32.1"/>
    <n v="96.300000000000011"/>
    <x v="9"/>
    <d v="2025-01-15T00:00:00"/>
    <x v="1"/>
    <x v="3"/>
    <n v="4"/>
    <x v="0"/>
    <x v="8"/>
    <x v="0"/>
    <x v="1"/>
    <x v="1"/>
  </r>
  <r>
    <x v="227"/>
    <x v="11"/>
    <x v="0"/>
    <n v="38.1"/>
    <n v="38.1"/>
    <x v="9"/>
    <d v="2025-01-15T00:00:00"/>
    <x v="2"/>
    <x v="0"/>
    <n v="5"/>
    <x v="0"/>
    <x v="8"/>
    <x v="0"/>
    <x v="1"/>
    <x v="2"/>
  </r>
  <r>
    <x v="228"/>
    <x v="8"/>
    <x v="0"/>
    <n v="65.2"/>
    <n v="65.2"/>
    <x v="9"/>
    <d v="2025-01-15T00:00:00"/>
    <x v="2"/>
    <x v="3"/>
    <n v="3"/>
    <x v="0"/>
    <x v="8"/>
    <x v="0"/>
    <x v="1"/>
    <x v="2"/>
  </r>
  <r>
    <x v="229"/>
    <x v="10"/>
    <x v="3"/>
    <n v="55.2"/>
    <n v="386.40000000000003"/>
    <x v="9"/>
    <d v="2025-01-11T00:00:00"/>
    <x v="1"/>
    <x v="2"/>
    <n v="4"/>
    <x v="0"/>
    <x v="11"/>
    <x v="3"/>
    <x v="1"/>
    <x v="1"/>
  </r>
  <r>
    <x v="230"/>
    <x v="6"/>
    <x v="0"/>
    <n v="62"/>
    <n v="62"/>
    <x v="9"/>
    <d v="2025-01-14T00:00:00"/>
    <x v="2"/>
    <x v="0"/>
    <n v="4"/>
    <x v="0"/>
    <x v="11"/>
    <x v="5"/>
    <x v="1"/>
    <x v="2"/>
  </r>
  <r>
    <x v="231"/>
    <x v="7"/>
    <x v="2"/>
    <n v="45.9"/>
    <n v="137.69999999999999"/>
    <x v="9"/>
    <d v="2025-01-11T00:00:00"/>
    <x v="2"/>
    <x v="2"/>
    <n v="4"/>
    <x v="0"/>
    <x v="32"/>
    <x v="3"/>
    <x v="1"/>
    <x v="2"/>
  </r>
  <r>
    <x v="232"/>
    <x v="18"/>
    <x v="2"/>
    <n v="58.3"/>
    <n v="174.89999999999998"/>
    <x v="9"/>
    <d v="2025-01-10T00:00:00"/>
    <x v="1"/>
    <x v="1"/>
    <n v="3"/>
    <x v="0"/>
    <x v="18"/>
    <x v="7"/>
    <x v="1"/>
    <x v="1"/>
  </r>
  <r>
    <x v="233"/>
    <x v="8"/>
    <x v="1"/>
    <n v="22.3"/>
    <n v="44.6"/>
    <x v="9"/>
    <d v="2025-01-13T00:00:00"/>
    <x v="2"/>
    <x v="0"/>
    <n v="5"/>
    <x v="0"/>
    <x v="20"/>
    <x v="2"/>
    <x v="1"/>
    <x v="2"/>
  </r>
  <r>
    <x v="234"/>
    <x v="19"/>
    <x v="9"/>
    <n v="24"/>
    <n v="120"/>
    <x v="9"/>
    <d v="2025-01-11T00:00:00"/>
    <x v="1"/>
    <x v="4"/>
    <n v="4"/>
    <x v="0"/>
    <x v="1"/>
    <x v="3"/>
    <x v="1"/>
    <x v="1"/>
  </r>
  <r>
    <x v="235"/>
    <x v="0"/>
    <x v="7"/>
    <n v="21.3"/>
    <n v="213"/>
    <x v="9"/>
    <d v="2025-01-10T00:00:00"/>
    <x v="2"/>
    <x v="1"/>
    <n v="5"/>
    <x v="0"/>
    <x v="22"/>
    <x v="7"/>
    <x v="1"/>
    <x v="2"/>
  </r>
  <r>
    <x v="236"/>
    <x v="6"/>
    <x v="24"/>
    <n v="57.8"/>
    <n v="2369.7999999999997"/>
    <x v="9"/>
    <d v="2025-01-12T00:00:00"/>
    <x v="2"/>
    <x v="0"/>
    <n v="5"/>
    <x v="0"/>
    <x v="3"/>
    <x v="1"/>
    <x v="1"/>
    <x v="2"/>
  </r>
  <r>
    <x v="237"/>
    <x v="10"/>
    <x v="2"/>
    <n v="67.599999999999994"/>
    <n v="202.79999999999998"/>
    <x v="9"/>
    <d v="2025-01-11T00:00:00"/>
    <x v="2"/>
    <x v="0"/>
    <n v="4"/>
    <x v="0"/>
    <x v="3"/>
    <x v="3"/>
    <x v="1"/>
    <x v="2"/>
  </r>
  <r>
    <x v="238"/>
    <x v="6"/>
    <x v="13"/>
    <n v="66.7"/>
    <n v="400.20000000000005"/>
    <x v="9"/>
    <d v="2025-01-14T00:00:00"/>
    <x v="1"/>
    <x v="4"/>
    <n v="3"/>
    <x v="0"/>
    <x v="3"/>
    <x v="5"/>
    <x v="1"/>
    <x v="1"/>
  </r>
  <r>
    <x v="239"/>
    <x v="1"/>
    <x v="12"/>
    <n v="53.1"/>
    <n v="212.4"/>
    <x v="9"/>
    <d v="2025-01-12T00:00:00"/>
    <x v="2"/>
    <x v="1"/>
    <n v="4"/>
    <x v="0"/>
    <x v="3"/>
    <x v="1"/>
    <x v="1"/>
    <x v="2"/>
  </r>
  <r>
    <x v="240"/>
    <x v="12"/>
    <x v="2"/>
    <n v="57.4"/>
    <n v="172.2"/>
    <x v="9"/>
    <d v="2025-01-13T00:00:00"/>
    <x v="2"/>
    <x v="0"/>
    <n v="5"/>
    <x v="0"/>
    <x v="29"/>
    <x v="2"/>
    <x v="1"/>
    <x v="2"/>
  </r>
  <r>
    <x v="241"/>
    <x v="2"/>
    <x v="9"/>
    <n v="58.1"/>
    <n v="290.5"/>
    <x v="9"/>
    <d v="2025-01-10T00:00:00"/>
    <x v="1"/>
    <x v="2"/>
    <n v="5"/>
    <x v="0"/>
    <x v="6"/>
    <x v="7"/>
    <x v="1"/>
    <x v="1"/>
  </r>
  <r>
    <x v="242"/>
    <x v="5"/>
    <x v="2"/>
    <n v="31.8"/>
    <n v="95.4"/>
    <x v="10"/>
    <d v="2025-01-13T00:00:00"/>
    <x v="1"/>
    <x v="3"/>
    <n v="4"/>
    <x v="0"/>
    <x v="6"/>
    <x v="1"/>
    <x v="1"/>
    <x v="1"/>
  </r>
  <r>
    <x v="243"/>
    <x v="4"/>
    <x v="2"/>
    <n v="31.5"/>
    <n v="94.5"/>
    <x v="10"/>
    <d v="2025-01-14T00:00:00"/>
    <x v="1"/>
    <x v="0"/>
    <n v="3"/>
    <x v="0"/>
    <x v="8"/>
    <x v="2"/>
    <x v="1"/>
    <x v="1"/>
  </r>
  <r>
    <x v="244"/>
    <x v="6"/>
    <x v="3"/>
    <n v="55.9"/>
    <n v="391.3"/>
    <x v="10"/>
    <d v="2025-01-15T00:00:00"/>
    <x v="2"/>
    <x v="1"/>
    <n v="5"/>
    <x v="0"/>
    <x v="8"/>
    <x v="5"/>
    <x v="1"/>
    <x v="2"/>
  </r>
  <r>
    <x v="245"/>
    <x v="8"/>
    <x v="1"/>
    <n v="36.4"/>
    <n v="72.8"/>
    <x v="10"/>
    <d v="2025-01-12T00:00:00"/>
    <x v="1"/>
    <x v="1"/>
    <n v="3"/>
    <x v="0"/>
    <x v="9"/>
    <x v="3"/>
    <x v="1"/>
    <x v="1"/>
  </r>
  <r>
    <x v="246"/>
    <x v="1"/>
    <x v="9"/>
    <n v="47.3"/>
    <n v="236.5"/>
    <x v="10"/>
    <d v="2025-01-14T00:00:00"/>
    <x v="1"/>
    <x v="2"/>
    <n v="4"/>
    <x v="0"/>
    <x v="10"/>
    <x v="2"/>
    <x v="1"/>
    <x v="1"/>
  </r>
  <r>
    <x v="247"/>
    <x v="6"/>
    <x v="2"/>
    <n v="82.5"/>
    <n v="247.5"/>
    <x v="10"/>
    <d v="2025-01-12T00:00:00"/>
    <x v="1"/>
    <x v="0"/>
    <n v="4"/>
    <x v="0"/>
    <x v="11"/>
    <x v="3"/>
    <x v="1"/>
    <x v="1"/>
  </r>
  <r>
    <x v="248"/>
    <x v="0"/>
    <x v="0"/>
    <n v="14.3"/>
    <n v="14.3"/>
    <x v="10"/>
    <d v="2025-01-12T00:00:00"/>
    <x v="2"/>
    <x v="0"/>
    <n v="4"/>
    <x v="0"/>
    <x v="21"/>
    <x v="3"/>
    <x v="1"/>
    <x v="2"/>
  </r>
  <r>
    <x v="249"/>
    <x v="2"/>
    <x v="13"/>
    <n v="57.6"/>
    <n v="345.6"/>
    <x v="10"/>
    <d v="2025-01-25T00:00:00"/>
    <x v="2"/>
    <x v="0"/>
    <n v="4"/>
    <x v="0"/>
    <x v="21"/>
    <x v="12"/>
    <x v="1"/>
    <x v="2"/>
  </r>
  <r>
    <x v="250"/>
    <x v="2"/>
    <x v="2"/>
    <n v="142.4"/>
    <n v="427.20000000000005"/>
    <x v="10"/>
    <d v="2025-01-13T00:00:00"/>
    <x v="1"/>
    <x v="4"/>
    <n v="3"/>
    <x v="0"/>
    <x v="21"/>
    <x v="1"/>
    <x v="1"/>
    <x v="1"/>
  </r>
  <r>
    <x v="251"/>
    <x v="12"/>
    <x v="0"/>
    <n v="30.2"/>
    <n v="30.2"/>
    <x v="10"/>
    <d v="2025-01-15T00:00:00"/>
    <x v="1"/>
    <x v="1"/>
    <n v="5"/>
    <x v="0"/>
    <x v="2"/>
    <x v="5"/>
    <x v="1"/>
    <x v="1"/>
  </r>
  <r>
    <x v="252"/>
    <x v="18"/>
    <x v="2"/>
    <n v="65.3"/>
    <n v="195.89999999999998"/>
    <x v="10"/>
    <d v="2025-01-12T00:00:00"/>
    <x v="3"/>
    <x v="1"/>
    <n v="4"/>
    <x v="0"/>
    <x v="33"/>
    <x v="3"/>
    <x v="1"/>
    <x v="3"/>
  </r>
  <r>
    <x v="253"/>
    <x v="0"/>
    <x v="1"/>
    <n v="33.4"/>
    <n v="66.8"/>
    <x v="10"/>
    <d v="2025-01-12T00:00:00"/>
    <x v="1"/>
    <x v="1"/>
    <n v="3"/>
    <x v="0"/>
    <x v="22"/>
    <x v="3"/>
    <x v="1"/>
    <x v="1"/>
  </r>
  <r>
    <x v="254"/>
    <x v="7"/>
    <x v="1"/>
    <n v="45.1"/>
    <n v="90.2"/>
    <x v="10"/>
    <d v="2025-01-19T00:00:00"/>
    <x v="1"/>
    <x v="0"/>
    <n v="4"/>
    <x v="0"/>
    <x v="34"/>
    <x v="9"/>
    <x v="1"/>
    <x v="1"/>
  </r>
  <r>
    <x v="255"/>
    <x v="2"/>
    <x v="3"/>
    <n v="61.7"/>
    <n v="431.90000000000003"/>
    <x v="10"/>
    <d v="2025-01-13T00:00:00"/>
    <x v="2"/>
    <x v="4"/>
    <n v="4"/>
    <x v="0"/>
    <x v="3"/>
    <x v="1"/>
    <x v="1"/>
    <x v="2"/>
  </r>
  <r>
    <x v="256"/>
    <x v="9"/>
    <x v="2"/>
    <n v="45.1"/>
    <n v="135.30000000000001"/>
    <x v="11"/>
    <d v="2025-01-13T00:00:00"/>
    <x v="1"/>
    <x v="4"/>
    <n v="3"/>
    <x v="0"/>
    <x v="3"/>
    <x v="3"/>
    <x v="2"/>
    <x v="1"/>
  </r>
  <r>
    <x v="257"/>
    <x v="15"/>
    <x v="9"/>
    <n v="22.7"/>
    <n v="113.5"/>
    <x v="11"/>
    <d v="2025-01-17T00:00:00"/>
    <x v="1"/>
    <x v="0"/>
    <n v="5"/>
    <x v="0"/>
    <x v="35"/>
    <x v="0"/>
    <x v="2"/>
    <x v="1"/>
  </r>
  <r>
    <x v="258"/>
    <x v="8"/>
    <x v="0"/>
    <n v="17.600000000000001"/>
    <n v="17.600000000000001"/>
    <x v="11"/>
    <d v="2025-01-13T00:00:00"/>
    <x v="2"/>
    <x v="0"/>
    <n v="5"/>
    <x v="0"/>
    <x v="23"/>
    <x v="3"/>
    <x v="2"/>
    <x v="2"/>
  </r>
  <r>
    <x v="259"/>
    <x v="14"/>
    <x v="1"/>
    <n v="11.3"/>
    <n v="22.6"/>
    <x v="11"/>
    <d v="2025-01-15T00:00:00"/>
    <x v="2"/>
    <x v="3"/>
    <n v="5"/>
    <x v="0"/>
    <x v="23"/>
    <x v="2"/>
    <x v="2"/>
    <x v="2"/>
  </r>
  <r>
    <x v="260"/>
    <x v="6"/>
    <x v="2"/>
    <n v="53.4"/>
    <n v="160.19999999999999"/>
    <x v="11"/>
    <d v="2025-01-15T00:00:00"/>
    <x v="1"/>
    <x v="3"/>
    <n v="5"/>
    <x v="0"/>
    <x v="36"/>
    <x v="2"/>
    <x v="2"/>
    <x v="1"/>
  </r>
  <r>
    <x v="261"/>
    <x v="6"/>
    <x v="5"/>
    <n v="51.1"/>
    <n v="562.1"/>
    <x v="11"/>
    <d v="2025-01-14T00:00:00"/>
    <x v="2"/>
    <x v="2"/>
    <n v="5"/>
    <x v="0"/>
    <x v="8"/>
    <x v="1"/>
    <x v="2"/>
    <x v="2"/>
  </r>
  <r>
    <x v="262"/>
    <x v="8"/>
    <x v="1"/>
    <n v="27.5"/>
    <n v="55"/>
    <x v="11"/>
    <d v="2025-01-13T00:00:00"/>
    <x v="1"/>
    <x v="4"/>
    <n v="3"/>
    <x v="0"/>
    <x v="8"/>
    <x v="3"/>
    <x v="2"/>
    <x v="1"/>
  </r>
  <r>
    <x v="263"/>
    <x v="9"/>
    <x v="0"/>
    <n v="33.5"/>
    <n v="33.5"/>
    <x v="11"/>
    <d v="2025-01-14T00:00:00"/>
    <x v="2"/>
    <x v="0"/>
    <n v="2"/>
    <x v="0"/>
    <x v="8"/>
    <x v="1"/>
    <x v="2"/>
    <x v="2"/>
  </r>
  <r>
    <x v="264"/>
    <x v="4"/>
    <x v="0"/>
    <n v="59.5"/>
    <n v="59.5"/>
    <x v="11"/>
    <d v="2025-01-12T00:00:00"/>
    <x v="1"/>
    <x v="0"/>
    <n v="5"/>
    <x v="0"/>
    <x v="18"/>
    <x v="7"/>
    <x v="2"/>
    <x v="1"/>
  </r>
  <r>
    <x v="265"/>
    <x v="17"/>
    <x v="12"/>
    <n v="23.5"/>
    <n v="94"/>
    <x v="11"/>
    <d v="2025-01-13T00:00:00"/>
    <x v="2"/>
    <x v="3"/>
    <n v="1"/>
    <x v="0"/>
    <x v="19"/>
    <x v="3"/>
    <x v="2"/>
    <x v="2"/>
  </r>
  <r>
    <x v="266"/>
    <x v="6"/>
    <x v="0"/>
    <n v="49.7"/>
    <n v="49.7"/>
    <x v="11"/>
    <d v="2025-01-13T00:00:00"/>
    <x v="0"/>
    <x v="1"/>
    <n v="5"/>
    <x v="0"/>
    <x v="20"/>
    <x v="3"/>
    <x v="2"/>
    <x v="0"/>
  </r>
  <r>
    <x v="267"/>
    <x v="6"/>
    <x v="12"/>
    <n v="44.2"/>
    <n v="176.8"/>
    <x v="11"/>
    <d v="2025-01-15T00:00:00"/>
    <x v="2"/>
    <x v="0"/>
    <n v="5"/>
    <x v="0"/>
    <x v="21"/>
    <x v="2"/>
    <x v="2"/>
    <x v="2"/>
  </r>
  <r>
    <x v="268"/>
    <x v="8"/>
    <x v="0"/>
    <n v="22.1"/>
    <n v="22.1"/>
    <x v="11"/>
    <d v="2025-01-16T00:00:00"/>
    <x v="2"/>
    <x v="1"/>
    <n v="3"/>
    <x v="0"/>
    <x v="33"/>
    <x v="5"/>
    <x v="2"/>
    <x v="2"/>
  </r>
  <r>
    <x v="269"/>
    <x v="6"/>
    <x v="2"/>
    <n v="90.9"/>
    <n v="272.70000000000005"/>
    <x v="11"/>
    <d v="2025-01-13T00:00:00"/>
    <x v="2"/>
    <x v="2"/>
    <n v="2"/>
    <x v="0"/>
    <x v="3"/>
    <x v="3"/>
    <x v="2"/>
    <x v="2"/>
  </r>
  <r>
    <x v="270"/>
    <x v="8"/>
    <x v="2"/>
    <n v="44.5"/>
    <n v="133.5"/>
    <x v="11"/>
    <d v="2025-01-13T00:00:00"/>
    <x v="2"/>
    <x v="1"/>
    <n v="4"/>
    <x v="0"/>
    <x v="3"/>
    <x v="3"/>
    <x v="2"/>
    <x v="2"/>
  </r>
  <r>
    <x v="271"/>
    <x v="9"/>
    <x v="13"/>
    <n v="32.299999999999997"/>
    <n v="193.79999999999998"/>
    <x v="11"/>
    <d v="2025-01-16T00:00:00"/>
    <x v="2"/>
    <x v="0"/>
    <n v="4"/>
    <x v="0"/>
    <x v="3"/>
    <x v="5"/>
    <x v="2"/>
    <x v="2"/>
  </r>
  <r>
    <x v="272"/>
    <x v="17"/>
    <x v="2"/>
    <n v="87.5"/>
    <n v="262.5"/>
    <x v="11"/>
    <d v="2025-01-13T00:00:00"/>
    <x v="2"/>
    <x v="1"/>
    <n v="3"/>
    <x v="0"/>
    <x v="3"/>
    <x v="3"/>
    <x v="2"/>
    <x v="2"/>
  </r>
  <r>
    <x v="273"/>
    <x v="16"/>
    <x v="9"/>
    <n v="48.7"/>
    <n v="243.5"/>
    <x v="11"/>
    <d v="2025-01-13T00:00:00"/>
    <x v="1"/>
    <x v="2"/>
    <n v="4"/>
    <x v="0"/>
    <x v="3"/>
    <x v="3"/>
    <x v="2"/>
    <x v="1"/>
  </r>
  <r>
    <x v="274"/>
    <x v="0"/>
    <x v="9"/>
    <n v="22.5"/>
    <n v="112.5"/>
    <x v="11"/>
    <d v="2025-01-13T00:00:00"/>
    <x v="1"/>
    <x v="0"/>
    <n v="4"/>
    <x v="0"/>
    <x v="3"/>
    <x v="3"/>
    <x v="2"/>
    <x v="1"/>
  </r>
  <r>
    <x v="275"/>
    <x v="1"/>
    <x v="8"/>
    <n v="65.900000000000006"/>
    <n v="527.20000000000005"/>
    <x v="11"/>
    <d v="2025-01-15T00:00:00"/>
    <x v="2"/>
    <x v="1"/>
    <n v="5"/>
    <x v="0"/>
    <x v="3"/>
    <x v="2"/>
    <x v="2"/>
    <x v="2"/>
  </r>
  <r>
    <x v="276"/>
    <x v="6"/>
    <x v="9"/>
    <n v="41.9"/>
    <n v="209.5"/>
    <x v="11"/>
    <d v="2025-01-19T00:00:00"/>
    <x v="0"/>
    <x v="0"/>
    <n v="4"/>
    <x v="0"/>
    <x v="3"/>
    <x v="6"/>
    <x v="2"/>
    <x v="0"/>
  </r>
  <r>
    <x v="277"/>
    <x v="1"/>
    <x v="9"/>
    <n v="67.5"/>
    <n v="337.5"/>
    <x v="11"/>
    <d v="2025-01-13T00:00:00"/>
    <x v="2"/>
    <x v="0"/>
    <n v="5"/>
    <x v="0"/>
    <x v="3"/>
    <x v="3"/>
    <x v="2"/>
    <x v="2"/>
  </r>
  <r>
    <x v="278"/>
    <x v="9"/>
    <x v="0"/>
    <n v="60.4"/>
    <n v="60.4"/>
    <x v="12"/>
    <d v="2025-01-15T00:00:00"/>
    <x v="2"/>
    <x v="1"/>
    <n v="3"/>
    <x v="0"/>
    <x v="3"/>
    <x v="1"/>
    <x v="2"/>
    <x v="2"/>
  </r>
  <r>
    <x v="279"/>
    <x v="1"/>
    <x v="3"/>
    <n v="30.4"/>
    <n v="212.79999999999998"/>
    <x v="12"/>
    <d v="2025-01-16T00:00:00"/>
    <x v="2"/>
    <x v="4"/>
    <n v="4"/>
    <x v="0"/>
    <x v="3"/>
    <x v="2"/>
    <x v="2"/>
    <x v="2"/>
  </r>
  <r>
    <x v="280"/>
    <x v="14"/>
    <x v="1"/>
    <n v="24.5"/>
    <n v="49"/>
    <x v="12"/>
    <d v="2025-01-14T00:00:00"/>
    <x v="1"/>
    <x v="3"/>
    <n v="5"/>
    <x v="0"/>
    <x v="3"/>
    <x v="3"/>
    <x v="2"/>
    <x v="1"/>
  </r>
  <r>
    <x v="281"/>
    <x v="2"/>
    <x v="2"/>
    <n v="105.9"/>
    <n v="317.70000000000005"/>
    <x v="12"/>
    <d v="2025-01-18T00:00:00"/>
    <x v="1"/>
    <x v="0"/>
    <n v="4"/>
    <x v="0"/>
    <x v="37"/>
    <x v="0"/>
    <x v="2"/>
    <x v="1"/>
  </r>
  <r>
    <x v="282"/>
    <x v="10"/>
    <x v="25"/>
    <n v="25.9"/>
    <n v="621.59999999999991"/>
    <x v="12"/>
    <d v="2025-01-14T00:00:00"/>
    <x v="2"/>
    <x v="4"/>
    <n v="4"/>
    <x v="0"/>
    <x v="23"/>
    <x v="3"/>
    <x v="2"/>
    <x v="2"/>
  </r>
  <r>
    <x v="283"/>
    <x v="6"/>
    <x v="2"/>
    <n v="66.8"/>
    <n v="200.39999999999998"/>
    <x v="12"/>
    <d v="2025-01-13T00:00:00"/>
    <x v="1"/>
    <x v="0"/>
    <n v="4"/>
    <x v="0"/>
    <x v="23"/>
    <x v="7"/>
    <x v="2"/>
    <x v="1"/>
  </r>
  <r>
    <x v="284"/>
    <x v="6"/>
    <x v="2"/>
    <n v="112.3"/>
    <n v="336.9"/>
    <x v="12"/>
    <d v="2025-01-14T00:00:00"/>
    <x v="1"/>
    <x v="2"/>
    <n v="2"/>
    <x v="0"/>
    <x v="6"/>
    <x v="3"/>
    <x v="2"/>
    <x v="1"/>
  </r>
  <r>
    <x v="285"/>
    <x v="1"/>
    <x v="13"/>
    <n v="94.1"/>
    <n v="564.59999999999991"/>
    <x v="12"/>
    <d v="2025-01-14T00:00:00"/>
    <x v="2"/>
    <x v="0"/>
    <n v="2"/>
    <x v="0"/>
    <x v="6"/>
    <x v="3"/>
    <x v="2"/>
    <x v="2"/>
  </r>
  <r>
    <x v="286"/>
    <x v="5"/>
    <x v="0"/>
    <n v="40.700000000000003"/>
    <n v="40.700000000000003"/>
    <x v="12"/>
    <d v="2025-01-16T00:00:00"/>
    <x v="2"/>
    <x v="2"/>
    <n v="4"/>
    <x v="0"/>
    <x v="6"/>
    <x v="2"/>
    <x v="2"/>
    <x v="2"/>
  </r>
  <r>
    <x v="287"/>
    <x v="3"/>
    <x v="1"/>
    <n v="71.400000000000006"/>
    <n v="142.80000000000001"/>
    <x v="12"/>
    <d v="2025-01-14T00:00:00"/>
    <x v="1"/>
    <x v="0"/>
    <n v="4"/>
    <x v="0"/>
    <x v="7"/>
    <x v="3"/>
    <x v="2"/>
    <x v="1"/>
  </r>
  <r>
    <x v="288"/>
    <x v="0"/>
    <x v="16"/>
    <n v="15.6"/>
    <n v="280.8"/>
    <x v="12"/>
    <d v="2025-01-14T00:00:00"/>
    <x v="1"/>
    <x v="1"/>
    <n v="1"/>
    <x v="0"/>
    <x v="8"/>
    <x v="3"/>
    <x v="2"/>
    <x v="1"/>
  </r>
  <r>
    <x v="289"/>
    <x v="10"/>
    <x v="12"/>
    <n v="37.799999999999997"/>
    <n v="151.19999999999999"/>
    <x v="12"/>
    <d v="2025-01-14T00:00:00"/>
    <x v="1"/>
    <x v="2"/>
    <n v="5"/>
    <x v="0"/>
    <x v="8"/>
    <x v="3"/>
    <x v="2"/>
    <x v="1"/>
  </r>
  <r>
    <x v="290"/>
    <x v="4"/>
    <x v="2"/>
    <n v="28.1"/>
    <n v="84.300000000000011"/>
    <x v="12"/>
    <d v="2025-01-17T00:00:00"/>
    <x v="1"/>
    <x v="0"/>
    <n v="4"/>
    <x v="0"/>
    <x v="8"/>
    <x v="5"/>
    <x v="2"/>
    <x v="1"/>
  </r>
  <r>
    <x v="291"/>
    <x v="7"/>
    <x v="13"/>
    <n v="51.4"/>
    <n v="308.39999999999998"/>
    <x v="12"/>
    <d v="2025-01-17T00:00:00"/>
    <x v="1"/>
    <x v="0"/>
    <n v="4"/>
    <x v="0"/>
    <x v="8"/>
    <x v="5"/>
    <x v="2"/>
    <x v="1"/>
  </r>
  <r>
    <x v="292"/>
    <x v="7"/>
    <x v="1"/>
    <n v="97.7"/>
    <n v="195.4"/>
    <x v="12"/>
    <d v="2025-01-15T00:00:00"/>
    <x v="2"/>
    <x v="4"/>
    <n v="5"/>
    <x v="0"/>
    <x v="17"/>
    <x v="1"/>
    <x v="2"/>
    <x v="2"/>
  </r>
  <r>
    <x v="293"/>
    <x v="1"/>
    <x v="12"/>
    <n v="63.8"/>
    <n v="255.2"/>
    <x v="12"/>
    <d v="2025-01-14T00:00:00"/>
    <x v="1"/>
    <x v="2"/>
    <n v="4"/>
    <x v="0"/>
    <x v="38"/>
    <x v="3"/>
    <x v="2"/>
    <x v="1"/>
  </r>
  <r>
    <x v="294"/>
    <x v="13"/>
    <x v="1"/>
    <n v="20.100000000000001"/>
    <n v="40.200000000000003"/>
    <x v="12"/>
    <d v="2025-01-15T00:00:00"/>
    <x v="1"/>
    <x v="0"/>
    <n v="5"/>
    <x v="0"/>
    <x v="20"/>
    <x v="1"/>
    <x v="2"/>
    <x v="1"/>
  </r>
  <r>
    <x v="295"/>
    <x v="11"/>
    <x v="2"/>
    <n v="50.4"/>
    <n v="151.19999999999999"/>
    <x v="12"/>
    <d v="2025-01-16T00:00:00"/>
    <x v="2"/>
    <x v="3"/>
    <n v="4"/>
    <x v="0"/>
    <x v="13"/>
    <x v="2"/>
    <x v="2"/>
    <x v="2"/>
  </r>
  <r>
    <x v="296"/>
    <x v="0"/>
    <x v="0"/>
    <n v="16.2"/>
    <n v="16.2"/>
    <x v="12"/>
    <d v="2025-01-26T00:00:00"/>
    <x v="2"/>
    <x v="1"/>
    <n v="4"/>
    <x v="0"/>
    <x v="1"/>
    <x v="10"/>
    <x v="2"/>
    <x v="2"/>
  </r>
  <r>
    <x v="297"/>
    <x v="6"/>
    <x v="3"/>
    <n v="80.900000000000006"/>
    <n v="566.30000000000007"/>
    <x v="12"/>
    <d v="2025-01-15T00:00:00"/>
    <x v="1"/>
    <x v="4"/>
    <n v="2"/>
    <x v="0"/>
    <x v="2"/>
    <x v="1"/>
    <x v="2"/>
    <x v="1"/>
  </r>
  <r>
    <x v="298"/>
    <x v="9"/>
    <x v="13"/>
    <n v="95.2"/>
    <n v="571.20000000000005"/>
    <x v="12"/>
    <d v="2025-01-15T00:00:00"/>
    <x v="2"/>
    <x v="0"/>
    <n v="5"/>
    <x v="0"/>
    <x v="2"/>
    <x v="1"/>
    <x v="2"/>
    <x v="2"/>
  </r>
  <r>
    <x v="299"/>
    <x v="5"/>
    <x v="8"/>
    <n v="70.400000000000006"/>
    <n v="563.20000000000005"/>
    <x v="12"/>
    <d v="2025-01-14T00:00:00"/>
    <x v="1"/>
    <x v="1"/>
    <n v="3"/>
    <x v="0"/>
    <x v="3"/>
    <x v="3"/>
    <x v="2"/>
    <x v="1"/>
  </r>
  <r>
    <x v="300"/>
    <x v="0"/>
    <x v="9"/>
    <n v="10.7"/>
    <n v="53.5"/>
    <x v="12"/>
    <d v="2025-01-17T00:00:00"/>
    <x v="2"/>
    <x v="2"/>
    <n v="4"/>
    <x v="0"/>
    <x v="3"/>
    <x v="5"/>
    <x v="2"/>
    <x v="2"/>
  </r>
  <r>
    <x v="301"/>
    <x v="8"/>
    <x v="9"/>
    <n v="19.600000000000001"/>
    <n v="98"/>
    <x v="12"/>
    <d v="2025-01-15T00:00:00"/>
    <x v="2"/>
    <x v="0"/>
    <n v="1"/>
    <x v="0"/>
    <x v="3"/>
    <x v="1"/>
    <x v="2"/>
    <x v="2"/>
  </r>
  <r>
    <x v="302"/>
    <x v="8"/>
    <x v="5"/>
    <n v="34.700000000000003"/>
    <n v="381.70000000000005"/>
    <x v="12"/>
    <d v="2025-01-15T00:00:00"/>
    <x v="2"/>
    <x v="0"/>
    <n v="5"/>
    <x v="0"/>
    <x v="3"/>
    <x v="1"/>
    <x v="2"/>
    <x v="2"/>
  </r>
  <r>
    <x v="303"/>
    <x v="10"/>
    <x v="11"/>
    <n v="34.1"/>
    <n v="306.90000000000003"/>
    <x v="12"/>
    <d v="2025-01-14T00:00:00"/>
    <x v="2"/>
    <x v="4"/>
    <n v="3"/>
    <x v="0"/>
    <x v="3"/>
    <x v="3"/>
    <x v="2"/>
    <x v="2"/>
  </r>
  <r>
    <x v="304"/>
    <x v="0"/>
    <x v="26"/>
    <n v="29.3"/>
    <n v="1435.7"/>
    <x v="12"/>
    <d v="2025-01-13T00:00:00"/>
    <x v="1"/>
    <x v="0"/>
    <n v="3"/>
    <x v="0"/>
    <x v="3"/>
    <x v="7"/>
    <x v="2"/>
    <x v="1"/>
  </r>
  <r>
    <x v="305"/>
    <x v="1"/>
    <x v="0"/>
    <n v="55.2"/>
    <n v="55.2"/>
    <x v="12"/>
    <d v="2025-01-14T00:00:00"/>
    <x v="2"/>
    <x v="0"/>
    <n v="3"/>
    <x v="0"/>
    <x v="3"/>
    <x v="3"/>
    <x v="2"/>
    <x v="2"/>
  </r>
  <r>
    <x v="306"/>
    <x v="18"/>
    <x v="2"/>
    <n v="26"/>
    <n v="78"/>
    <x v="12"/>
    <d v="2025-01-16T00:00:00"/>
    <x v="2"/>
    <x v="0"/>
    <n v="5"/>
    <x v="0"/>
    <x v="3"/>
    <x v="2"/>
    <x v="2"/>
    <x v="2"/>
  </r>
  <r>
    <x v="307"/>
    <x v="14"/>
    <x v="1"/>
    <n v="14.2"/>
    <n v="28.4"/>
    <x v="12"/>
    <d v="2025-01-18T00:00:00"/>
    <x v="2"/>
    <x v="3"/>
    <n v="4"/>
    <x v="0"/>
    <x v="39"/>
    <x v="0"/>
    <x v="2"/>
    <x v="2"/>
  </r>
  <r>
    <x v="308"/>
    <x v="8"/>
    <x v="11"/>
    <n v="22.7"/>
    <n v="204.29999999999998"/>
    <x v="13"/>
    <d v="2025-01-15T00:00:00"/>
    <x v="1"/>
    <x v="1"/>
    <n v="4"/>
    <x v="0"/>
    <x v="6"/>
    <x v="3"/>
    <x v="2"/>
    <x v="1"/>
  </r>
  <r>
    <x v="309"/>
    <x v="0"/>
    <x v="20"/>
    <n v="19.8"/>
    <n v="297"/>
    <x v="13"/>
    <d v="2025-01-14T00:00:00"/>
    <x v="2"/>
    <x v="0"/>
    <n v="5"/>
    <x v="0"/>
    <x v="6"/>
    <x v="7"/>
    <x v="2"/>
    <x v="2"/>
  </r>
  <r>
    <x v="310"/>
    <x v="0"/>
    <x v="2"/>
    <n v="31.7"/>
    <n v="95.1"/>
    <x v="13"/>
    <d v="2025-01-15T00:00:00"/>
    <x v="1"/>
    <x v="2"/>
    <n v="4"/>
    <x v="0"/>
    <x v="6"/>
    <x v="3"/>
    <x v="2"/>
    <x v="1"/>
  </r>
  <r>
    <x v="311"/>
    <x v="8"/>
    <x v="12"/>
    <n v="30.4"/>
    <n v="121.6"/>
    <x v="13"/>
    <d v="2025-01-18T00:00:00"/>
    <x v="1"/>
    <x v="0"/>
    <n v="4"/>
    <x v="0"/>
    <x v="6"/>
    <x v="5"/>
    <x v="2"/>
    <x v="1"/>
  </r>
  <r>
    <x v="312"/>
    <x v="0"/>
    <x v="12"/>
    <n v="25.6"/>
    <n v="102.4"/>
    <x v="13"/>
    <d v="2025-01-15T00:00:00"/>
    <x v="1"/>
    <x v="3"/>
    <n v="4"/>
    <x v="0"/>
    <x v="8"/>
    <x v="3"/>
    <x v="2"/>
    <x v="1"/>
  </r>
  <r>
    <x v="313"/>
    <x v="5"/>
    <x v="1"/>
    <n v="34.9"/>
    <n v="69.8"/>
    <x v="13"/>
    <d v="2025-01-15T00:00:00"/>
    <x v="2"/>
    <x v="2"/>
    <n v="4"/>
    <x v="0"/>
    <x v="9"/>
    <x v="3"/>
    <x v="2"/>
    <x v="2"/>
  </r>
  <r>
    <x v="314"/>
    <x v="7"/>
    <x v="13"/>
    <n v="42.7"/>
    <n v="256.20000000000005"/>
    <x v="13"/>
    <d v="2025-01-17T00:00:00"/>
    <x v="1"/>
    <x v="2"/>
    <n v="3"/>
    <x v="0"/>
    <x v="11"/>
    <x v="2"/>
    <x v="2"/>
    <x v="1"/>
  </r>
  <r>
    <x v="315"/>
    <x v="8"/>
    <x v="0"/>
    <n v="23.9"/>
    <n v="23.9"/>
    <x v="13"/>
    <d v="2025-01-16T00:00:00"/>
    <x v="2"/>
    <x v="3"/>
    <n v="4"/>
    <x v="0"/>
    <x v="11"/>
    <x v="1"/>
    <x v="2"/>
    <x v="2"/>
  </r>
  <r>
    <x v="316"/>
    <x v="6"/>
    <x v="0"/>
    <n v="124.3"/>
    <n v="124.3"/>
    <x v="13"/>
    <d v="2025-01-15T00:00:00"/>
    <x v="0"/>
    <x v="2"/>
    <n v="3"/>
    <x v="0"/>
    <x v="21"/>
    <x v="3"/>
    <x v="2"/>
    <x v="0"/>
  </r>
  <r>
    <x v="317"/>
    <x v="8"/>
    <x v="13"/>
    <n v="35.9"/>
    <n v="215.39999999999998"/>
    <x v="13"/>
    <d v="2025-01-15T00:00:00"/>
    <x v="2"/>
    <x v="0"/>
    <n v="3"/>
    <x v="0"/>
    <x v="1"/>
    <x v="3"/>
    <x v="2"/>
    <x v="2"/>
  </r>
  <r>
    <x v="318"/>
    <x v="2"/>
    <x v="1"/>
    <n v="69.099999999999994"/>
    <n v="138.19999999999999"/>
    <x v="13"/>
    <d v="2025-01-17T00:00:00"/>
    <x v="2"/>
    <x v="0"/>
    <n v="5"/>
    <x v="0"/>
    <x v="22"/>
    <x v="2"/>
    <x v="2"/>
    <x v="2"/>
  </r>
  <r>
    <x v="319"/>
    <x v="7"/>
    <x v="0"/>
    <n v="58.4"/>
    <n v="58.4"/>
    <x v="13"/>
    <d v="2025-01-18T00:00:00"/>
    <x v="1"/>
    <x v="0"/>
    <n v="4"/>
    <x v="0"/>
    <x v="22"/>
    <x v="5"/>
    <x v="2"/>
    <x v="1"/>
  </r>
  <r>
    <x v="320"/>
    <x v="5"/>
    <x v="0"/>
    <n v="65.2"/>
    <n v="65.2"/>
    <x v="13"/>
    <d v="2025-01-16T00:00:00"/>
    <x v="3"/>
    <x v="4"/>
    <n v="2"/>
    <x v="0"/>
    <x v="3"/>
    <x v="1"/>
    <x v="2"/>
    <x v="3"/>
  </r>
  <r>
    <x v="321"/>
    <x v="8"/>
    <x v="14"/>
    <n v="32.700000000000003"/>
    <n v="555.90000000000009"/>
    <x v="13"/>
    <d v="2025-01-21T00:00:00"/>
    <x v="0"/>
    <x v="4"/>
    <n v="4"/>
    <x v="0"/>
    <x v="3"/>
    <x v="6"/>
    <x v="2"/>
    <x v="0"/>
  </r>
  <r>
    <x v="322"/>
    <x v="10"/>
    <x v="3"/>
    <n v="24.4"/>
    <n v="170.79999999999998"/>
    <x v="13"/>
    <d v="2025-01-15T00:00:00"/>
    <x v="2"/>
    <x v="0"/>
    <n v="4"/>
    <x v="0"/>
    <x v="3"/>
    <x v="3"/>
    <x v="2"/>
    <x v="2"/>
  </r>
  <r>
    <x v="323"/>
    <x v="14"/>
    <x v="1"/>
    <n v="50.4"/>
    <n v="100.8"/>
    <x v="13"/>
    <d v="2025-01-20T00:00:00"/>
    <x v="1"/>
    <x v="0"/>
    <n v="3"/>
    <x v="0"/>
    <x v="3"/>
    <x v="4"/>
    <x v="2"/>
    <x v="1"/>
  </r>
  <r>
    <x v="324"/>
    <x v="1"/>
    <x v="1"/>
    <n v="100"/>
    <n v="200"/>
    <x v="13"/>
    <d v="2025-01-15T00:00:00"/>
    <x v="2"/>
    <x v="0"/>
    <n v="4"/>
    <x v="0"/>
    <x v="3"/>
    <x v="3"/>
    <x v="2"/>
    <x v="2"/>
  </r>
  <r>
    <x v="325"/>
    <x v="10"/>
    <x v="2"/>
    <n v="43"/>
    <n v="129"/>
    <x v="14"/>
    <d v="2025-01-15T00:00:00"/>
    <x v="2"/>
    <x v="2"/>
    <n v="3"/>
    <x v="0"/>
    <x v="3"/>
    <x v="7"/>
    <x v="2"/>
    <x v="2"/>
  </r>
  <r>
    <x v="326"/>
    <x v="1"/>
    <x v="9"/>
    <n v="64.400000000000006"/>
    <n v="322"/>
    <x v="14"/>
    <d v="2025-01-17T00:00:00"/>
    <x v="1"/>
    <x v="2"/>
    <n v="3"/>
    <x v="0"/>
    <x v="3"/>
    <x v="1"/>
    <x v="2"/>
    <x v="1"/>
  </r>
  <r>
    <x v="327"/>
    <x v="18"/>
    <x v="1"/>
    <n v="57.4"/>
    <n v="114.8"/>
    <x v="14"/>
    <d v="2025-01-16T00:00:00"/>
    <x v="1"/>
    <x v="2"/>
    <n v="3"/>
    <x v="0"/>
    <x v="3"/>
    <x v="3"/>
    <x v="2"/>
    <x v="1"/>
  </r>
  <r>
    <x v="328"/>
    <x v="2"/>
    <x v="2"/>
    <n v="55.1"/>
    <n v="165.3"/>
    <x v="14"/>
    <d v="2025-01-18T00:00:00"/>
    <x v="2"/>
    <x v="1"/>
    <n v="4"/>
    <x v="0"/>
    <x v="3"/>
    <x v="2"/>
    <x v="2"/>
    <x v="2"/>
  </r>
  <r>
    <x v="329"/>
    <x v="7"/>
    <x v="12"/>
    <n v="45.4"/>
    <n v="181.6"/>
    <x v="14"/>
    <d v="2025-01-16T00:00:00"/>
    <x v="2"/>
    <x v="1"/>
    <n v="4"/>
    <x v="0"/>
    <x v="3"/>
    <x v="3"/>
    <x v="2"/>
    <x v="2"/>
  </r>
  <r>
    <x v="330"/>
    <x v="3"/>
    <x v="2"/>
    <n v="93.3"/>
    <n v="279.89999999999998"/>
    <x v="14"/>
    <d v="2025-01-16T00:00:00"/>
    <x v="2"/>
    <x v="0"/>
    <n v="4"/>
    <x v="0"/>
    <x v="40"/>
    <x v="3"/>
    <x v="2"/>
    <x v="2"/>
  </r>
  <r>
    <x v="331"/>
    <x v="2"/>
    <x v="10"/>
    <n v="158.19999999999999"/>
    <n v="3005.7999999999997"/>
    <x v="14"/>
    <d v="2025-01-16T00:00:00"/>
    <x v="2"/>
    <x v="1"/>
    <n v="5"/>
    <x v="0"/>
    <x v="16"/>
    <x v="3"/>
    <x v="2"/>
    <x v="2"/>
  </r>
  <r>
    <x v="332"/>
    <x v="2"/>
    <x v="1"/>
    <n v="74.900000000000006"/>
    <n v="149.80000000000001"/>
    <x v="14"/>
    <d v="2025-01-17T00:00:00"/>
    <x v="1"/>
    <x v="3"/>
    <n v="4"/>
    <x v="0"/>
    <x v="6"/>
    <x v="1"/>
    <x v="2"/>
    <x v="1"/>
  </r>
  <r>
    <x v="333"/>
    <x v="8"/>
    <x v="3"/>
    <n v="26"/>
    <n v="182"/>
    <x v="14"/>
    <d v="2025-01-18T00:00:00"/>
    <x v="2"/>
    <x v="1"/>
    <n v="4"/>
    <x v="0"/>
    <x v="8"/>
    <x v="2"/>
    <x v="2"/>
    <x v="2"/>
  </r>
  <r>
    <x v="334"/>
    <x v="9"/>
    <x v="13"/>
    <n v="37.5"/>
    <n v="225"/>
    <x v="14"/>
    <d v="2025-01-16T00:00:00"/>
    <x v="2"/>
    <x v="0"/>
    <n v="3"/>
    <x v="0"/>
    <x v="8"/>
    <x v="3"/>
    <x v="2"/>
    <x v="2"/>
  </r>
  <r>
    <x v="335"/>
    <x v="6"/>
    <x v="1"/>
    <n v="75.8"/>
    <n v="151.6"/>
    <x v="14"/>
    <d v="2025-01-21T00:00:00"/>
    <x v="1"/>
    <x v="0"/>
    <n v="4"/>
    <x v="0"/>
    <x v="8"/>
    <x v="4"/>
    <x v="2"/>
    <x v="1"/>
  </r>
  <r>
    <x v="336"/>
    <x v="7"/>
    <x v="0"/>
    <n v="48.5"/>
    <n v="48.5"/>
    <x v="14"/>
    <d v="2025-01-27T00:00:00"/>
    <x v="0"/>
    <x v="4"/>
    <n v="5"/>
    <x v="0"/>
    <x v="8"/>
    <x v="13"/>
    <x v="2"/>
    <x v="0"/>
  </r>
  <r>
    <x v="337"/>
    <x v="6"/>
    <x v="2"/>
    <n v="98.9"/>
    <n v="296.70000000000005"/>
    <x v="14"/>
    <d v="2025-01-17T00:00:00"/>
    <x v="2"/>
    <x v="4"/>
    <n v="3"/>
    <x v="0"/>
    <x v="8"/>
    <x v="1"/>
    <x v="2"/>
    <x v="2"/>
  </r>
  <r>
    <x v="338"/>
    <x v="1"/>
    <x v="4"/>
    <n v="50.9"/>
    <n v="610.79999999999995"/>
    <x v="14"/>
    <d v="2025-01-15T00:00:00"/>
    <x v="1"/>
    <x v="4"/>
    <n v="4"/>
    <x v="0"/>
    <x v="8"/>
    <x v="7"/>
    <x v="2"/>
    <x v="1"/>
  </r>
  <r>
    <x v="339"/>
    <x v="12"/>
    <x v="13"/>
    <n v="84.7"/>
    <n v="508.20000000000005"/>
    <x v="14"/>
    <d v="2025-01-15T00:00:00"/>
    <x v="2"/>
    <x v="2"/>
    <n v="4"/>
    <x v="0"/>
    <x v="8"/>
    <x v="7"/>
    <x v="2"/>
    <x v="2"/>
  </r>
  <r>
    <x v="340"/>
    <x v="8"/>
    <x v="0"/>
    <n v="20.7"/>
    <n v="20.7"/>
    <x v="14"/>
    <d v="2025-01-17T00:00:00"/>
    <x v="2"/>
    <x v="3"/>
    <n v="5"/>
    <x v="0"/>
    <x v="8"/>
    <x v="1"/>
    <x v="2"/>
    <x v="2"/>
  </r>
  <r>
    <x v="341"/>
    <x v="12"/>
    <x v="11"/>
    <n v="57.8"/>
    <n v="520.19999999999993"/>
    <x v="14"/>
    <d v="2025-01-26T00:00:00"/>
    <x v="1"/>
    <x v="0"/>
    <n v="2"/>
    <x v="0"/>
    <x v="17"/>
    <x v="11"/>
    <x v="2"/>
    <x v="1"/>
  </r>
  <r>
    <x v="342"/>
    <x v="2"/>
    <x v="1"/>
    <n v="106.9"/>
    <n v="213.8"/>
    <x v="14"/>
    <d v="2025-01-17T00:00:00"/>
    <x v="2"/>
    <x v="0"/>
    <n v="5"/>
    <x v="0"/>
    <x v="41"/>
    <x v="1"/>
    <x v="2"/>
    <x v="2"/>
  </r>
  <r>
    <x v="343"/>
    <x v="3"/>
    <x v="9"/>
    <n v="45.2"/>
    <n v="226"/>
    <x v="14"/>
    <d v="2025-01-19T00:00:00"/>
    <x v="2"/>
    <x v="1"/>
    <n v="4"/>
    <x v="0"/>
    <x v="21"/>
    <x v="5"/>
    <x v="2"/>
    <x v="2"/>
  </r>
  <r>
    <x v="344"/>
    <x v="8"/>
    <x v="15"/>
    <n v="34.6"/>
    <n v="449.8"/>
    <x v="14"/>
    <d v="2025-01-15T00:00:00"/>
    <x v="2"/>
    <x v="1"/>
    <n v="3"/>
    <x v="0"/>
    <x v="21"/>
    <x v="7"/>
    <x v="2"/>
    <x v="2"/>
  </r>
  <r>
    <x v="345"/>
    <x v="15"/>
    <x v="0"/>
    <n v="43.8"/>
    <n v="43.8"/>
    <x v="14"/>
    <d v="2025-01-17T00:00:00"/>
    <x v="0"/>
    <x v="0"/>
    <n v="5"/>
    <x v="0"/>
    <x v="21"/>
    <x v="1"/>
    <x v="2"/>
    <x v="0"/>
  </r>
  <r>
    <x v="346"/>
    <x v="15"/>
    <x v="0"/>
    <n v="20.399999999999999"/>
    <n v="20.399999999999999"/>
    <x v="14"/>
    <d v="2025-01-17T00:00:00"/>
    <x v="1"/>
    <x v="4"/>
    <n v="3"/>
    <x v="0"/>
    <x v="21"/>
    <x v="1"/>
    <x v="2"/>
    <x v="1"/>
  </r>
  <r>
    <x v="347"/>
    <x v="1"/>
    <x v="0"/>
    <n v="36.700000000000003"/>
    <n v="36.700000000000003"/>
    <x v="14"/>
    <d v="2025-01-16T00:00:00"/>
    <x v="1"/>
    <x v="0"/>
    <n v="3"/>
    <x v="0"/>
    <x v="1"/>
    <x v="3"/>
    <x v="2"/>
    <x v="1"/>
  </r>
  <r>
    <x v="348"/>
    <x v="8"/>
    <x v="2"/>
    <n v="27.2"/>
    <n v="81.599999999999994"/>
    <x v="14"/>
    <d v="2025-01-19T00:00:00"/>
    <x v="1"/>
    <x v="0"/>
    <n v="5"/>
    <x v="0"/>
    <x v="1"/>
    <x v="5"/>
    <x v="2"/>
    <x v="1"/>
  </r>
  <r>
    <x v="349"/>
    <x v="6"/>
    <x v="0"/>
    <n v="58.2"/>
    <n v="58.2"/>
    <x v="14"/>
    <d v="2025-01-16T00:00:00"/>
    <x v="2"/>
    <x v="0"/>
    <n v="5"/>
    <x v="0"/>
    <x v="42"/>
    <x v="3"/>
    <x v="2"/>
    <x v="2"/>
  </r>
  <r>
    <x v="350"/>
    <x v="8"/>
    <x v="2"/>
    <n v="25.6"/>
    <n v="76.800000000000011"/>
    <x v="14"/>
    <d v="2025-01-16T00:00:00"/>
    <x v="1"/>
    <x v="4"/>
    <n v="2"/>
    <x v="0"/>
    <x v="2"/>
    <x v="3"/>
    <x v="2"/>
    <x v="1"/>
  </r>
  <r>
    <x v="351"/>
    <x v="10"/>
    <x v="0"/>
    <n v="21.2"/>
    <n v="21.2"/>
    <x v="14"/>
    <d v="2025-01-15T00:00:00"/>
    <x v="2"/>
    <x v="1"/>
    <n v="5"/>
    <x v="0"/>
    <x v="3"/>
    <x v="7"/>
    <x v="2"/>
    <x v="2"/>
  </r>
  <r>
    <x v="352"/>
    <x v="6"/>
    <x v="1"/>
    <n v="48.2"/>
    <n v="96.4"/>
    <x v="14"/>
    <d v="2025-01-23T00:00:00"/>
    <x v="2"/>
    <x v="0"/>
    <n v="5"/>
    <x v="0"/>
    <x v="3"/>
    <x v="9"/>
    <x v="2"/>
    <x v="2"/>
  </r>
  <r>
    <x v="353"/>
    <x v="1"/>
    <x v="12"/>
    <n v="83.4"/>
    <n v="333.6"/>
    <x v="15"/>
    <d v="2025-01-17T00:00:00"/>
    <x v="1"/>
    <x v="0"/>
    <n v="4"/>
    <x v="0"/>
    <x v="3"/>
    <x v="3"/>
    <x v="2"/>
    <x v="1"/>
  </r>
  <r>
    <x v="354"/>
    <x v="9"/>
    <x v="2"/>
    <n v="45.3"/>
    <n v="135.89999999999998"/>
    <x v="15"/>
    <d v="2025-01-22T00:00:00"/>
    <x v="1"/>
    <x v="2"/>
    <n v="3"/>
    <x v="0"/>
    <x v="3"/>
    <x v="4"/>
    <x v="2"/>
    <x v="1"/>
  </r>
  <r>
    <x v="355"/>
    <x v="17"/>
    <x v="0"/>
    <n v="42"/>
    <n v="42"/>
    <x v="15"/>
    <d v="2025-01-17T00:00:00"/>
    <x v="0"/>
    <x v="0"/>
    <n v="4"/>
    <x v="0"/>
    <x v="3"/>
    <x v="3"/>
    <x v="2"/>
    <x v="0"/>
  </r>
  <r>
    <x v="356"/>
    <x v="0"/>
    <x v="11"/>
    <n v="21.8"/>
    <n v="196.20000000000002"/>
    <x v="15"/>
    <d v="2025-01-18T00:00:00"/>
    <x v="2"/>
    <x v="1"/>
    <n v="4"/>
    <x v="0"/>
    <x v="3"/>
    <x v="1"/>
    <x v="2"/>
    <x v="2"/>
  </r>
  <r>
    <x v="357"/>
    <x v="8"/>
    <x v="16"/>
    <n v="21.4"/>
    <n v="385.2"/>
    <x v="15"/>
    <d v="2025-01-19T00:00:00"/>
    <x v="2"/>
    <x v="1"/>
    <n v="5"/>
    <x v="0"/>
    <x v="3"/>
    <x v="2"/>
    <x v="2"/>
    <x v="2"/>
  </r>
  <r>
    <x v="358"/>
    <x v="10"/>
    <x v="2"/>
    <n v="45"/>
    <n v="135"/>
    <x v="15"/>
    <d v="2025-01-16T00:00:00"/>
    <x v="2"/>
    <x v="1"/>
    <n v="5"/>
    <x v="0"/>
    <x v="3"/>
    <x v="7"/>
    <x v="2"/>
    <x v="2"/>
  </r>
  <r>
    <x v="359"/>
    <x v="14"/>
    <x v="0"/>
    <n v="39.6"/>
    <n v="39.6"/>
    <x v="15"/>
    <d v="2025-01-17T00:00:00"/>
    <x v="1"/>
    <x v="0"/>
    <n v="5"/>
    <x v="0"/>
    <x v="3"/>
    <x v="3"/>
    <x v="2"/>
    <x v="1"/>
  </r>
  <r>
    <x v="360"/>
    <x v="12"/>
    <x v="2"/>
    <n v="79.8"/>
    <n v="239.39999999999998"/>
    <x v="15"/>
    <d v="2025-01-22T00:00:00"/>
    <x v="2"/>
    <x v="1"/>
    <n v="2"/>
    <x v="0"/>
    <x v="3"/>
    <x v="4"/>
    <x v="2"/>
    <x v="2"/>
  </r>
  <r>
    <x v="361"/>
    <x v="1"/>
    <x v="12"/>
    <n v="63.6"/>
    <n v="254.4"/>
    <x v="15"/>
    <d v="2025-01-17T00:00:00"/>
    <x v="3"/>
    <x v="0"/>
    <n v="5"/>
    <x v="0"/>
    <x v="24"/>
    <x v="3"/>
    <x v="2"/>
    <x v="3"/>
  </r>
  <r>
    <x v="362"/>
    <x v="7"/>
    <x v="7"/>
    <n v="92.7"/>
    <n v="927"/>
    <x v="15"/>
    <d v="2025-01-20T00:00:00"/>
    <x v="1"/>
    <x v="1"/>
    <n v="5"/>
    <x v="0"/>
    <x v="6"/>
    <x v="5"/>
    <x v="2"/>
    <x v="1"/>
  </r>
  <r>
    <x v="363"/>
    <x v="1"/>
    <x v="12"/>
    <n v="48.4"/>
    <n v="193.6"/>
    <x v="15"/>
    <d v="2025-01-18T00:00:00"/>
    <x v="2"/>
    <x v="1"/>
    <n v="5"/>
    <x v="0"/>
    <x v="6"/>
    <x v="1"/>
    <x v="2"/>
    <x v="2"/>
  </r>
  <r>
    <x v="364"/>
    <x v="9"/>
    <x v="8"/>
    <n v="36"/>
    <n v="288"/>
    <x v="15"/>
    <d v="2025-01-19T00:00:00"/>
    <x v="1"/>
    <x v="2"/>
    <n v="5"/>
    <x v="0"/>
    <x v="8"/>
    <x v="2"/>
    <x v="2"/>
    <x v="1"/>
  </r>
  <r>
    <x v="365"/>
    <x v="8"/>
    <x v="4"/>
    <n v="27"/>
    <n v="324"/>
    <x v="15"/>
    <d v="2025-01-18T00:00:00"/>
    <x v="2"/>
    <x v="2"/>
    <n v="3"/>
    <x v="0"/>
    <x v="8"/>
    <x v="1"/>
    <x v="2"/>
    <x v="2"/>
  </r>
  <r>
    <x v="366"/>
    <x v="2"/>
    <x v="8"/>
    <n v="53.9"/>
    <n v="431.2"/>
    <x v="15"/>
    <d v="2025-01-17T00:00:00"/>
    <x v="0"/>
    <x v="0"/>
    <n v="4"/>
    <x v="0"/>
    <x v="8"/>
    <x v="3"/>
    <x v="2"/>
    <x v="0"/>
  </r>
  <r>
    <x v="367"/>
    <x v="3"/>
    <x v="11"/>
    <n v="48.4"/>
    <n v="435.59999999999997"/>
    <x v="15"/>
    <d v="2025-01-17T00:00:00"/>
    <x v="2"/>
    <x v="1"/>
    <n v="4"/>
    <x v="0"/>
    <x v="9"/>
    <x v="3"/>
    <x v="2"/>
    <x v="2"/>
  </r>
  <r>
    <x v="368"/>
    <x v="17"/>
    <x v="1"/>
    <n v="49.9"/>
    <n v="99.8"/>
    <x v="15"/>
    <d v="2025-01-21T00:00:00"/>
    <x v="1"/>
    <x v="4"/>
    <n v="2"/>
    <x v="0"/>
    <x v="10"/>
    <x v="0"/>
    <x v="2"/>
    <x v="1"/>
  </r>
  <r>
    <x v="369"/>
    <x v="1"/>
    <x v="2"/>
    <n v="51.7"/>
    <n v="155.10000000000002"/>
    <x v="15"/>
    <d v="2025-01-17T00:00:00"/>
    <x v="2"/>
    <x v="0"/>
    <n v="5"/>
    <x v="0"/>
    <x v="11"/>
    <x v="3"/>
    <x v="2"/>
    <x v="2"/>
  </r>
  <r>
    <x v="370"/>
    <x v="8"/>
    <x v="2"/>
    <n v="41.8"/>
    <n v="125.39999999999999"/>
    <x v="15"/>
    <d v="2025-01-18T00:00:00"/>
    <x v="2"/>
    <x v="2"/>
    <n v="4"/>
    <x v="0"/>
    <x v="18"/>
    <x v="1"/>
    <x v="2"/>
    <x v="2"/>
  </r>
  <r>
    <x v="371"/>
    <x v="4"/>
    <x v="12"/>
    <n v="36.200000000000003"/>
    <n v="144.80000000000001"/>
    <x v="16"/>
    <d v="2025-01-18T00:00:00"/>
    <x v="1"/>
    <x v="2"/>
    <n v="5"/>
    <x v="0"/>
    <x v="21"/>
    <x v="3"/>
    <x v="2"/>
    <x v="1"/>
  </r>
  <r>
    <x v="372"/>
    <x v="2"/>
    <x v="0"/>
    <n v="150.9"/>
    <n v="150.9"/>
    <x v="16"/>
    <d v="2025-01-27T00:00:00"/>
    <x v="1"/>
    <x v="0"/>
    <n v="4"/>
    <x v="0"/>
    <x v="1"/>
    <x v="14"/>
    <x v="2"/>
    <x v="1"/>
  </r>
  <r>
    <x v="373"/>
    <x v="18"/>
    <x v="12"/>
    <n v="77.599999999999994"/>
    <n v="310.39999999999998"/>
    <x v="16"/>
    <d v="2025-01-18T00:00:00"/>
    <x v="0"/>
    <x v="2"/>
    <n v="4"/>
    <x v="0"/>
    <x v="3"/>
    <x v="3"/>
    <x v="2"/>
    <x v="0"/>
  </r>
  <r>
    <x v="374"/>
    <x v="13"/>
    <x v="9"/>
    <n v="65.5"/>
    <n v="327.5"/>
    <x v="16"/>
    <d v="2025-01-17T00:00:00"/>
    <x v="1"/>
    <x v="1"/>
    <n v="4"/>
    <x v="0"/>
    <x v="3"/>
    <x v="7"/>
    <x v="2"/>
    <x v="1"/>
  </r>
  <r>
    <x v="375"/>
    <x v="6"/>
    <x v="2"/>
    <n v="90.1"/>
    <n v="270.29999999999995"/>
    <x v="16"/>
    <d v="2025-01-19T00:00:00"/>
    <x v="2"/>
    <x v="0"/>
    <n v="4"/>
    <x v="0"/>
    <x v="3"/>
    <x v="1"/>
    <x v="2"/>
    <x v="2"/>
  </r>
  <r>
    <x v="376"/>
    <x v="1"/>
    <x v="1"/>
    <n v="108.3"/>
    <n v="216.6"/>
    <x v="16"/>
    <d v="2025-01-20T00:00:00"/>
    <x v="3"/>
    <x v="4"/>
    <n v="4"/>
    <x v="0"/>
    <x v="3"/>
    <x v="2"/>
    <x v="2"/>
    <x v="3"/>
  </r>
  <r>
    <x v="377"/>
    <x v="5"/>
    <x v="2"/>
    <n v="59.9"/>
    <n v="179.7"/>
    <x v="16"/>
    <d v="2025-01-21T00:00:00"/>
    <x v="2"/>
    <x v="0"/>
    <n v="4"/>
    <x v="0"/>
    <x v="3"/>
    <x v="5"/>
    <x v="2"/>
    <x v="2"/>
  </r>
  <r>
    <x v="378"/>
    <x v="2"/>
    <x v="14"/>
    <n v="139"/>
    <n v="2363"/>
    <x v="16"/>
    <d v="2025-01-19T00:00:00"/>
    <x v="2"/>
    <x v="1"/>
    <n v="2"/>
    <x v="0"/>
    <x v="3"/>
    <x v="1"/>
    <x v="2"/>
    <x v="2"/>
  </r>
  <r>
    <x v="379"/>
    <x v="6"/>
    <x v="2"/>
    <n v="87.3"/>
    <n v="261.89999999999998"/>
    <x v="16"/>
    <d v="2025-01-18T00:00:00"/>
    <x v="2"/>
    <x v="0"/>
    <n v="4"/>
    <x v="0"/>
    <x v="3"/>
    <x v="3"/>
    <x v="2"/>
    <x v="2"/>
  </r>
  <r>
    <x v="380"/>
    <x v="11"/>
    <x v="12"/>
    <n v="42.3"/>
    <n v="169.2"/>
    <x v="16"/>
    <d v="2025-01-17T00:00:00"/>
    <x v="1"/>
    <x v="0"/>
    <n v="4"/>
    <x v="0"/>
    <x v="3"/>
    <x v="7"/>
    <x v="2"/>
    <x v="1"/>
  </r>
  <r>
    <x v="381"/>
    <x v="14"/>
    <x v="8"/>
    <n v="103.6"/>
    <n v="828.8"/>
    <x v="16"/>
    <d v="2025-01-18T00:00:00"/>
    <x v="3"/>
    <x v="0"/>
    <n v="3"/>
    <x v="0"/>
    <x v="3"/>
    <x v="3"/>
    <x v="2"/>
    <x v="3"/>
  </r>
  <r>
    <x v="382"/>
    <x v="6"/>
    <x v="1"/>
    <n v="90.9"/>
    <n v="181.8"/>
    <x v="16"/>
    <d v="2025-01-18T00:00:00"/>
    <x v="1"/>
    <x v="1"/>
    <n v="4"/>
    <x v="0"/>
    <x v="6"/>
    <x v="3"/>
    <x v="2"/>
    <x v="1"/>
  </r>
  <r>
    <x v="383"/>
    <x v="9"/>
    <x v="27"/>
    <n v="100.9"/>
    <n v="1614.4"/>
    <x v="16"/>
    <d v="2025-01-18T00:00:00"/>
    <x v="2"/>
    <x v="1"/>
    <n v="4"/>
    <x v="0"/>
    <x v="6"/>
    <x v="3"/>
    <x v="2"/>
    <x v="2"/>
  </r>
  <r>
    <x v="384"/>
    <x v="4"/>
    <x v="9"/>
    <n v="36"/>
    <n v="180"/>
    <x v="16"/>
    <d v="2025-01-19T00:00:00"/>
    <x v="2"/>
    <x v="1"/>
    <n v="4"/>
    <x v="0"/>
    <x v="7"/>
    <x v="1"/>
    <x v="2"/>
    <x v="2"/>
  </r>
  <r>
    <x v="385"/>
    <x v="6"/>
    <x v="13"/>
    <n v="83.3"/>
    <n v="499.79999999999995"/>
    <x v="16"/>
    <d v="2025-01-20T00:00:00"/>
    <x v="0"/>
    <x v="2"/>
    <n v="4"/>
    <x v="0"/>
    <x v="7"/>
    <x v="2"/>
    <x v="2"/>
    <x v="0"/>
  </r>
  <r>
    <x v="386"/>
    <x v="2"/>
    <x v="14"/>
    <n v="60.3"/>
    <n v="1025.0999999999999"/>
    <x v="16"/>
    <d v="2025-01-18T00:00:00"/>
    <x v="1"/>
    <x v="2"/>
    <n v="3"/>
    <x v="0"/>
    <x v="7"/>
    <x v="3"/>
    <x v="2"/>
    <x v="1"/>
  </r>
  <r>
    <x v="387"/>
    <x v="2"/>
    <x v="13"/>
    <n v="120.3"/>
    <n v="721.8"/>
    <x v="16"/>
    <d v="2025-01-18T00:00:00"/>
    <x v="1"/>
    <x v="2"/>
    <n v="4"/>
    <x v="0"/>
    <x v="8"/>
    <x v="3"/>
    <x v="2"/>
    <x v="1"/>
  </r>
  <r>
    <x v="388"/>
    <x v="4"/>
    <x v="7"/>
    <n v="34"/>
    <n v="340"/>
    <x v="16"/>
    <d v="2025-01-21T00:00:00"/>
    <x v="2"/>
    <x v="2"/>
    <n v="4"/>
    <x v="0"/>
    <x v="8"/>
    <x v="5"/>
    <x v="2"/>
    <x v="2"/>
  </r>
  <r>
    <x v="389"/>
    <x v="10"/>
    <x v="9"/>
    <n v="42.6"/>
    <n v="213"/>
    <x v="16"/>
    <d v="2025-01-20T00:00:00"/>
    <x v="1"/>
    <x v="1"/>
    <n v="4"/>
    <x v="0"/>
    <x v="8"/>
    <x v="2"/>
    <x v="2"/>
    <x v="1"/>
  </r>
  <r>
    <x v="390"/>
    <x v="5"/>
    <x v="28"/>
    <n v="47.4"/>
    <n v="948"/>
    <x v="16"/>
    <d v="2025-01-17T00:00:00"/>
    <x v="2"/>
    <x v="2"/>
    <n v="3"/>
    <x v="0"/>
    <x v="17"/>
    <x v="7"/>
    <x v="2"/>
    <x v="2"/>
  </r>
  <r>
    <x v="391"/>
    <x v="2"/>
    <x v="0"/>
    <n v="74"/>
    <n v="74"/>
    <x v="17"/>
    <d v="2025-01-19T00:00:00"/>
    <x v="1"/>
    <x v="1"/>
    <n v="4"/>
    <x v="0"/>
    <x v="11"/>
    <x v="3"/>
    <x v="2"/>
    <x v="1"/>
  </r>
  <r>
    <x v="392"/>
    <x v="2"/>
    <x v="9"/>
    <n v="60.4"/>
    <n v="302"/>
    <x v="17"/>
    <d v="2025-01-21T00:00:00"/>
    <x v="2"/>
    <x v="1"/>
    <n v="2"/>
    <x v="0"/>
    <x v="18"/>
    <x v="2"/>
    <x v="2"/>
    <x v="2"/>
  </r>
  <r>
    <x v="393"/>
    <x v="12"/>
    <x v="1"/>
    <n v="69.3"/>
    <n v="138.6"/>
    <x v="17"/>
    <d v="2025-01-21T00:00:00"/>
    <x v="1"/>
    <x v="1"/>
    <n v="3"/>
    <x v="0"/>
    <x v="13"/>
    <x v="2"/>
    <x v="2"/>
    <x v="1"/>
  </r>
  <r>
    <x v="394"/>
    <x v="5"/>
    <x v="9"/>
    <n v="81"/>
    <n v="405"/>
    <x v="17"/>
    <d v="2025-01-24T00:00:00"/>
    <x v="1"/>
    <x v="3"/>
    <n v="4"/>
    <x v="0"/>
    <x v="21"/>
    <x v="4"/>
    <x v="2"/>
    <x v="1"/>
  </r>
  <r>
    <x v="395"/>
    <x v="15"/>
    <x v="2"/>
    <n v="41.5"/>
    <n v="124.5"/>
    <x v="17"/>
    <d v="2025-01-20T00:00:00"/>
    <x v="3"/>
    <x v="1"/>
    <n v="4"/>
    <x v="0"/>
    <x v="21"/>
    <x v="1"/>
    <x v="2"/>
    <x v="3"/>
  </r>
  <r>
    <x v="396"/>
    <x v="18"/>
    <x v="1"/>
    <n v="69.7"/>
    <n v="139.4"/>
    <x v="17"/>
    <d v="2025-01-23T00:00:00"/>
    <x v="1"/>
    <x v="1"/>
    <n v="4"/>
    <x v="0"/>
    <x v="21"/>
    <x v="0"/>
    <x v="2"/>
    <x v="1"/>
  </r>
  <r>
    <x v="397"/>
    <x v="2"/>
    <x v="9"/>
    <n v="83.6"/>
    <n v="418"/>
    <x v="17"/>
    <d v="2025-01-18T00:00:00"/>
    <x v="2"/>
    <x v="4"/>
    <n v="4"/>
    <x v="0"/>
    <x v="1"/>
    <x v="7"/>
    <x v="2"/>
    <x v="2"/>
  </r>
  <r>
    <x v="398"/>
    <x v="8"/>
    <x v="3"/>
    <n v="21.5"/>
    <n v="150.5"/>
    <x v="17"/>
    <d v="2025-01-20T00:00:00"/>
    <x v="1"/>
    <x v="1"/>
    <n v="2"/>
    <x v="0"/>
    <x v="34"/>
    <x v="1"/>
    <x v="2"/>
    <x v="1"/>
  </r>
  <r>
    <x v="399"/>
    <x v="8"/>
    <x v="8"/>
    <n v="28.6"/>
    <n v="228.8"/>
    <x v="17"/>
    <d v="2025-01-19T00:00:00"/>
    <x v="1"/>
    <x v="0"/>
    <n v="4"/>
    <x v="0"/>
    <x v="3"/>
    <x v="3"/>
    <x v="2"/>
    <x v="1"/>
  </r>
  <r>
    <x v="400"/>
    <x v="8"/>
    <x v="13"/>
    <n v="18.8"/>
    <n v="112.80000000000001"/>
    <x v="17"/>
    <d v="2025-01-21T00:00:00"/>
    <x v="1"/>
    <x v="3"/>
    <n v="5"/>
    <x v="0"/>
    <x v="3"/>
    <x v="2"/>
    <x v="2"/>
    <x v="1"/>
  </r>
  <r>
    <x v="401"/>
    <x v="10"/>
    <x v="12"/>
    <n v="35.1"/>
    <n v="140.4"/>
    <x v="17"/>
    <d v="2025-01-18T00:00:00"/>
    <x v="2"/>
    <x v="1"/>
    <n v="3"/>
    <x v="0"/>
    <x v="3"/>
    <x v="7"/>
    <x v="2"/>
    <x v="2"/>
  </r>
  <r>
    <x v="402"/>
    <x v="0"/>
    <x v="1"/>
    <n v="12.7"/>
    <n v="25.4"/>
    <x v="17"/>
    <d v="2025-01-20T00:00:00"/>
    <x v="2"/>
    <x v="1"/>
    <n v="5"/>
    <x v="0"/>
    <x v="3"/>
    <x v="1"/>
    <x v="2"/>
    <x v="2"/>
  </r>
  <r>
    <x v="403"/>
    <x v="8"/>
    <x v="9"/>
    <n v="27.4"/>
    <n v="137"/>
    <x v="17"/>
    <d v="2025-01-20T00:00:00"/>
    <x v="3"/>
    <x v="0"/>
    <n v="4"/>
    <x v="0"/>
    <x v="3"/>
    <x v="1"/>
    <x v="2"/>
    <x v="3"/>
  </r>
  <r>
    <x v="404"/>
    <x v="10"/>
    <x v="1"/>
    <n v="61.3"/>
    <n v="122.6"/>
    <x v="17"/>
    <d v="2025-01-19T00:00:00"/>
    <x v="2"/>
    <x v="1"/>
    <n v="4"/>
    <x v="0"/>
    <x v="6"/>
    <x v="3"/>
    <x v="2"/>
    <x v="2"/>
  </r>
  <r>
    <x v="405"/>
    <x v="8"/>
    <x v="1"/>
    <n v="64.7"/>
    <n v="129.4"/>
    <x v="17"/>
    <d v="2025-01-20T00:00:00"/>
    <x v="2"/>
    <x v="3"/>
    <n v="5"/>
    <x v="0"/>
    <x v="6"/>
    <x v="1"/>
    <x v="2"/>
    <x v="2"/>
  </r>
  <r>
    <x v="406"/>
    <x v="7"/>
    <x v="12"/>
    <n v="91.4"/>
    <n v="365.6"/>
    <x v="17"/>
    <d v="2025-01-20T00:00:00"/>
    <x v="2"/>
    <x v="0"/>
    <n v="4"/>
    <x v="0"/>
    <x v="8"/>
    <x v="1"/>
    <x v="2"/>
    <x v="2"/>
  </r>
  <r>
    <x v="407"/>
    <x v="0"/>
    <x v="1"/>
    <n v="33.1"/>
    <n v="66.2"/>
    <x v="18"/>
    <d v="2025-01-20T00:00:00"/>
    <x v="1"/>
    <x v="0"/>
    <n v="5"/>
    <x v="0"/>
    <x v="8"/>
    <x v="3"/>
    <x v="3"/>
    <x v="1"/>
  </r>
  <r>
    <x v="408"/>
    <x v="3"/>
    <x v="1"/>
    <n v="105.6"/>
    <n v="211.2"/>
    <x v="18"/>
    <d v="2025-01-20T00:00:00"/>
    <x v="1"/>
    <x v="2"/>
    <n v="3"/>
    <x v="0"/>
    <x v="8"/>
    <x v="3"/>
    <x v="3"/>
    <x v="1"/>
  </r>
  <r>
    <x v="409"/>
    <x v="10"/>
    <x v="2"/>
    <n v="46.4"/>
    <n v="139.19999999999999"/>
    <x v="18"/>
    <d v="2025-01-20T00:00:00"/>
    <x v="1"/>
    <x v="2"/>
    <n v="4"/>
    <x v="0"/>
    <x v="9"/>
    <x v="3"/>
    <x v="3"/>
    <x v="1"/>
  </r>
  <r>
    <x v="410"/>
    <x v="9"/>
    <x v="21"/>
    <n v="35.299999999999997"/>
    <n v="494.19999999999993"/>
    <x v="18"/>
    <d v="2025-01-22T00:00:00"/>
    <x v="2"/>
    <x v="4"/>
    <n v="3"/>
    <x v="0"/>
    <x v="11"/>
    <x v="2"/>
    <x v="3"/>
    <x v="2"/>
  </r>
  <r>
    <x v="411"/>
    <x v="0"/>
    <x v="1"/>
    <n v="16.100000000000001"/>
    <n v="32.200000000000003"/>
    <x v="18"/>
    <d v="2025-01-21T00:00:00"/>
    <x v="1"/>
    <x v="3"/>
    <n v="5"/>
    <x v="0"/>
    <x v="32"/>
    <x v="1"/>
    <x v="3"/>
    <x v="1"/>
  </r>
  <r>
    <x v="412"/>
    <x v="4"/>
    <x v="1"/>
    <n v="27.9"/>
    <n v="55.8"/>
    <x v="18"/>
    <d v="2025-01-22T00:00:00"/>
    <x v="1"/>
    <x v="0"/>
    <n v="4"/>
    <x v="0"/>
    <x v="13"/>
    <x v="2"/>
    <x v="3"/>
    <x v="1"/>
  </r>
  <r>
    <x v="413"/>
    <x v="8"/>
    <x v="0"/>
    <n v="47.1"/>
    <n v="47.1"/>
    <x v="18"/>
    <d v="2025-01-27T00:00:00"/>
    <x v="2"/>
    <x v="1"/>
    <n v="4"/>
    <x v="0"/>
    <x v="2"/>
    <x v="9"/>
    <x v="3"/>
    <x v="2"/>
  </r>
  <r>
    <x v="414"/>
    <x v="6"/>
    <x v="1"/>
    <n v="85"/>
    <n v="170"/>
    <x v="18"/>
    <d v="2025-01-22T00:00:00"/>
    <x v="0"/>
    <x v="2"/>
    <n v="5"/>
    <x v="0"/>
    <x v="22"/>
    <x v="2"/>
    <x v="3"/>
    <x v="0"/>
  </r>
  <r>
    <x v="415"/>
    <x v="18"/>
    <x v="1"/>
    <n v="89"/>
    <n v="178"/>
    <x v="18"/>
    <d v="2025-01-21T00:00:00"/>
    <x v="2"/>
    <x v="0"/>
    <n v="4"/>
    <x v="0"/>
    <x v="3"/>
    <x v="1"/>
    <x v="3"/>
    <x v="2"/>
  </r>
  <r>
    <x v="416"/>
    <x v="16"/>
    <x v="2"/>
    <n v="36.6"/>
    <n v="109.80000000000001"/>
    <x v="18"/>
    <d v="2025-01-20T00:00:00"/>
    <x v="3"/>
    <x v="3"/>
    <n v="5"/>
    <x v="0"/>
    <x v="3"/>
    <x v="3"/>
    <x v="3"/>
    <x v="3"/>
  </r>
  <r>
    <x v="417"/>
    <x v="6"/>
    <x v="3"/>
    <n v="43.5"/>
    <n v="304.5"/>
    <x v="18"/>
    <d v="2025-01-20T00:00:00"/>
    <x v="1"/>
    <x v="1"/>
    <n v="5"/>
    <x v="0"/>
    <x v="3"/>
    <x v="3"/>
    <x v="3"/>
    <x v="1"/>
  </r>
  <r>
    <x v="418"/>
    <x v="9"/>
    <x v="10"/>
    <n v="30.5"/>
    <n v="579.5"/>
    <x v="18"/>
    <d v="2025-01-19T00:00:00"/>
    <x v="2"/>
    <x v="3"/>
    <n v="4"/>
    <x v="0"/>
    <x v="3"/>
    <x v="7"/>
    <x v="3"/>
    <x v="2"/>
  </r>
  <r>
    <x v="419"/>
    <x v="1"/>
    <x v="1"/>
    <n v="107.7"/>
    <n v="215.4"/>
    <x v="18"/>
    <d v="2025-01-23T00:00:00"/>
    <x v="1"/>
    <x v="3"/>
    <n v="2"/>
    <x v="0"/>
    <x v="3"/>
    <x v="5"/>
    <x v="3"/>
    <x v="1"/>
  </r>
  <r>
    <x v="420"/>
    <x v="17"/>
    <x v="18"/>
    <n v="57.1"/>
    <n v="1484.6000000000001"/>
    <x v="18"/>
    <d v="2025-01-20T00:00:00"/>
    <x v="1"/>
    <x v="1"/>
    <n v="4"/>
    <x v="0"/>
    <x v="3"/>
    <x v="3"/>
    <x v="3"/>
    <x v="1"/>
  </r>
  <r>
    <x v="421"/>
    <x v="2"/>
    <x v="7"/>
    <n v="111.7"/>
    <n v="1117"/>
    <x v="18"/>
    <d v="2025-01-20T00:00:00"/>
    <x v="2"/>
    <x v="4"/>
    <n v="5"/>
    <x v="0"/>
    <x v="3"/>
    <x v="3"/>
    <x v="3"/>
    <x v="2"/>
  </r>
  <r>
    <x v="422"/>
    <x v="18"/>
    <x v="3"/>
    <n v="44.3"/>
    <n v="310.09999999999997"/>
    <x v="18"/>
    <d v="2025-01-22T00:00:00"/>
    <x v="1"/>
    <x v="3"/>
    <n v="5"/>
    <x v="0"/>
    <x v="3"/>
    <x v="2"/>
    <x v="3"/>
    <x v="1"/>
  </r>
  <r>
    <x v="423"/>
    <x v="2"/>
    <x v="8"/>
    <n v="95.8"/>
    <n v="766.4"/>
    <x v="18"/>
    <d v="2025-01-25T00:00:00"/>
    <x v="3"/>
    <x v="0"/>
    <n v="4"/>
    <x v="0"/>
    <x v="3"/>
    <x v="4"/>
    <x v="3"/>
    <x v="3"/>
  </r>
  <r>
    <x v="424"/>
    <x v="10"/>
    <x v="3"/>
    <n v="22.6"/>
    <n v="158.20000000000002"/>
    <x v="18"/>
    <d v="2025-01-22T00:00:00"/>
    <x v="2"/>
    <x v="3"/>
    <n v="3"/>
    <x v="0"/>
    <x v="3"/>
    <x v="2"/>
    <x v="3"/>
    <x v="2"/>
  </r>
  <r>
    <x v="425"/>
    <x v="8"/>
    <x v="8"/>
    <n v="25.6"/>
    <n v="204.8"/>
    <x v="18"/>
    <d v="2025-01-21T00:00:00"/>
    <x v="2"/>
    <x v="4"/>
    <n v="4"/>
    <x v="0"/>
    <x v="3"/>
    <x v="1"/>
    <x v="3"/>
    <x v="2"/>
  </r>
  <r>
    <x v="426"/>
    <x v="6"/>
    <x v="27"/>
    <n v="54.3"/>
    <n v="868.8"/>
    <x v="18"/>
    <d v="2025-01-22T00:00:00"/>
    <x v="2"/>
    <x v="4"/>
    <n v="4"/>
    <x v="0"/>
    <x v="3"/>
    <x v="2"/>
    <x v="3"/>
    <x v="2"/>
  </r>
  <r>
    <x v="427"/>
    <x v="18"/>
    <x v="15"/>
    <n v="51.3"/>
    <n v="666.9"/>
    <x v="18"/>
    <d v="2025-01-21T00:00:00"/>
    <x v="1"/>
    <x v="0"/>
    <n v="5"/>
    <x v="0"/>
    <x v="3"/>
    <x v="1"/>
    <x v="3"/>
    <x v="1"/>
  </r>
  <r>
    <x v="428"/>
    <x v="0"/>
    <x v="8"/>
    <n v="25.6"/>
    <n v="204.8"/>
    <x v="18"/>
    <d v="2025-01-20T00:00:00"/>
    <x v="2"/>
    <x v="1"/>
    <n v="3"/>
    <x v="0"/>
    <x v="3"/>
    <x v="3"/>
    <x v="3"/>
    <x v="2"/>
  </r>
  <r>
    <x v="429"/>
    <x v="0"/>
    <x v="1"/>
    <n v="15.6"/>
    <n v="31.2"/>
    <x v="18"/>
    <d v="2025-01-20T00:00:00"/>
    <x v="2"/>
    <x v="2"/>
    <n v="5"/>
    <x v="0"/>
    <x v="3"/>
    <x v="3"/>
    <x v="3"/>
    <x v="2"/>
  </r>
  <r>
    <x v="430"/>
    <x v="8"/>
    <x v="2"/>
    <n v="30.3"/>
    <n v="90.9"/>
    <x v="18"/>
    <d v="2025-01-23T00:00:00"/>
    <x v="2"/>
    <x v="0"/>
    <n v="3"/>
    <x v="0"/>
    <x v="3"/>
    <x v="5"/>
    <x v="3"/>
    <x v="2"/>
  </r>
  <r>
    <x v="431"/>
    <x v="12"/>
    <x v="1"/>
    <n v="30.3"/>
    <n v="60.6"/>
    <x v="18"/>
    <d v="2025-01-24T00:00:00"/>
    <x v="2"/>
    <x v="0"/>
    <n v="5"/>
    <x v="0"/>
    <x v="37"/>
    <x v="0"/>
    <x v="3"/>
    <x v="2"/>
  </r>
  <r>
    <x v="432"/>
    <x v="10"/>
    <x v="2"/>
    <n v="53"/>
    <n v="159"/>
    <x v="18"/>
    <d v="2025-01-26T00:00:00"/>
    <x v="2"/>
    <x v="2"/>
    <n v="4"/>
    <x v="0"/>
    <x v="24"/>
    <x v="6"/>
    <x v="3"/>
    <x v="2"/>
  </r>
  <r>
    <x v="433"/>
    <x v="5"/>
    <x v="16"/>
    <n v="59.9"/>
    <n v="1078.2"/>
    <x v="18"/>
    <d v="2025-01-22T00:00:00"/>
    <x v="1"/>
    <x v="2"/>
    <n v="2"/>
    <x v="0"/>
    <x v="25"/>
    <x v="2"/>
    <x v="3"/>
    <x v="1"/>
  </r>
  <r>
    <x v="434"/>
    <x v="9"/>
    <x v="1"/>
    <n v="45.7"/>
    <n v="91.4"/>
    <x v="18"/>
    <d v="2025-01-20T00:00:00"/>
    <x v="2"/>
    <x v="1"/>
    <n v="5"/>
    <x v="0"/>
    <x v="6"/>
    <x v="3"/>
    <x v="3"/>
    <x v="2"/>
  </r>
  <r>
    <x v="435"/>
    <x v="8"/>
    <x v="12"/>
    <n v="46.1"/>
    <n v="184.4"/>
    <x v="18"/>
    <d v="2025-01-20T00:00:00"/>
    <x v="1"/>
    <x v="0"/>
    <n v="4"/>
    <x v="0"/>
    <x v="6"/>
    <x v="3"/>
    <x v="3"/>
    <x v="1"/>
  </r>
  <r>
    <x v="436"/>
    <x v="8"/>
    <x v="2"/>
    <n v="17.5"/>
    <n v="52.5"/>
    <x v="18"/>
    <d v="2025-01-20T00:00:00"/>
    <x v="2"/>
    <x v="0"/>
    <n v="5"/>
    <x v="0"/>
    <x v="8"/>
    <x v="3"/>
    <x v="3"/>
    <x v="2"/>
  </r>
  <r>
    <x v="437"/>
    <x v="10"/>
    <x v="2"/>
    <n v="36.5"/>
    <n v="109.5"/>
    <x v="18"/>
    <d v="2025-01-30T00:00:00"/>
    <x v="1"/>
    <x v="2"/>
    <n v="4"/>
    <x v="0"/>
    <x v="8"/>
    <x v="11"/>
    <x v="3"/>
    <x v="1"/>
  </r>
  <r>
    <x v="438"/>
    <x v="8"/>
    <x v="1"/>
    <n v="47.5"/>
    <n v="95"/>
    <x v="19"/>
    <d v="2025-01-22T00:00:00"/>
    <x v="2"/>
    <x v="1"/>
    <n v="4"/>
    <x v="0"/>
    <x v="8"/>
    <x v="1"/>
    <x v="3"/>
    <x v="2"/>
  </r>
  <r>
    <x v="439"/>
    <x v="6"/>
    <x v="9"/>
    <n v="45.6"/>
    <n v="228"/>
    <x v="19"/>
    <d v="2025-01-22T00:00:00"/>
    <x v="2"/>
    <x v="0"/>
    <n v="5"/>
    <x v="0"/>
    <x v="8"/>
    <x v="1"/>
    <x v="3"/>
    <x v="2"/>
  </r>
  <r>
    <x v="440"/>
    <x v="9"/>
    <x v="1"/>
    <n v="50.5"/>
    <n v="101"/>
    <x v="19"/>
    <d v="2025-01-22T00:00:00"/>
    <x v="1"/>
    <x v="0"/>
    <n v="3"/>
    <x v="0"/>
    <x v="17"/>
    <x v="1"/>
    <x v="3"/>
    <x v="1"/>
  </r>
  <r>
    <x v="441"/>
    <x v="2"/>
    <x v="7"/>
    <n v="99.8"/>
    <n v="998"/>
    <x v="19"/>
    <d v="2025-01-23T00:00:00"/>
    <x v="2"/>
    <x v="2"/>
    <n v="3"/>
    <x v="0"/>
    <x v="17"/>
    <x v="2"/>
    <x v="3"/>
    <x v="2"/>
  </r>
  <r>
    <x v="442"/>
    <x v="8"/>
    <x v="20"/>
    <n v="19.2"/>
    <n v="288"/>
    <x v="19"/>
    <d v="2025-01-22T00:00:00"/>
    <x v="3"/>
    <x v="4"/>
    <n v="3"/>
    <x v="0"/>
    <x v="26"/>
    <x v="1"/>
    <x v="3"/>
    <x v="3"/>
  </r>
  <r>
    <x v="443"/>
    <x v="17"/>
    <x v="2"/>
    <n v="22.6"/>
    <n v="67.800000000000011"/>
    <x v="19"/>
    <d v="2025-01-21T00:00:00"/>
    <x v="1"/>
    <x v="1"/>
    <n v="4"/>
    <x v="0"/>
    <x v="11"/>
    <x v="3"/>
    <x v="3"/>
    <x v="1"/>
  </r>
  <r>
    <x v="444"/>
    <x v="1"/>
    <x v="20"/>
    <n v="126.9"/>
    <n v="1903.5"/>
    <x v="19"/>
    <d v="2025-01-22T00:00:00"/>
    <x v="2"/>
    <x v="0"/>
    <n v="5"/>
    <x v="0"/>
    <x v="11"/>
    <x v="1"/>
    <x v="3"/>
    <x v="2"/>
  </r>
  <r>
    <x v="445"/>
    <x v="2"/>
    <x v="1"/>
    <n v="100.3"/>
    <n v="200.6"/>
    <x v="19"/>
    <d v="2025-01-21T00:00:00"/>
    <x v="2"/>
    <x v="0"/>
    <n v="3"/>
    <x v="0"/>
    <x v="11"/>
    <x v="3"/>
    <x v="3"/>
    <x v="2"/>
  </r>
  <r>
    <x v="446"/>
    <x v="4"/>
    <x v="16"/>
    <n v="24.6"/>
    <n v="442.8"/>
    <x v="19"/>
    <d v="2025-01-21T00:00:00"/>
    <x v="2"/>
    <x v="4"/>
    <n v="4"/>
    <x v="0"/>
    <x v="13"/>
    <x v="3"/>
    <x v="3"/>
    <x v="2"/>
  </r>
  <r>
    <x v="447"/>
    <x v="6"/>
    <x v="1"/>
    <n v="47.3"/>
    <n v="94.6"/>
    <x v="19"/>
    <d v="2025-01-21T00:00:00"/>
    <x v="1"/>
    <x v="1"/>
    <n v="5"/>
    <x v="0"/>
    <x v="13"/>
    <x v="3"/>
    <x v="3"/>
    <x v="1"/>
  </r>
  <r>
    <x v="448"/>
    <x v="6"/>
    <x v="3"/>
    <n v="40.799999999999997"/>
    <n v="285.59999999999997"/>
    <x v="19"/>
    <d v="2025-01-23T00:00:00"/>
    <x v="2"/>
    <x v="2"/>
    <n v="5"/>
    <x v="0"/>
    <x v="21"/>
    <x v="2"/>
    <x v="3"/>
    <x v="2"/>
  </r>
  <r>
    <x v="449"/>
    <x v="8"/>
    <x v="8"/>
    <n v="49.2"/>
    <n v="393.6"/>
    <x v="19"/>
    <d v="2025-01-22T00:00:00"/>
    <x v="2"/>
    <x v="0"/>
    <n v="4"/>
    <x v="0"/>
    <x v="1"/>
    <x v="1"/>
    <x v="3"/>
    <x v="2"/>
  </r>
  <r>
    <x v="450"/>
    <x v="8"/>
    <x v="0"/>
    <n v="28.5"/>
    <n v="28.5"/>
    <x v="19"/>
    <d v="2025-01-22T00:00:00"/>
    <x v="0"/>
    <x v="2"/>
    <n v="3"/>
    <x v="0"/>
    <x v="3"/>
    <x v="1"/>
    <x v="3"/>
    <x v="0"/>
  </r>
  <r>
    <x v="451"/>
    <x v="18"/>
    <x v="1"/>
    <n v="36.799999999999997"/>
    <n v="73.599999999999994"/>
    <x v="19"/>
    <d v="2025-01-26T00:00:00"/>
    <x v="2"/>
    <x v="0"/>
    <n v="5"/>
    <x v="0"/>
    <x v="3"/>
    <x v="4"/>
    <x v="3"/>
    <x v="2"/>
  </r>
  <r>
    <x v="452"/>
    <x v="7"/>
    <x v="2"/>
    <n v="33.5"/>
    <n v="100.5"/>
    <x v="19"/>
    <d v="2025-01-21T00:00:00"/>
    <x v="2"/>
    <x v="0"/>
    <n v="3"/>
    <x v="0"/>
    <x v="3"/>
    <x v="3"/>
    <x v="3"/>
    <x v="2"/>
  </r>
  <r>
    <x v="453"/>
    <x v="6"/>
    <x v="13"/>
    <n v="62.5"/>
    <n v="375"/>
    <x v="19"/>
    <d v="2025-01-22T00:00:00"/>
    <x v="2"/>
    <x v="0"/>
    <n v="4"/>
    <x v="0"/>
    <x v="3"/>
    <x v="1"/>
    <x v="3"/>
    <x v="2"/>
  </r>
  <r>
    <x v="454"/>
    <x v="8"/>
    <x v="29"/>
    <n v="47.9"/>
    <n v="1916"/>
    <x v="19"/>
    <d v="2025-01-21T00:00:00"/>
    <x v="2"/>
    <x v="3"/>
    <n v="4"/>
    <x v="0"/>
    <x v="3"/>
    <x v="3"/>
    <x v="3"/>
    <x v="2"/>
  </r>
  <r>
    <x v="455"/>
    <x v="6"/>
    <x v="13"/>
    <n v="92.9"/>
    <n v="557.40000000000009"/>
    <x v="19"/>
    <d v="2025-01-31T00:00:00"/>
    <x v="2"/>
    <x v="0"/>
    <n v="2"/>
    <x v="0"/>
    <x v="3"/>
    <x v="11"/>
    <x v="3"/>
    <x v="2"/>
  </r>
  <r>
    <x v="456"/>
    <x v="12"/>
    <x v="2"/>
    <n v="44.1"/>
    <n v="132.30000000000001"/>
    <x v="19"/>
    <d v="2025-01-20T00:00:00"/>
    <x v="2"/>
    <x v="1"/>
    <n v="3"/>
    <x v="0"/>
    <x v="43"/>
    <x v="7"/>
    <x v="3"/>
    <x v="2"/>
  </r>
  <r>
    <x v="457"/>
    <x v="0"/>
    <x v="0"/>
    <n v="11.4"/>
    <n v="11.4"/>
    <x v="20"/>
    <d v="2025-01-23T00:00:00"/>
    <x v="2"/>
    <x v="2"/>
    <n v="4"/>
    <x v="0"/>
    <x v="5"/>
    <x v="1"/>
    <x v="3"/>
    <x v="2"/>
  </r>
  <r>
    <x v="458"/>
    <x v="6"/>
    <x v="0"/>
    <n v="83.7"/>
    <n v="83.7"/>
    <x v="20"/>
    <d v="2025-01-23T00:00:00"/>
    <x v="2"/>
    <x v="0"/>
    <n v="5"/>
    <x v="0"/>
    <x v="6"/>
    <x v="1"/>
    <x v="3"/>
    <x v="2"/>
  </r>
  <r>
    <x v="459"/>
    <x v="10"/>
    <x v="1"/>
    <n v="23.2"/>
    <n v="46.4"/>
    <x v="20"/>
    <d v="2025-01-22T00:00:00"/>
    <x v="1"/>
    <x v="2"/>
    <n v="4"/>
    <x v="0"/>
    <x v="8"/>
    <x v="3"/>
    <x v="3"/>
    <x v="1"/>
  </r>
  <r>
    <x v="460"/>
    <x v="2"/>
    <x v="0"/>
    <n v="162.1"/>
    <n v="162.1"/>
    <x v="20"/>
    <d v="2025-01-24T00:00:00"/>
    <x v="2"/>
    <x v="0"/>
    <n v="5"/>
    <x v="0"/>
    <x v="9"/>
    <x v="2"/>
    <x v="3"/>
    <x v="2"/>
  </r>
  <r>
    <x v="461"/>
    <x v="6"/>
    <x v="12"/>
    <n v="49.2"/>
    <n v="196.8"/>
    <x v="20"/>
    <d v="2025-01-25T00:00:00"/>
    <x v="1"/>
    <x v="1"/>
    <n v="4"/>
    <x v="0"/>
    <x v="9"/>
    <x v="5"/>
    <x v="3"/>
    <x v="1"/>
  </r>
  <r>
    <x v="462"/>
    <x v="1"/>
    <x v="1"/>
    <n v="61"/>
    <n v="122"/>
    <x v="20"/>
    <d v="2025-01-22T00:00:00"/>
    <x v="1"/>
    <x v="3"/>
    <n v="4"/>
    <x v="0"/>
    <x v="10"/>
    <x v="3"/>
    <x v="3"/>
    <x v="1"/>
  </r>
  <r>
    <x v="463"/>
    <x v="2"/>
    <x v="7"/>
    <n v="53.1"/>
    <n v="531"/>
    <x v="20"/>
    <d v="2025-01-23T00:00:00"/>
    <x v="1"/>
    <x v="0"/>
    <n v="4"/>
    <x v="0"/>
    <x v="11"/>
    <x v="1"/>
    <x v="3"/>
    <x v="1"/>
  </r>
  <r>
    <x v="464"/>
    <x v="4"/>
    <x v="1"/>
    <n v="22.4"/>
    <n v="44.8"/>
    <x v="20"/>
    <d v="2025-01-23T00:00:00"/>
    <x v="0"/>
    <x v="1"/>
    <n v="5"/>
    <x v="0"/>
    <x v="13"/>
    <x v="1"/>
    <x v="3"/>
    <x v="0"/>
  </r>
  <r>
    <x v="465"/>
    <x v="1"/>
    <x v="9"/>
    <n v="75.3"/>
    <n v="376.5"/>
    <x v="20"/>
    <d v="2025-01-22T00:00:00"/>
    <x v="1"/>
    <x v="0"/>
    <n v="4"/>
    <x v="0"/>
    <x v="21"/>
    <x v="3"/>
    <x v="3"/>
    <x v="1"/>
  </r>
  <r>
    <x v="466"/>
    <x v="6"/>
    <x v="0"/>
    <n v="48.5"/>
    <n v="48.5"/>
    <x v="20"/>
    <d v="2025-01-22T00:00:00"/>
    <x v="2"/>
    <x v="0"/>
    <n v="3"/>
    <x v="0"/>
    <x v="21"/>
    <x v="3"/>
    <x v="3"/>
    <x v="2"/>
  </r>
  <r>
    <x v="467"/>
    <x v="6"/>
    <x v="0"/>
    <n v="42.6"/>
    <n v="42.6"/>
    <x v="20"/>
    <d v="2025-01-25T00:00:00"/>
    <x v="2"/>
    <x v="3"/>
    <n v="4"/>
    <x v="0"/>
    <x v="1"/>
    <x v="5"/>
    <x v="3"/>
    <x v="2"/>
  </r>
  <r>
    <x v="468"/>
    <x v="5"/>
    <x v="9"/>
    <n v="49"/>
    <n v="245"/>
    <x v="20"/>
    <d v="2025-01-22T00:00:00"/>
    <x v="1"/>
    <x v="0"/>
    <n v="4"/>
    <x v="0"/>
    <x v="22"/>
    <x v="3"/>
    <x v="3"/>
    <x v="1"/>
  </r>
  <r>
    <x v="469"/>
    <x v="8"/>
    <x v="2"/>
    <n v="31.3"/>
    <n v="93.9"/>
    <x v="20"/>
    <d v="2025-01-22T00:00:00"/>
    <x v="1"/>
    <x v="2"/>
    <n v="3"/>
    <x v="0"/>
    <x v="3"/>
    <x v="3"/>
    <x v="3"/>
    <x v="1"/>
  </r>
  <r>
    <x v="470"/>
    <x v="2"/>
    <x v="1"/>
    <n v="85.4"/>
    <n v="170.8"/>
    <x v="20"/>
    <d v="2025-01-22T00:00:00"/>
    <x v="2"/>
    <x v="2"/>
    <n v="4"/>
    <x v="0"/>
    <x v="3"/>
    <x v="3"/>
    <x v="3"/>
    <x v="2"/>
  </r>
  <r>
    <x v="471"/>
    <x v="8"/>
    <x v="12"/>
    <n v="40"/>
    <n v="160"/>
    <x v="20"/>
    <d v="2025-01-22T00:00:00"/>
    <x v="3"/>
    <x v="0"/>
    <n v="5"/>
    <x v="0"/>
    <x v="3"/>
    <x v="3"/>
    <x v="3"/>
    <x v="3"/>
  </r>
  <r>
    <x v="472"/>
    <x v="5"/>
    <x v="1"/>
    <n v="38.5"/>
    <n v="77"/>
    <x v="20"/>
    <d v="2025-01-24T00:00:00"/>
    <x v="1"/>
    <x v="1"/>
    <n v="5"/>
    <x v="0"/>
    <x v="3"/>
    <x v="2"/>
    <x v="3"/>
    <x v="1"/>
  </r>
  <r>
    <x v="473"/>
    <x v="2"/>
    <x v="1"/>
    <n v="57.8"/>
    <n v="115.6"/>
    <x v="20"/>
    <d v="2025-01-22T00:00:00"/>
    <x v="0"/>
    <x v="0"/>
    <n v="4"/>
    <x v="0"/>
    <x v="3"/>
    <x v="3"/>
    <x v="3"/>
    <x v="0"/>
  </r>
  <r>
    <x v="474"/>
    <x v="8"/>
    <x v="0"/>
    <n v="19.2"/>
    <n v="19.2"/>
    <x v="20"/>
    <d v="2025-01-22T00:00:00"/>
    <x v="2"/>
    <x v="0"/>
    <n v="2"/>
    <x v="0"/>
    <x v="3"/>
    <x v="3"/>
    <x v="3"/>
    <x v="2"/>
  </r>
  <r>
    <x v="475"/>
    <x v="6"/>
    <x v="13"/>
    <n v="114.8"/>
    <n v="688.8"/>
    <x v="20"/>
    <d v="2025-01-24T00:00:00"/>
    <x v="1"/>
    <x v="1"/>
    <n v="3"/>
    <x v="0"/>
    <x v="3"/>
    <x v="2"/>
    <x v="3"/>
    <x v="1"/>
  </r>
  <r>
    <x v="476"/>
    <x v="10"/>
    <x v="3"/>
    <n v="48.4"/>
    <n v="338.8"/>
    <x v="20"/>
    <d v="2025-01-24T00:00:00"/>
    <x v="2"/>
    <x v="3"/>
    <n v="3"/>
    <x v="0"/>
    <x v="3"/>
    <x v="2"/>
    <x v="3"/>
    <x v="2"/>
  </r>
  <r>
    <x v="477"/>
    <x v="9"/>
    <x v="9"/>
    <n v="73.2"/>
    <n v="366"/>
    <x v="20"/>
    <d v="2025-01-22T00:00:00"/>
    <x v="2"/>
    <x v="1"/>
    <n v="2"/>
    <x v="0"/>
    <x v="3"/>
    <x v="3"/>
    <x v="3"/>
    <x v="2"/>
  </r>
  <r>
    <x v="478"/>
    <x v="15"/>
    <x v="1"/>
    <n v="48.6"/>
    <n v="97.2"/>
    <x v="20"/>
    <d v="2025-01-25T00:00:00"/>
    <x v="2"/>
    <x v="3"/>
    <n v="4"/>
    <x v="0"/>
    <x v="3"/>
    <x v="5"/>
    <x v="3"/>
    <x v="2"/>
  </r>
  <r>
    <x v="479"/>
    <x v="0"/>
    <x v="13"/>
    <n v="48.7"/>
    <n v="292.20000000000005"/>
    <x v="20"/>
    <d v="2025-01-22T00:00:00"/>
    <x v="1"/>
    <x v="0"/>
    <n v="4"/>
    <x v="0"/>
    <x v="3"/>
    <x v="3"/>
    <x v="3"/>
    <x v="1"/>
  </r>
  <r>
    <x v="480"/>
    <x v="4"/>
    <x v="1"/>
    <n v="32.200000000000003"/>
    <n v="64.400000000000006"/>
    <x v="20"/>
    <d v="2025-01-24T00:00:00"/>
    <x v="1"/>
    <x v="2"/>
    <n v="5"/>
    <x v="0"/>
    <x v="3"/>
    <x v="2"/>
    <x v="3"/>
    <x v="1"/>
  </r>
  <r>
    <x v="481"/>
    <x v="15"/>
    <x v="8"/>
    <n v="25.8"/>
    <n v="206.4"/>
    <x v="20"/>
    <d v="2025-01-22T00:00:00"/>
    <x v="1"/>
    <x v="0"/>
    <n v="4"/>
    <x v="0"/>
    <x v="37"/>
    <x v="3"/>
    <x v="3"/>
    <x v="1"/>
  </r>
  <r>
    <x v="482"/>
    <x v="6"/>
    <x v="1"/>
    <n v="94.8"/>
    <n v="189.6"/>
    <x v="21"/>
    <d v="2025-01-25T00:00:00"/>
    <x v="2"/>
    <x v="1"/>
    <n v="3"/>
    <x v="0"/>
    <x v="25"/>
    <x v="2"/>
    <x v="3"/>
    <x v="2"/>
  </r>
  <r>
    <x v="483"/>
    <x v="15"/>
    <x v="30"/>
    <n v="56.8"/>
    <n v="1420"/>
    <x v="21"/>
    <d v="2025-01-25T00:00:00"/>
    <x v="1"/>
    <x v="0"/>
    <n v="4"/>
    <x v="0"/>
    <x v="25"/>
    <x v="2"/>
    <x v="3"/>
    <x v="1"/>
  </r>
  <r>
    <x v="484"/>
    <x v="8"/>
    <x v="27"/>
    <n v="18.3"/>
    <n v="292.8"/>
    <x v="21"/>
    <d v="2025-01-29T00:00:00"/>
    <x v="2"/>
    <x v="2"/>
    <n v="5"/>
    <x v="0"/>
    <x v="23"/>
    <x v="6"/>
    <x v="3"/>
    <x v="2"/>
  </r>
  <r>
    <x v="485"/>
    <x v="0"/>
    <x v="2"/>
    <n v="16.8"/>
    <n v="50.400000000000006"/>
    <x v="21"/>
    <d v="2025-01-27T00:00:00"/>
    <x v="2"/>
    <x v="2"/>
    <n v="5"/>
    <x v="0"/>
    <x v="8"/>
    <x v="0"/>
    <x v="3"/>
    <x v="2"/>
  </r>
  <r>
    <x v="486"/>
    <x v="5"/>
    <x v="5"/>
    <n v="35.799999999999997"/>
    <n v="393.79999999999995"/>
    <x v="21"/>
    <d v="2025-01-23T00:00:00"/>
    <x v="1"/>
    <x v="1"/>
    <n v="4"/>
    <x v="0"/>
    <x v="17"/>
    <x v="3"/>
    <x v="3"/>
    <x v="1"/>
  </r>
  <r>
    <x v="487"/>
    <x v="18"/>
    <x v="0"/>
    <n v="64.900000000000006"/>
    <n v="64.900000000000006"/>
    <x v="21"/>
    <d v="2025-01-23T00:00:00"/>
    <x v="1"/>
    <x v="0"/>
    <n v="3"/>
    <x v="0"/>
    <x v="17"/>
    <x v="3"/>
    <x v="3"/>
    <x v="1"/>
  </r>
  <r>
    <x v="488"/>
    <x v="18"/>
    <x v="0"/>
    <n v="28.5"/>
    <n v="28.5"/>
    <x v="21"/>
    <d v="2025-01-24T00:00:00"/>
    <x v="0"/>
    <x v="1"/>
    <n v="4"/>
    <x v="0"/>
    <x v="9"/>
    <x v="1"/>
    <x v="3"/>
    <x v="0"/>
  </r>
  <r>
    <x v="489"/>
    <x v="18"/>
    <x v="1"/>
    <n v="103.5"/>
    <n v="207"/>
    <x v="21"/>
    <d v="2025-01-24T00:00:00"/>
    <x v="2"/>
    <x v="1"/>
    <n v="4"/>
    <x v="0"/>
    <x v="10"/>
    <x v="1"/>
    <x v="3"/>
    <x v="2"/>
  </r>
  <r>
    <x v="490"/>
    <x v="4"/>
    <x v="1"/>
    <n v="41.2"/>
    <n v="82.4"/>
    <x v="21"/>
    <d v="2025-01-23T00:00:00"/>
    <x v="2"/>
    <x v="1"/>
    <n v="4"/>
    <x v="0"/>
    <x v="10"/>
    <x v="3"/>
    <x v="3"/>
    <x v="2"/>
  </r>
  <r>
    <x v="491"/>
    <x v="9"/>
    <x v="0"/>
    <n v="37.799999999999997"/>
    <n v="37.799999999999997"/>
    <x v="21"/>
    <d v="2025-01-24T00:00:00"/>
    <x v="2"/>
    <x v="3"/>
    <n v="1"/>
    <x v="0"/>
    <x v="11"/>
    <x v="1"/>
    <x v="3"/>
    <x v="2"/>
  </r>
  <r>
    <x v="492"/>
    <x v="8"/>
    <x v="1"/>
    <n v="42.6"/>
    <n v="85.2"/>
    <x v="21"/>
    <d v="2025-01-24T00:00:00"/>
    <x v="2"/>
    <x v="4"/>
    <n v="4"/>
    <x v="0"/>
    <x v="11"/>
    <x v="1"/>
    <x v="3"/>
    <x v="2"/>
  </r>
  <r>
    <x v="493"/>
    <x v="8"/>
    <x v="7"/>
    <n v="15.2"/>
    <n v="152"/>
    <x v="21"/>
    <d v="2025-01-24T00:00:00"/>
    <x v="2"/>
    <x v="2"/>
    <n v="4"/>
    <x v="0"/>
    <x v="11"/>
    <x v="1"/>
    <x v="3"/>
    <x v="2"/>
  </r>
  <r>
    <x v="494"/>
    <x v="7"/>
    <x v="12"/>
    <n v="83.4"/>
    <n v="333.6"/>
    <x v="21"/>
    <d v="2025-01-23T00:00:00"/>
    <x v="2"/>
    <x v="2"/>
    <n v="3"/>
    <x v="0"/>
    <x v="18"/>
    <x v="3"/>
    <x v="3"/>
    <x v="2"/>
  </r>
  <r>
    <x v="495"/>
    <x v="19"/>
    <x v="1"/>
    <n v="27.7"/>
    <n v="55.4"/>
    <x v="21"/>
    <d v="2025-01-23T00:00:00"/>
    <x v="2"/>
    <x v="0"/>
    <n v="3"/>
    <x v="0"/>
    <x v="13"/>
    <x v="3"/>
    <x v="3"/>
    <x v="2"/>
  </r>
  <r>
    <x v="496"/>
    <x v="10"/>
    <x v="4"/>
    <n v="20.8"/>
    <n v="249.60000000000002"/>
    <x v="21"/>
    <d v="2025-01-23T00:00:00"/>
    <x v="1"/>
    <x v="3"/>
    <n v="4"/>
    <x v="0"/>
    <x v="13"/>
    <x v="3"/>
    <x v="3"/>
    <x v="1"/>
  </r>
  <r>
    <x v="497"/>
    <x v="11"/>
    <x v="1"/>
    <n v="72.7"/>
    <n v="145.4"/>
    <x v="21"/>
    <d v="2025-01-26T00:00:00"/>
    <x v="2"/>
    <x v="4"/>
    <n v="5"/>
    <x v="0"/>
    <x v="44"/>
    <x v="5"/>
    <x v="3"/>
    <x v="2"/>
  </r>
  <r>
    <x v="498"/>
    <x v="10"/>
    <x v="12"/>
    <n v="38.6"/>
    <n v="154.4"/>
    <x v="21"/>
    <d v="2025-01-23T00:00:00"/>
    <x v="1"/>
    <x v="0"/>
    <n v="5"/>
    <x v="0"/>
    <x v="22"/>
    <x v="3"/>
    <x v="3"/>
    <x v="1"/>
  </r>
  <r>
    <x v="499"/>
    <x v="8"/>
    <x v="3"/>
    <n v="33.1"/>
    <n v="231.70000000000002"/>
    <x v="21"/>
    <d v="2025-01-23T00:00:00"/>
    <x v="3"/>
    <x v="4"/>
    <n v="1"/>
    <x v="0"/>
    <x v="3"/>
    <x v="3"/>
    <x v="3"/>
    <x v="3"/>
  </r>
  <r>
    <x v="500"/>
    <x v="10"/>
    <x v="1"/>
    <n v="30.5"/>
    <n v="61"/>
    <x v="21"/>
    <d v="2025-01-22T00:00:00"/>
    <x v="0"/>
    <x v="1"/>
    <n v="3"/>
    <x v="0"/>
    <x v="3"/>
    <x v="7"/>
    <x v="3"/>
    <x v="0"/>
  </r>
  <r>
    <x v="501"/>
    <x v="9"/>
    <x v="1"/>
    <n v="69.599999999999994"/>
    <n v="139.19999999999999"/>
    <x v="21"/>
    <d v="2025-01-23T00:00:00"/>
    <x v="1"/>
    <x v="0"/>
    <n v="3"/>
    <x v="0"/>
    <x v="3"/>
    <x v="3"/>
    <x v="3"/>
    <x v="1"/>
  </r>
  <r>
    <x v="502"/>
    <x v="11"/>
    <x v="0"/>
    <n v="42.4"/>
    <n v="42.4"/>
    <x v="21"/>
    <d v="2025-01-26T00:00:00"/>
    <x v="2"/>
    <x v="1"/>
    <n v="4"/>
    <x v="0"/>
    <x v="3"/>
    <x v="5"/>
    <x v="3"/>
    <x v="2"/>
  </r>
  <r>
    <x v="503"/>
    <x v="17"/>
    <x v="0"/>
    <n v="32.200000000000003"/>
    <n v="32.200000000000003"/>
    <x v="21"/>
    <d v="2025-01-25T00:00:00"/>
    <x v="2"/>
    <x v="2"/>
    <n v="3"/>
    <x v="0"/>
    <x v="3"/>
    <x v="2"/>
    <x v="3"/>
    <x v="2"/>
  </r>
  <r>
    <x v="504"/>
    <x v="6"/>
    <x v="1"/>
    <n v="41.5"/>
    <n v="83"/>
    <x v="21"/>
    <d v="2025-01-25T00:00:00"/>
    <x v="2"/>
    <x v="0"/>
    <n v="5"/>
    <x v="0"/>
    <x v="3"/>
    <x v="2"/>
    <x v="3"/>
    <x v="2"/>
  </r>
  <r>
    <x v="505"/>
    <x v="16"/>
    <x v="11"/>
    <n v="58.9"/>
    <n v="530.1"/>
    <x v="21"/>
    <d v="2025-01-26T00:00:00"/>
    <x v="2"/>
    <x v="3"/>
    <n v="4"/>
    <x v="0"/>
    <x v="3"/>
    <x v="5"/>
    <x v="3"/>
    <x v="2"/>
  </r>
  <r>
    <x v="506"/>
    <x v="2"/>
    <x v="0"/>
    <n v="57.1"/>
    <n v="57.1"/>
    <x v="21"/>
    <d v="2025-01-25T00:00:00"/>
    <x v="2"/>
    <x v="1"/>
    <n v="4"/>
    <x v="0"/>
    <x v="3"/>
    <x v="2"/>
    <x v="3"/>
    <x v="2"/>
  </r>
  <r>
    <x v="507"/>
    <x v="6"/>
    <x v="0"/>
    <n v="57.2"/>
    <n v="57.2"/>
    <x v="21"/>
    <d v="2025-01-24T00:00:00"/>
    <x v="1"/>
    <x v="1"/>
    <n v="4"/>
    <x v="0"/>
    <x v="3"/>
    <x v="1"/>
    <x v="3"/>
    <x v="1"/>
  </r>
  <r>
    <x v="508"/>
    <x v="8"/>
    <x v="1"/>
    <n v="35.1"/>
    <n v="70.2"/>
    <x v="21"/>
    <d v="2025-01-23T00:00:00"/>
    <x v="1"/>
    <x v="1"/>
    <n v="4"/>
    <x v="0"/>
    <x v="6"/>
    <x v="3"/>
    <x v="3"/>
    <x v="1"/>
  </r>
  <r>
    <x v="509"/>
    <x v="1"/>
    <x v="0"/>
    <n v="52.1"/>
    <n v="52.1"/>
    <x v="21"/>
    <d v="2025-01-24T00:00:00"/>
    <x v="2"/>
    <x v="4"/>
    <n v="3"/>
    <x v="0"/>
    <x v="8"/>
    <x v="1"/>
    <x v="3"/>
    <x v="2"/>
  </r>
  <r>
    <x v="510"/>
    <x v="13"/>
    <x v="2"/>
    <n v="59.8"/>
    <n v="179.39999999999998"/>
    <x v="21"/>
    <d v="2025-01-24T00:00:00"/>
    <x v="2"/>
    <x v="4"/>
    <n v="3"/>
    <x v="0"/>
    <x v="8"/>
    <x v="1"/>
    <x v="3"/>
    <x v="2"/>
  </r>
  <r>
    <x v="511"/>
    <x v="3"/>
    <x v="12"/>
    <n v="83.3"/>
    <n v="333.2"/>
    <x v="21"/>
    <d v="2025-01-22T00:00:00"/>
    <x v="0"/>
    <x v="2"/>
    <n v="4"/>
    <x v="0"/>
    <x v="8"/>
    <x v="7"/>
    <x v="3"/>
    <x v="0"/>
  </r>
  <r>
    <x v="512"/>
    <x v="15"/>
    <x v="4"/>
    <n v="41.3"/>
    <n v="495.59999999999997"/>
    <x v="21"/>
    <d v="2025-01-23T00:00:00"/>
    <x v="2"/>
    <x v="1"/>
    <n v="4"/>
    <x v="0"/>
    <x v="8"/>
    <x v="3"/>
    <x v="3"/>
    <x v="2"/>
  </r>
  <r>
    <x v="513"/>
    <x v="8"/>
    <x v="9"/>
    <n v="16"/>
    <n v="80"/>
    <x v="21"/>
    <d v="2025-01-24T00:00:00"/>
    <x v="1"/>
    <x v="4"/>
    <n v="3"/>
    <x v="0"/>
    <x v="9"/>
    <x v="1"/>
    <x v="3"/>
    <x v="1"/>
  </r>
  <r>
    <x v="514"/>
    <x v="10"/>
    <x v="1"/>
    <n v="20.8"/>
    <n v="41.6"/>
    <x v="22"/>
    <d v="2025-01-25T00:00:00"/>
    <x v="1"/>
    <x v="0"/>
    <n v="5"/>
    <x v="0"/>
    <x v="11"/>
    <x v="1"/>
    <x v="3"/>
    <x v="1"/>
  </r>
  <r>
    <x v="515"/>
    <x v="8"/>
    <x v="31"/>
    <n v="27.1"/>
    <n v="758.80000000000007"/>
    <x v="22"/>
    <d v="2025-01-24T00:00:00"/>
    <x v="0"/>
    <x v="3"/>
    <n v="5"/>
    <x v="0"/>
    <x v="11"/>
    <x v="3"/>
    <x v="3"/>
    <x v="0"/>
  </r>
  <r>
    <x v="516"/>
    <x v="10"/>
    <x v="1"/>
    <n v="38.9"/>
    <n v="77.8"/>
    <x v="22"/>
    <d v="2025-01-25T00:00:00"/>
    <x v="2"/>
    <x v="0"/>
    <n v="4"/>
    <x v="0"/>
    <x v="18"/>
    <x v="1"/>
    <x v="3"/>
    <x v="2"/>
  </r>
  <r>
    <x v="517"/>
    <x v="0"/>
    <x v="1"/>
    <n v="10.8"/>
    <n v="21.6"/>
    <x v="22"/>
    <d v="2025-01-26T00:00:00"/>
    <x v="2"/>
    <x v="1"/>
    <n v="5"/>
    <x v="0"/>
    <x v="45"/>
    <x v="2"/>
    <x v="3"/>
    <x v="2"/>
  </r>
  <r>
    <x v="518"/>
    <x v="4"/>
    <x v="15"/>
    <n v="48.4"/>
    <n v="629.19999999999993"/>
    <x v="22"/>
    <d v="2025-01-27T00:00:00"/>
    <x v="2"/>
    <x v="0"/>
    <n v="4"/>
    <x v="0"/>
    <x v="21"/>
    <x v="5"/>
    <x v="3"/>
    <x v="2"/>
  </r>
  <r>
    <x v="519"/>
    <x v="4"/>
    <x v="2"/>
    <n v="29.2"/>
    <n v="87.6"/>
    <x v="22"/>
    <d v="2025-01-26T00:00:00"/>
    <x v="2"/>
    <x v="1"/>
    <n v="3"/>
    <x v="0"/>
    <x v="2"/>
    <x v="2"/>
    <x v="3"/>
    <x v="2"/>
  </r>
  <r>
    <x v="520"/>
    <x v="4"/>
    <x v="1"/>
    <n v="25.1"/>
    <n v="50.2"/>
    <x v="22"/>
    <d v="2025-01-24T00:00:00"/>
    <x v="1"/>
    <x v="0"/>
    <n v="3"/>
    <x v="0"/>
    <x v="2"/>
    <x v="3"/>
    <x v="3"/>
    <x v="1"/>
  </r>
  <r>
    <x v="521"/>
    <x v="7"/>
    <x v="2"/>
    <n v="65.599999999999994"/>
    <n v="196.79999999999998"/>
    <x v="22"/>
    <d v="2025-01-23T00:00:00"/>
    <x v="2"/>
    <x v="2"/>
    <n v="3"/>
    <x v="0"/>
    <x v="3"/>
    <x v="7"/>
    <x v="3"/>
    <x v="2"/>
  </r>
  <r>
    <x v="522"/>
    <x v="2"/>
    <x v="1"/>
    <n v="57.3"/>
    <n v="114.6"/>
    <x v="22"/>
    <d v="2025-01-23T00:00:00"/>
    <x v="0"/>
    <x v="0"/>
    <n v="4"/>
    <x v="0"/>
    <x v="3"/>
    <x v="7"/>
    <x v="3"/>
    <x v="0"/>
  </r>
  <r>
    <x v="523"/>
    <x v="9"/>
    <x v="12"/>
    <n v="22.4"/>
    <n v="89.6"/>
    <x v="22"/>
    <d v="2025-01-24T00:00:00"/>
    <x v="2"/>
    <x v="2"/>
    <n v="5"/>
    <x v="0"/>
    <x v="3"/>
    <x v="3"/>
    <x v="3"/>
    <x v="2"/>
  </r>
  <r>
    <x v="524"/>
    <x v="12"/>
    <x v="11"/>
    <n v="45.7"/>
    <n v="411.3"/>
    <x v="22"/>
    <d v="2025-01-24T00:00:00"/>
    <x v="2"/>
    <x v="0"/>
    <n v="4"/>
    <x v="0"/>
    <x v="3"/>
    <x v="3"/>
    <x v="3"/>
    <x v="2"/>
  </r>
  <r>
    <x v="525"/>
    <x v="8"/>
    <x v="1"/>
    <n v="29.3"/>
    <n v="58.6"/>
    <x v="22"/>
    <d v="2025-01-24T00:00:00"/>
    <x v="1"/>
    <x v="1"/>
    <n v="4"/>
    <x v="0"/>
    <x v="3"/>
    <x v="3"/>
    <x v="3"/>
    <x v="1"/>
  </r>
  <r>
    <x v="526"/>
    <x v="18"/>
    <x v="32"/>
    <n v="74"/>
    <n v="1628"/>
    <x v="22"/>
    <d v="2025-01-24T00:00:00"/>
    <x v="1"/>
    <x v="0"/>
    <n v="5"/>
    <x v="0"/>
    <x v="3"/>
    <x v="3"/>
    <x v="3"/>
    <x v="1"/>
  </r>
  <r>
    <x v="527"/>
    <x v="14"/>
    <x v="1"/>
    <n v="39.200000000000003"/>
    <n v="78.400000000000006"/>
    <x v="22"/>
    <d v="2025-01-25T00:00:00"/>
    <x v="2"/>
    <x v="1"/>
    <n v="4"/>
    <x v="0"/>
    <x v="3"/>
    <x v="1"/>
    <x v="3"/>
    <x v="2"/>
  </r>
  <r>
    <x v="528"/>
    <x v="4"/>
    <x v="14"/>
    <n v="62.7"/>
    <n v="1065.9000000000001"/>
    <x v="22"/>
    <d v="2025-01-24T00:00:00"/>
    <x v="2"/>
    <x v="2"/>
    <n v="3"/>
    <x v="0"/>
    <x v="3"/>
    <x v="3"/>
    <x v="3"/>
    <x v="2"/>
  </r>
  <r>
    <x v="529"/>
    <x v="10"/>
    <x v="1"/>
    <n v="60.1"/>
    <n v="120.2"/>
    <x v="22"/>
    <d v="2025-01-24T00:00:00"/>
    <x v="2"/>
    <x v="3"/>
    <n v="4"/>
    <x v="0"/>
    <x v="3"/>
    <x v="3"/>
    <x v="3"/>
    <x v="2"/>
  </r>
  <r>
    <x v="530"/>
    <x v="0"/>
    <x v="12"/>
    <n v="11.2"/>
    <n v="44.8"/>
    <x v="22"/>
    <d v="2025-01-24T00:00:00"/>
    <x v="2"/>
    <x v="3"/>
    <n v="3"/>
    <x v="0"/>
    <x v="3"/>
    <x v="3"/>
    <x v="3"/>
    <x v="2"/>
  </r>
  <r>
    <x v="531"/>
    <x v="8"/>
    <x v="1"/>
    <n v="22.9"/>
    <n v="45.8"/>
    <x v="22"/>
    <d v="2025-01-24T00:00:00"/>
    <x v="2"/>
    <x v="0"/>
    <n v="4"/>
    <x v="0"/>
    <x v="6"/>
    <x v="3"/>
    <x v="3"/>
    <x v="2"/>
  </r>
  <r>
    <x v="532"/>
    <x v="1"/>
    <x v="1"/>
    <n v="37.6"/>
    <n v="75.2"/>
    <x v="22"/>
    <d v="2025-01-26T00:00:00"/>
    <x v="2"/>
    <x v="0"/>
    <n v="4"/>
    <x v="0"/>
    <x v="6"/>
    <x v="2"/>
    <x v="3"/>
    <x v="2"/>
  </r>
  <r>
    <x v="533"/>
    <x v="6"/>
    <x v="0"/>
    <n v="42.4"/>
    <n v="42.4"/>
    <x v="22"/>
    <d v="2025-01-24T00:00:00"/>
    <x v="2"/>
    <x v="3"/>
    <n v="5"/>
    <x v="0"/>
    <x v="6"/>
    <x v="3"/>
    <x v="3"/>
    <x v="2"/>
  </r>
  <r>
    <x v="534"/>
    <x v="8"/>
    <x v="1"/>
    <n v="19.600000000000001"/>
    <n v="39.200000000000003"/>
    <x v="22"/>
    <d v="2025-01-27T00:00:00"/>
    <x v="2"/>
    <x v="2"/>
    <n v="4"/>
    <x v="0"/>
    <x v="7"/>
    <x v="5"/>
    <x v="3"/>
    <x v="2"/>
  </r>
  <r>
    <x v="535"/>
    <x v="9"/>
    <x v="0"/>
    <n v="90.5"/>
    <n v="90.5"/>
    <x v="22"/>
    <d v="2025-01-26T00:00:00"/>
    <x v="2"/>
    <x v="2"/>
    <n v="4"/>
    <x v="0"/>
    <x v="7"/>
    <x v="2"/>
    <x v="3"/>
    <x v="2"/>
  </r>
  <r>
    <x v="536"/>
    <x v="16"/>
    <x v="5"/>
    <n v="33.9"/>
    <n v="372.9"/>
    <x v="22"/>
    <d v="2025-01-24T00:00:00"/>
    <x v="1"/>
    <x v="2"/>
    <n v="3"/>
    <x v="0"/>
    <x v="7"/>
    <x v="3"/>
    <x v="3"/>
    <x v="1"/>
  </r>
  <r>
    <x v="537"/>
    <x v="0"/>
    <x v="1"/>
    <n v="32.799999999999997"/>
    <n v="65.599999999999994"/>
    <x v="22"/>
    <d v="2025-01-25T00:00:00"/>
    <x v="2"/>
    <x v="4"/>
    <n v="2"/>
    <x v="0"/>
    <x v="8"/>
    <x v="1"/>
    <x v="3"/>
    <x v="2"/>
  </r>
  <r>
    <x v="538"/>
    <x v="15"/>
    <x v="0"/>
    <n v="49.9"/>
    <n v="49.9"/>
    <x v="22"/>
    <d v="2025-01-24T00:00:00"/>
    <x v="1"/>
    <x v="3"/>
    <n v="3"/>
    <x v="0"/>
    <x v="8"/>
    <x v="3"/>
    <x v="3"/>
    <x v="1"/>
  </r>
  <r>
    <x v="539"/>
    <x v="7"/>
    <x v="9"/>
    <n v="79.2"/>
    <n v="396"/>
    <x v="22"/>
    <d v="2025-01-24T00:00:00"/>
    <x v="2"/>
    <x v="4"/>
    <n v="4"/>
    <x v="0"/>
    <x v="8"/>
    <x v="3"/>
    <x v="3"/>
    <x v="2"/>
  </r>
  <r>
    <x v="540"/>
    <x v="8"/>
    <x v="27"/>
    <n v="19.5"/>
    <n v="312"/>
    <x v="22"/>
    <d v="2025-01-25T00:00:00"/>
    <x v="1"/>
    <x v="3"/>
    <n v="5"/>
    <x v="0"/>
    <x v="8"/>
    <x v="1"/>
    <x v="3"/>
    <x v="1"/>
  </r>
  <r>
    <x v="541"/>
    <x v="8"/>
    <x v="12"/>
    <n v="18"/>
    <n v="72"/>
    <x v="22"/>
    <d v="2025-01-24T00:00:00"/>
    <x v="1"/>
    <x v="1"/>
    <n v="4"/>
    <x v="0"/>
    <x v="10"/>
    <x v="3"/>
    <x v="3"/>
    <x v="1"/>
  </r>
  <r>
    <x v="542"/>
    <x v="9"/>
    <x v="2"/>
    <n v="45.9"/>
    <n v="137.69999999999999"/>
    <x v="22"/>
    <d v="2025-01-25T00:00:00"/>
    <x v="2"/>
    <x v="1"/>
    <n v="3"/>
    <x v="0"/>
    <x v="10"/>
    <x v="1"/>
    <x v="3"/>
    <x v="2"/>
  </r>
  <r>
    <x v="543"/>
    <x v="11"/>
    <x v="0"/>
    <n v="41.2"/>
    <n v="41.2"/>
    <x v="22"/>
    <d v="2025-01-25T00:00:00"/>
    <x v="2"/>
    <x v="1"/>
    <n v="5"/>
    <x v="0"/>
    <x v="11"/>
    <x v="1"/>
    <x v="3"/>
    <x v="2"/>
  </r>
  <r>
    <x v="544"/>
    <x v="2"/>
    <x v="7"/>
    <n v="167.2"/>
    <n v="1672"/>
    <x v="22"/>
    <d v="2025-01-25T00:00:00"/>
    <x v="2"/>
    <x v="2"/>
    <n v="5"/>
    <x v="0"/>
    <x v="32"/>
    <x v="1"/>
    <x v="3"/>
    <x v="2"/>
  </r>
  <r>
    <x v="545"/>
    <x v="6"/>
    <x v="17"/>
    <n v="74.5"/>
    <n v="2235"/>
    <x v="23"/>
    <d v="2025-01-27T00:00:00"/>
    <x v="2"/>
    <x v="1"/>
    <n v="5"/>
    <x v="0"/>
    <x v="38"/>
    <x v="2"/>
    <x v="3"/>
    <x v="2"/>
  </r>
  <r>
    <x v="546"/>
    <x v="7"/>
    <x v="12"/>
    <n v="39.299999999999997"/>
    <n v="157.19999999999999"/>
    <x v="23"/>
    <d v="2025-01-25T00:00:00"/>
    <x v="0"/>
    <x v="2"/>
    <n v="4"/>
    <x v="0"/>
    <x v="19"/>
    <x v="3"/>
    <x v="3"/>
    <x v="0"/>
  </r>
  <r>
    <x v="547"/>
    <x v="9"/>
    <x v="0"/>
    <n v="68.5"/>
    <n v="68.5"/>
    <x v="23"/>
    <d v="2025-01-27T00:00:00"/>
    <x v="1"/>
    <x v="1"/>
    <n v="5"/>
    <x v="0"/>
    <x v="12"/>
    <x v="2"/>
    <x v="3"/>
    <x v="1"/>
  </r>
  <r>
    <x v="548"/>
    <x v="0"/>
    <x v="2"/>
    <n v="22.5"/>
    <n v="67.5"/>
    <x v="23"/>
    <d v="2025-01-24T00:00:00"/>
    <x v="2"/>
    <x v="4"/>
    <n v="4"/>
    <x v="0"/>
    <x v="13"/>
    <x v="7"/>
    <x v="3"/>
    <x v="2"/>
  </r>
  <r>
    <x v="549"/>
    <x v="1"/>
    <x v="0"/>
    <n v="48"/>
    <n v="48"/>
    <x v="23"/>
    <d v="2025-01-25T00:00:00"/>
    <x v="3"/>
    <x v="4"/>
    <n v="3"/>
    <x v="0"/>
    <x v="46"/>
    <x v="3"/>
    <x v="3"/>
    <x v="3"/>
  </r>
  <r>
    <x v="550"/>
    <x v="6"/>
    <x v="0"/>
    <n v="94"/>
    <n v="94"/>
    <x v="23"/>
    <d v="2025-01-25T00:00:00"/>
    <x v="1"/>
    <x v="3"/>
    <n v="3"/>
    <x v="0"/>
    <x v="1"/>
    <x v="3"/>
    <x v="3"/>
    <x v="1"/>
  </r>
  <r>
    <x v="551"/>
    <x v="8"/>
    <x v="2"/>
    <n v="21.9"/>
    <n v="65.699999999999989"/>
    <x v="23"/>
    <d v="2025-01-25T00:00:00"/>
    <x v="2"/>
    <x v="0"/>
    <n v="4"/>
    <x v="0"/>
    <x v="44"/>
    <x v="3"/>
    <x v="3"/>
    <x v="2"/>
  </r>
  <r>
    <x v="552"/>
    <x v="6"/>
    <x v="3"/>
    <n v="64.900000000000006"/>
    <n v="454.30000000000007"/>
    <x v="23"/>
    <d v="2025-01-25T00:00:00"/>
    <x v="2"/>
    <x v="0"/>
    <n v="4"/>
    <x v="0"/>
    <x v="3"/>
    <x v="3"/>
    <x v="3"/>
    <x v="2"/>
  </r>
  <r>
    <x v="553"/>
    <x v="12"/>
    <x v="0"/>
    <n v="52.9"/>
    <n v="52.9"/>
    <x v="23"/>
    <d v="2025-01-24T00:00:00"/>
    <x v="2"/>
    <x v="1"/>
    <n v="3"/>
    <x v="0"/>
    <x v="3"/>
    <x v="7"/>
    <x v="3"/>
    <x v="2"/>
  </r>
  <r>
    <x v="554"/>
    <x v="8"/>
    <x v="2"/>
    <n v="25.5"/>
    <n v="76.5"/>
    <x v="23"/>
    <d v="2025-01-25T00:00:00"/>
    <x v="2"/>
    <x v="1"/>
    <n v="5"/>
    <x v="0"/>
    <x v="3"/>
    <x v="3"/>
    <x v="3"/>
    <x v="2"/>
  </r>
  <r>
    <x v="555"/>
    <x v="6"/>
    <x v="2"/>
    <n v="51.9"/>
    <n v="155.69999999999999"/>
    <x v="23"/>
    <d v="2025-01-25T00:00:00"/>
    <x v="2"/>
    <x v="3"/>
    <n v="4"/>
    <x v="0"/>
    <x v="3"/>
    <x v="3"/>
    <x v="3"/>
    <x v="2"/>
  </r>
  <r>
    <x v="556"/>
    <x v="5"/>
    <x v="0"/>
    <n v="46.3"/>
    <n v="46.3"/>
    <x v="23"/>
    <d v="2025-01-27T00:00:00"/>
    <x v="2"/>
    <x v="4"/>
    <n v="4"/>
    <x v="0"/>
    <x v="3"/>
    <x v="2"/>
    <x v="3"/>
    <x v="2"/>
  </r>
  <r>
    <x v="557"/>
    <x v="6"/>
    <x v="1"/>
    <n v="68.2"/>
    <n v="136.4"/>
    <x v="23"/>
    <d v="2025-01-26T00:00:00"/>
    <x v="2"/>
    <x v="3"/>
    <n v="4"/>
    <x v="0"/>
    <x v="3"/>
    <x v="1"/>
    <x v="3"/>
    <x v="2"/>
  </r>
  <r>
    <x v="558"/>
    <x v="1"/>
    <x v="0"/>
    <n v="40.299999999999997"/>
    <n v="40.299999999999997"/>
    <x v="23"/>
    <d v="2025-01-25T00:00:00"/>
    <x v="1"/>
    <x v="0"/>
    <n v="3"/>
    <x v="0"/>
    <x v="3"/>
    <x v="3"/>
    <x v="3"/>
    <x v="1"/>
  </r>
  <r>
    <x v="559"/>
    <x v="2"/>
    <x v="2"/>
    <n v="91.3"/>
    <n v="273.89999999999998"/>
    <x v="23"/>
    <d v="2025-01-29T00:00:00"/>
    <x v="1"/>
    <x v="0"/>
    <n v="5"/>
    <x v="0"/>
    <x v="6"/>
    <x v="0"/>
    <x v="3"/>
    <x v="1"/>
  </r>
  <r>
    <x v="560"/>
    <x v="0"/>
    <x v="2"/>
    <n v="11.9"/>
    <n v="35.700000000000003"/>
    <x v="23"/>
    <d v="2025-01-25T00:00:00"/>
    <x v="2"/>
    <x v="0"/>
    <n v="3"/>
    <x v="0"/>
    <x v="6"/>
    <x v="3"/>
    <x v="3"/>
    <x v="2"/>
  </r>
  <r>
    <x v="561"/>
    <x v="2"/>
    <x v="1"/>
    <n v="63.5"/>
    <n v="127"/>
    <x v="23"/>
    <d v="2025-01-26T00:00:00"/>
    <x v="1"/>
    <x v="1"/>
    <n v="4"/>
    <x v="0"/>
    <x v="6"/>
    <x v="1"/>
    <x v="3"/>
    <x v="1"/>
  </r>
  <r>
    <x v="562"/>
    <x v="4"/>
    <x v="1"/>
    <n v="27.1"/>
    <n v="54.2"/>
    <x v="23"/>
    <d v="2025-01-27T00:00:00"/>
    <x v="1"/>
    <x v="2"/>
    <n v="5"/>
    <x v="0"/>
    <x v="6"/>
    <x v="2"/>
    <x v="3"/>
    <x v="1"/>
  </r>
  <r>
    <x v="563"/>
    <x v="1"/>
    <x v="1"/>
    <n v="82.1"/>
    <n v="164.2"/>
    <x v="24"/>
    <d v="2025-01-28T00:00:00"/>
    <x v="1"/>
    <x v="1"/>
    <n v="3"/>
    <x v="0"/>
    <x v="7"/>
    <x v="2"/>
    <x v="3"/>
    <x v="1"/>
  </r>
  <r>
    <x v="564"/>
    <x v="3"/>
    <x v="9"/>
    <n v="42.9"/>
    <n v="214.5"/>
    <x v="24"/>
    <d v="2025-01-27T00:00:00"/>
    <x v="2"/>
    <x v="1"/>
    <n v="4"/>
    <x v="0"/>
    <x v="8"/>
    <x v="1"/>
    <x v="3"/>
    <x v="2"/>
  </r>
  <r>
    <x v="565"/>
    <x v="8"/>
    <x v="5"/>
    <n v="37.9"/>
    <n v="416.9"/>
    <x v="24"/>
    <d v="2025-02-01T00:00:00"/>
    <x v="1"/>
    <x v="0"/>
    <n v="4"/>
    <x v="0"/>
    <x v="8"/>
    <x v="6"/>
    <x v="3"/>
    <x v="1"/>
  </r>
  <r>
    <x v="566"/>
    <x v="0"/>
    <x v="0"/>
    <n v="22.4"/>
    <n v="22.4"/>
    <x v="24"/>
    <d v="2025-01-26T00:00:00"/>
    <x v="2"/>
    <x v="0"/>
    <n v="3"/>
    <x v="0"/>
    <x v="17"/>
    <x v="3"/>
    <x v="3"/>
    <x v="2"/>
  </r>
  <r>
    <x v="567"/>
    <x v="2"/>
    <x v="15"/>
    <n v="79.900000000000006"/>
    <n v="1038.7"/>
    <x v="24"/>
    <d v="2025-02-07T00:00:00"/>
    <x v="2"/>
    <x v="3"/>
    <n v="3"/>
    <x v="0"/>
    <x v="11"/>
    <x v="10"/>
    <x v="3"/>
    <x v="2"/>
  </r>
  <r>
    <x v="568"/>
    <x v="1"/>
    <x v="0"/>
    <n v="70.599999999999994"/>
    <n v="70.599999999999994"/>
    <x v="24"/>
    <d v="2025-01-28T00:00:00"/>
    <x v="2"/>
    <x v="0"/>
    <n v="3"/>
    <x v="0"/>
    <x v="11"/>
    <x v="2"/>
    <x v="3"/>
    <x v="2"/>
  </r>
  <r>
    <x v="569"/>
    <x v="6"/>
    <x v="0"/>
    <n v="49.5"/>
    <n v="49.5"/>
    <x v="24"/>
    <d v="2025-01-27T00:00:00"/>
    <x v="1"/>
    <x v="0"/>
    <n v="4"/>
    <x v="0"/>
    <x v="13"/>
    <x v="1"/>
    <x v="3"/>
    <x v="1"/>
  </r>
  <r>
    <x v="570"/>
    <x v="2"/>
    <x v="1"/>
    <n v="96.6"/>
    <n v="193.2"/>
    <x v="24"/>
    <d v="2025-01-27T00:00:00"/>
    <x v="1"/>
    <x v="0"/>
    <n v="4"/>
    <x v="0"/>
    <x v="21"/>
    <x v="1"/>
    <x v="3"/>
    <x v="1"/>
  </r>
  <r>
    <x v="571"/>
    <x v="6"/>
    <x v="1"/>
    <n v="52.8"/>
    <n v="105.6"/>
    <x v="24"/>
    <d v="2025-01-26T00:00:00"/>
    <x v="2"/>
    <x v="1"/>
    <n v="3"/>
    <x v="0"/>
    <x v="21"/>
    <x v="3"/>
    <x v="3"/>
    <x v="2"/>
  </r>
  <r>
    <x v="572"/>
    <x v="2"/>
    <x v="0"/>
    <n v="101.7"/>
    <n v="101.7"/>
    <x v="24"/>
    <d v="2025-01-26T00:00:00"/>
    <x v="1"/>
    <x v="0"/>
    <n v="4"/>
    <x v="0"/>
    <x v="1"/>
    <x v="3"/>
    <x v="3"/>
    <x v="1"/>
  </r>
  <r>
    <x v="573"/>
    <x v="4"/>
    <x v="9"/>
    <n v="26.9"/>
    <n v="134.5"/>
    <x v="24"/>
    <d v="2025-01-30T00:00:00"/>
    <x v="2"/>
    <x v="1"/>
    <n v="3"/>
    <x v="0"/>
    <x v="22"/>
    <x v="0"/>
    <x v="3"/>
    <x v="2"/>
  </r>
  <r>
    <x v="574"/>
    <x v="2"/>
    <x v="12"/>
    <n v="211"/>
    <n v="844"/>
    <x v="24"/>
    <d v="2025-01-25T00:00:00"/>
    <x v="2"/>
    <x v="1"/>
    <n v="3"/>
    <x v="0"/>
    <x v="3"/>
    <x v="7"/>
    <x v="3"/>
    <x v="2"/>
  </r>
  <r>
    <x v="575"/>
    <x v="0"/>
    <x v="12"/>
    <n v="21.1"/>
    <n v="84.4"/>
    <x v="24"/>
    <d v="2025-01-28T00:00:00"/>
    <x v="1"/>
    <x v="4"/>
    <n v="4"/>
    <x v="0"/>
    <x v="3"/>
    <x v="2"/>
    <x v="3"/>
    <x v="1"/>
  </r>
  <r>
    <x v="576"/>
    <x v="10"/>
    <x v="0"/>
    <n v="26.6"/>
    <n v="26.6"/>
    <x v="24"/>
    <d v="2025-01-27T00:00:00"/>
    <x v="1"/>
    <x v="0"/>
    <n v="2"/>
    <x v="0"/>
    <x v="3"/>
    <x v="1"/>
    <x v="3"/>
    <x v="1"/>
  </r>
  <r>
    <x v="577"/>
    <x v="12"/>
    <x v="12"/>
    <n v="51.2"/>
    <n v="204.8"/>
    <x v="24"/>
    <d v="2025-01-26T00:00:00"/>
    <x v="2"/>
    <x v="3"/>
    <n v="4"/>
    <x v="0"/>
    <x v="47"/>
    <x v="3"/>
    <x v="3"/>
    <x v="2"/>
  </r>
  <r>
    <x v="578"/>
    <x v="0"/>
    <x v="9"/>
    <n v="10.6"/>
    <n v="53"/>
    <x v="24"/>
    <d v="2025-01-29T00:00:00"/>
    <x v="2"/>
    <x v="0"/>
    <n v="4"/>
    <x v="0"/>
    <x v="8"/>
    <x v="5"/>
    <x v="3"/>
    <x v="2"/>
  </r>
  <r>
    <x v="579"/>
    <x v="6"/>
    <x v="2"/>
    <n v="43.4"/>
    <n v="130.19999999999999"/>
    <x v="24"/>
    <d v="2025-01-28T00:00:00"/>
    <x v="2"/>
    <x v="4"/>
    <n v="4"/>
    <x v="0"/>
    <x v="8"/>
    <x v="2"/>
    <x v="3"/>
    <x v="2"/>
  </r>
  <r>
    <x v="580"/>
    <x v="12"/>
    <x v="0"/>
    <n v="80"/>
    <n v="80"/>
    <x v="24"/>
    <d v="2025-01-25T00:00:00"/>
    <x v="2"/>
    <x v="0"/>
    <n v="5"/>
    <x v="0"/>
    <x v="8"/>
    <x v="7"/>
    <x v="3"/>
    <x v="2"/>
  </r>
  <r>
    <x v="581"/>
    <x v="10"/>
    <x v="12"/>
    <n v="64.7"/>
    <n v="258.8"/>
    <x v="24"/>
    <d v="2025-01-27T00:00:00"/>
    <x v="2"/>
    <x v="1"/>
    <n v="2"/>
    <x v="0"/>
    <x v="8"/>
    <x v="1"/>
    <x v="3"/>
    <x v="2"/>
  </r>
  <r>
    <x v="582"/>
    <x v="8"/>
    <x v="5"/>
    <n v="26.3"/>
    <n v="289.3"/>
    <x v="25"/>
    <d v="2025-01-26T00:00:00"/>
    <x v="2"/>
    <x v="4"/>
    <n v="3"/>
    <x v="0"/>
    <x v="26"/>
    <x v="7"/>
    <x v="4"/>
    <x v="2"/>
  </r>
  <r>
    <x v="583"/>
    <x v="10"/>
    <x v="0"/>
    <n v="28.5"/>
    <n v="28.5"/>
    <x v="25"/>
    <d v="2025-01-26T00:00:00"/>
    <x v="1"/>
    <x v="0"/>
    <n v="3"/>
    <x v="0"/>
    <x v="9"/>
    <x v="7"/>
    <x v="4"/>
    <x v="1"/>
  </r>
  <r>
    <x v="584"/>
    <x v="17"/>
    <x v="0"/>
    <n v="47.8"/>
    <n v="47.8"/>
    <x v="25"/>
    <d v="2025-01-28T00:00:00"/>
    <x v="2"/>
    <x v="0"/>
    <n v="3"/>
    <x v="0"/>
    <x v="9"/>
    <x v="1"/>
    <x v="4"/>
    <x v="2"/>
  </r>
  <r>
    <x v="585"/>
    <x v="10"/>
    <x v="2"/>
    <n v="42.8"/>
    <n v="128.39999999999998"/>
    <x v="25"/>
    <d v="2025-01-29T00:00:00"/>
    <x v="2"/>
    <x v="4"/>
    <n v="3"/>
    <x v="0"/>
    <x v="11"/>
    <x v="2"/>
    <x v="4"/>
    <x v="2"/>
  </r>
  <r>
    <x v="586"/>
    <x v="6"/>
    <x v="9"/>
    <n v="46.8"/>
    <n v="234"/>
    <x v="25"/>
    <d v="2025-01-31T00:00:00"/>
    <x v="2"/>
    <x v="1"/>
    <n v="5"/>
    <x v="0"/>
    <x v="11"/>
    <x v="0"/>
    <x v="4"/>
    <x v="2"/>
  </r>
  <r>
    <x v="587"/>
    <x v="1"/>
    <x v="7"/>
    <n v="64.099999999999994"/>
    <n v="641"/>
    <x v="25"/>
    <d v="2025-01-27T00:00:00"/>
    <x v="1"/>
    <x v="1"/>
    <n v="4"/>
    <x v="0"/>
    <x v="11"/>
    <x v="3"/>
    <x v="4"/>
    <x v="1"/>
  </r>
  <r>
    <x v="588"/>
    <x v="2"/>
    <x v="0"/>
    <n v="89.1"/>
    <n v="89.1"/>
    <x v="25"/>
    <d v="2025-01-27T00:00:00"/>
    <x v="2"/>
    <x v="0"/>
    <n v="3"/>
    <x v="0"/>
    <x v="20"/>
    <x v="3"/>
    <x v="4"/>
    <x v="2"/>
  </r>
  <r>
    <x v="589"/>
    <x v="2"/>
    <x v="2"/>
    <n v="83.1"/>
    <n v="249.29999999999998"/>
    <x v="25"/>
    <d v="2025-01-27T00:00:00"/>
    <x v="2"/>
    <x v="2"/>
    <n v="3"/>
    <x v="0"/>
    <x v="13"/>
    <x v="3"/>
    <x v="4"/>
    <x v="2"/>
  </r>
  <r>
    <x v="590"/>
    <x v="8"/>
    <x v="2"/>
    <n v="40.9"/>
    <n v="122.69999999999999"/>
    <x v="25"/>
    <d v="2025-01-27T00:00:00"/>
    <x v="1"/>
    <x v="0"/>
    <n v="4"/>
    <x v="0"/>
    <x v="1"/>
    <x v="3"/>
    <x v="4"/>
    <x v="1"/>
  </r>
  <r>
    <x v="591"/>
    <x v="2"/>
    <x v="1"/>
    <n v="125.7"/>
    <n v="251.4"/>
    <x v="25"/>
    <d v="2025-01-27T00:00:00"/>
    <x v="2"/>
    <x v="3"/>
    <n v="4"/>
    <x v="0"/>
    <x v="2"/>
    <x v="3"/>
    <x v="4"/>
    <x v="2"/>
  </r>
  <r>
    <x v="592"/>
    <x v="3"/>
    <x v="1"/>
    <n v="30.9"/>
    <n v="61.8"/>
    <x v="25"/>
    <d v="2025-01-26T00:00:00"/>
    <x v="2"/>
    <x v="2"/>
    <n v="5"/>
    <x v="0"/>
    <x v="22"/>
    <x v="7"/>
    <x v="4"/>
    <x v="2"/>
  </r>
  <r>
    <x v="593"/>
    <x v="8"/>
    <x v="1"/>
    <n v="18.3"/>
    <n v="36.6"/>
    <x v="25"/>
    <d v="2025-01-27T00:00:00"/>
    <x v="2"/>
    <x v="1"/>
    <n v="4"/>
    <x v="0"/>
    <x v="3"/>
    <x v="3"/>
    <x v="4"/>
    <x v="2"/>
  </r>
  <r>
    <x v="594"/>
    <x v="4"/>
    <x v="1"/>
    <n v="56.5"/>
    <n v="113"/>
    <x v="25"/>
    <d v="2025-01-30T00:00:00"/>
    <x v="1"/>
    <x v="2"/>
    <n v="5"/>
    <x v="0"/>
    <x v="3"/>
    <x v="5"/>
    <x v="4"/>
    <x v="1"/>
  </r>
  <r>
    <x v="595"/>
    <x v="10"/>
    <x v="3"/>
    <n v="29.9"/>
    <n v="209.29999999999998"/>
    <x v="25"/>
    <d v="2025-01-28T00:00:00"/>
    <x v="1"/>
    <x v="4"/>
    <n v="5"/>
    <x v="0"/>
    <x v="3"/>
    <x v="1"/>
    <x v="4"/>
    <x v="1"/>
  </r>
  <r>
    <x v="596"/>
    <x v="5"/>
    <x v="1"/>
    <n v="50.4"/>
    <n v="100.8"/>
    <x v="25"/>
    <d v="2025-01-27T00:00:00"/>
    <x v="2"/>
    <x v="2"/>
    <n v="4"/>
    <x v="0"/>
    <x v="3"/>
    <x v="3"/>
    <x v="4"/>
    <x v="2"/>
  </r>
  <r>
    <x v="597"/>
    <x v="2"/>
    <x v="0"/>
    <n v="85.8"/>
    <n v="85.8"/>
    <x v="25"/>
    <d v="2025-01-26T00:00:00"/>
    <x v="2"/>
    <x v="2"/>
    <n v="5"/>
    <x v="0"/>
    <x v="3"/>
    <x v="7"/>
    <x v="4"/>
    <x v="2"/>
  </r>
  <r>
    <x v="598"/>
    <x v="4"/>
    <x v="27"/>
    <n v="66.599999999999994"/>
    <n v="1065.5999999999999"/>
    <x v="25"/>
    <d v="2025-01-28T00:00:00"/>
    <x v="1"/>
    <x v="1"/>
    <n v="4"/>
    <x v="0"/>
    <x v="3"/>
    <x v="1"/>
    <x v="4"/>
    <x v="1"/>
  </r>
  <r>
    <x v="599"/>
    <x v="6"/>
    <x v="12"/>
    <n v="70.3"/>
    <n v="281.2"/>
    <x v="25"/>
    <d v="2025-01-27T00:00:00"/>
    <x v="2"/>
    <x v="0"/>
    <n v="3"/>
    <x v="0"/>
    <x v="3"/>
    <x v="3"/>
    <x v="4"/>
    <x v="2"/>
  </r>
  <r>
    <x v="600"/>
    <x v="8"/>
    <x v="12"/>
    <n v="31"/>
    <n v="124"/>
    <x v="25"/>
    <d v="2025-01-29T00:00:00"/>
    <x v="1"/>
    <x v="0"/>
    <n v="5"/>
    <x v="0"/>
    <x v="3"/>
    <x v="2"/>
    <x v="4"/>
    <x v="1"/>
  </r>
  <r>
    <x v="601"/>
    <x v="7"/>
    <x v="13"/>
    <n v="81.599999999999994"/>
    <n v="489.59999999999997"/>
    <x v="25"/>
    <d v="2025-01-27T00:00:00"/>
    <x v="2"/>
    <x v="1"/>
    <n v="3"/>
    <x v="0"/>
    <x v="37"/>
    <x v="3"/>
    <x v="4"/>
    <x v="2"/>
  </r>
  <r>
    <x v="602"/>
    <x v="1"/>
    <x v="30"/>
    <n v="58.3"/>
    <n v="1457.5"/>
    <x v="25"/>
    <d v="2025-01-27T00:00:00"/>
    <x v="2"/>
    <x v="0"/>
    <n v="4"/>
    <x v="0"/>
    <x v="16"/>
    <x v="3"/>
    <x v="4"/>
    <x v="2"/>
  </r>
  <r>
    <x v="603"/>
    <x v="1"/>
    <x v="12"/>
    <n v="35.1"/>
    <n v="140.4"/>
    <x v="25"/>
    <d v="2025-01-28T00:00:00"/>
    <x v="1"/>
    <x v="0"/>
    <n v="5"/>
    <x v="0"/>
    <x v="8"/>
    <x v="1"/>
    <x v="4"/>
    <x v="1"/>
  </r>
  <r>
    <x v="604"/>
    <x v="2"/>
    <x v="0"/>
    <n v="80.2"/>
    <n v="80.2"/>
    <x v="25"/>
    <d v="2025-01-27T00:00:00"/>
    <x v="1"/>
    <x v="3"/>
    <n v="5"/>
    <x v="0"/>
    <x v="8"/>
    <x v="3"/>
    <x v="4"/>
    <x v="1"/>
  </r>
  <r>
    <x v="605"/>
    <x v="14"/>
    <x v="2"/>
    <n v="39.200000000000003"/>
    <n v="117.60000000000001"/>
    <x v="25"/>
    <d v="2025-01-28T00:00:00"/>
    <x v="2"/>
    <x v="1"/>
    <n v="4"/>
    <x v="0"/>
    <x v="9"/>
    <x v="1"/>
    <x v="4"/>
    <x v="2"/>
  </r>
  <r>
    <x v="606"/>
    <x v="0"/>
    <x v="1"/>
    <n v="15.4"/>
    <n v="30.8"/>
    <x v="25"/>
    <d v="2025-01-26T00:00:00"/>
    <x v="2"/>
    <x v="3"/>
    <n v="4"/>
    <x v="0"/>
    <x v="48"/>
    <x v="7"/>
    <x v="4"/>
    <x v="2"/>
  </r>
  <r>
    <x v="607"/>
    <x v="3"/>
    <x v="2"/>
    <n v="65.400000000000006"/>
    <n v="196.20000000000002"/>
    <x v="25"/>
    <d v="2025-01-29T00:00:00"/>
    <x v="1"/>
    <x v="3"/>
    <n v="4"/>
    <x v="0"/>
    <x v="18"/>
    <x v="2"/>
    <x v="4"/>
    <x v="1"/>
  </r>
  <r>
    <x v="608"/>
    <x v="1"/>
    <x v="8"/>
    <n v="63.2"/>
    <n v="505.6"/>
    <x v="25"/>
    <d v="2025-01-28T00:00:00"/>
    <x v="2"/>
    <x v="1"/>
    <n v="4"/>
    <x v="0"/>
    <x v="19"/>
    <x v="1"/>
    <x v="4"/>
    <x v="2"/>
  </r>
  <r>
    <x v="609"/>
    <x v="1"/>
    <x v="13"/>
    <n v="35.700000000000003"/>
    <n v="214.20000000000002"/>
    <x v="25"/>
    <d v="2025-01-30T00:00:00"/>
    <x v="2"/>
    <x v="4"/>
    <n v="3"/>
    <x v="0"/>
    <x v="19"/>
    <x v="5"/>
    <x v="4"/>
    <x v="2"/>
  </r>
  <r>
    <x v="610"/>
    <x v="0"/>
    <x v="28"/>
    <n v="26.2"/>
    <n v="524"/>
    <x v="25"/>
    <d v="2025-01-27T00:00:00"/>
    <x v="2"/>
    <x v="3"/>
    <n v="4"/>
    <x v="0"/>
    <x v="21"/>
    <x v="3"/>
    <x v="4"/>
    <x v="2"/>
  </r>
  <r>
    <x v="611"/>
    <x v="7"/>
    <x v="1"/>
    <n v="31"/>
    <n v="62"/>
    <x v="25"/>
    <d v="2025-01-27T00:00:00"/>
    <x v="2"/>
    <x v="0"/>
    <n v="5"/>
    <x v="0"/>
    <x v="1"/>
    <x v="3"/>
    <x v="4"/>
    <x v="2"/>
  </r>
  <r>
    <x v="612"/>
    <x v="8"/>
    <x v="12"/>
    <n v="37.700000000000003"/>
    <n v="150.80000000000001"/>
    <x v="25"/>
    <d v="2025-01-27T00:00:00"/>
    <x v="2"/>
    <x v="1"/>
    <n v="4"/>
    <x v="0"/>
    <x v="22"/>
    <x v="3"/>
    <x v="4"/>
    <x v="2"/>
  </r>
  <r>
    <x v="613"/>
    <x v="10"/>
    <x v="33"/>
    <n v="43.6"/>
    <n v="1482.4"/>
    <x v="25"/>
    <d v="2025-01-28T00:00:00"/>
    <x v="2"/>
    <x v="4"/>
    <n v="3"/>
    <x v="0"/>
    <x v="3"/>
    <x v="1"/>
    <x v="4"/>
    <x v="2"/>
  </r>
  <r>
    <x v="614"/>
    <x v="9"/>
    <x v="12"/>
    <n v="26.5"/>
    <n v="106"/>
    <x v="25"/>
    <d v="2025-01-28T00:00:00"/>
    <x v="1"/>
    <x v="0"/>
    <n v="2"/>
    <x v="0"/>
    <x v="3"/>
    <x v="1"/>
    <x v="4"/>
    <x v="1"/>
  </r>
  <r>
    <x v="615"/>
    <x v="0"/>
    <x v="1"/>
    <n v="34.6"/>
    <n v="69.2"/>
    <x v="25"/>
    <d v="2025-01-27T00:00:00"/>
    <x v="1"/>
    <x v="4"/>
    <n v="3"/>
    <x v="0"/>
    <x v="3"/>
    <x v="3"/>
    <x v="4"/>
    <x v="1"/>
  </r>
  <r>
    <x v="616"/>
    <x v="8"/>
    <x v="1"/>
    <n v="58.2"/>
    <n v="116.4"/>
    <x v="25"/>
    <d v="2025-01-27T00:00:00"/>
    <x v="1"/>
    <x v="2"/>
    <n v="5"/>
    <x v="0"/>
    <x v="3"/>
    <x v="3"/>
    <x v="4"/>
    <x v="1"/>
  </r>
  <r>
    <x v="617"/>
    <x v="7"/>
    <x v="0"/>
    <n v="30.2"/>
    <n v="30.2"/>
    <x v="26"/>
    <d v="2025-01-28T00:00:00"/>
    <x v="2"/>
    <x v="2"/>
    <n v="3"/>
    <x v="0"/>
    <x v="3"/>
    <x v="3"/>
    <x v="4"/>
    <x v="2"/>
  </r>
  <r>
    <x v="618"/>
    <x v="1"/>
    <x v="7"/>
    <n v="53.2"/>
    <n v="532"/>
    <x v="26"/>
    <d v="2025-01-28T00:00:00"/>
    <x v="1"/>
    <x v="0"/>
    <n v="5"/>
    <x v="0"/>
    <x v="5"/>
    <x v="3"/>
    <x v="4"/>
    <x v="1"/>
  </r>
  <r>
    <x v="619"/>
    <x v="12"/>
    <x v="13"/>
    <n v="51.1"/>
    <n v="306.60000000000002"/>
    <x v="26"/>
    <d v="2025-01-27T00:00:00"/>
    <x v="1"/>
    <x v="1"/>
    <n v="5"/>
    <x v="0"/>
    <x v="5"/>
    <x v="7"/>
    <x v="4"/>
    <x v="1"/>
  </r>
  <r>
    <x v="620"/>
    <x v="1"/>
    <x v="0"/>
    <n v="105.4"/>
    <n v="105.4"/>
    <x v="26"/>
    <d v="2025-01-31T00:00:00"/>
    <x v="2"/>
    <x v="1"/>
    <n v="5"/>
    <x v="0"/>
    <x v="23"/>
    <x v="5"/>
    <x v="4"/>
    <x v="2"/>
  </r>
  <r>
    <x v="621"/>
    <x v="7"/>
    <x v="0"/>
    <n v="57.7"/>
    <n v="57.7"/>
    <x v="26"/>
    <d v="2025-01-27T00:00:00"/>
    <x v="1"/>
    <x v="0"/>
    <n v="2"/>
    <x v="0"/>
    <x v="8"/>
    <x v="7"/>
    <x v="4"/>
    <x v="1"/>
  </r>
  <r>
    <x v="622"/>
    <x v="15"/>
    <x v="1"/>
    <n v="72.400000000000006"/>
    <n v="144.80000000000001"/>
    <x v="26"/>
    <d v="2025-02-01T00:00:00"/>
    <x v="2"/>
    <x v="0"/>
    <n v="4"/>
    <x v="0"/>
    <x v="17"/>
    <x v="0"/>
    <x v="4"/>
    <x v="2"/>
  </r>
  <r>
    <x v="623"/>
    <x v="6"/>
    <x v="1"/>
    <n v="62.5"/>
    <n v="125"/>
    <x v="26"/>
    <d v="2025-01-28T00:00:00"/>
    <x v="0"/>
    <x v="0"/>
    <n v="5"/>
    <x v="0"/>
    <x v="11"/>
    <x v="3"/>
    <x v="4"/>
    <x v="0"/>
  </r>
  <r>
    <x v="624"/>
    <x v="0"/>
    <x v="32"/>
    <n v="11.6"/>
    <n v="255.2"/>
    <x v="26"/>
    <d v="2025-01-29T00:00:00"/>
    <x v="2"/>
    <x v="3"/>
    <n v="5"/>
    <x v="0"/>
    <x v="18"/>
    <x v="1"/>
    <x v="4"/>
    <x v="2"/>
  </r>
  <r>
    <x v="625"/>
    <x v="10"/>
    <x v="7"/>
    <n v="39.6"/>
    <n v="396"/>
    <x v="26"/>
    <d v="2025-01-29T00:00:00"/>
    <x v="2"/>
    <x v="2"/>
    <n v="5"/>
    <x v="0"/>
    <x v="18"/>
    <x v="1"/>
    <x v="4"/>
    <x v="2"/>
  </r>
  <r>
    <x v="626"/>
    <x v="8"/>
    <x v="1"/>
    <n v="40.1"/>
    <n v="80.2"/>
    <x v="26"/>
    <d v="2025-01-28T00:00:00"/>
    <x v="2"/>
    <x v="2"/>
    <n v="4"/>
    <x v="0"/>
    <x v="18"/>
    <x v="3"/>
    <x v="4"/>
    <x v="2"/>
  </r>
  <r>
    <x v="627"/>
    <x v="8"/>
    <x v="2"/>
    <n v="18.600000000000001"/>
    <n v="55.800000000000004"/>
    <x v="26"/>
    <d v="2025-01-28T00:00:00"/>
    <x v="2"/>
    <x v="2"/>
    <n v="4"/>
    <x v="0"/>
    <x v="21"/>
    <x v="3"/>
    <x v="4"/>
    <x v="2"/>
  </r>
  <r>
    <x v="628"/>
    <x v="4"/>
    <x v="0"/>
    <n v="58.8"/>
    <n v="58.8"/>
    <x v="26"/>
    <d v="2025-01-29T00:00:00"/>
    <x v="2"/>
    <x v="0"/>
    <n v="3"/>
    <x v="0"/>
    <x v="21"/>
    <x v="1"/>
    <x v="4"/>
    <x v="2"/>
  </r>
  <r>
    <x v="629"/>
    <x v="8"/>
    <x v="1"/>
    <n v="22.1"/>
    <n v="44.2"/>
    <x v="26"/>
    <d v="2025-01-30T00:00:00"/>
    <x v="1"/>
    <x v="1"/>
    <n v="5"/>
    <x v="0"/>
    <x v="21"/>
    <x v="2"/>
    <x v="4"/>
    <x v="1"/>
  </r>
  <r>
    <x v="630"/>
    <x v="2"/>
    <x v="0"/>
    <n v="114.9"/>
    <n v="114.9"/>
    <x v="27"/>
    <d v="2025-01-29T00:00:00"/>
    <x v="2"/>
    <x v="1"/>
    <n v="3"/>
    <x v="0"/>
    <x v="22"/>
    <x v="3"/>
    <x v="4"/>
    <x v="2"/>
  </r>
  <r>
    <x v="631"/>
    <x v="9"/>
    <x v="9"/>
    <n v="75.8"/>
    <n v="379"/>
    <x v="27"/>
    <d v="2025-01-29T00:00:00"/>
    <x v="1"/>
    <x v="0"/>
    <n v="5"/>
    <x v="0"/>
    <x v="3"/>
    <x v="3"/>
    <x v="4"/>
    <x v="1"/>
  </r>
  <r>
    <x v="632"/>
    <x v="14"/>
    <x v="9"/>
    <n v="20.6"/>
    <n v="103"/>
    <x v="27"/>
    <d v="2025-01-29T00:00:00"/>
    <x v="1"/>
    <x v="2"/>
    <n v="5"/>
    <x v="0"/>
    <x v="3"/>
    <x v="3"/>
    <x v="4"/>
    <x v="1"/>
  </r>
  <r>
    <x v="633"/>
    <x v="17"/>
    <x v="2"/>
    <n v="67.900000000000006"/>
    <n v="203.70000000000002"/>
    <x v="27"/>
    <d v="2025-01-29T00:00:00"/>
    <x v="2"/>
    <x v="1"/>
    <n v="3"/>
    <x v="0"/>
    <x v="3"/>
    <x v="3"/>
    <x v="4"/>
    <x v="2"/>
  </r>
  <r>
    <x v="634"/>
    <x v="0"/>
    <x v="9"/>
    <n v="27"/>
    <n v="135"/>
    <x v="27"/>
    <d v="2025-02-04T00:00:00"/>
    <x v="2"/>
    <x v="0"/>
    <n v="5"/>
    <x v="0"/>
    <x v="3"/>
    <x v="6"/>
    <x v="4"/>
    <x v="2"/>
  </r>
  <r>
    <x v="635"/>
    <x v="13"/>
    <x v="0"/>
    <n v="50.6"/>
    <n v="50.6"/>
    <x v="27"/>
    <d v="2025-01-28T00:00:00"/>
    <x v="1"/>
    <x v="0"/>
    <n v="3"/>
    <x v="0"/>
    <x v="3"/>
    <x v="7"/>
    <x v="4"/>
    <x v="1"/>
  </r>
  <r>
    <x v="636"/>
    <x v="4"/>
    <x v="9"/>
    <n v="22.1"/>
    <n v="110.5"/>
    <x v="27"/>
    <d v="2025-02-02T00:00:00"/>
    <x v="1"/>
    <x v="0"/>
    <n v="4"/>
    <x v="0"/>
    <x v="3"/>
    <x v="0"/>
    <x v="4"/>
    <x v="1"/>
  </r>
  <r>
    <x v="637"/>
    <x v="8"/>
    <x v="2"/>
    <n v="42.9"/>
    <n v="128.69999999999999"/>
    <x v="27"/>
    <d v="2025-01-30T00:00:00"/>
    <x v="2"/>
    <x v="0"/>
    <n v="4"/>
    <x v="0"/>
    <x v="3"/>
    <x v="1"/>
    <x v="4"/>
    <x v="2"/>
  </r>
  <r>
    <x v="638"/>
    <x v="1"/>
    <x v="5"/>
    <n v="62.4"/>
    <n v="686.4"/>
    <x v="27"/>
    <d v="2025-01-30T00:00:00"/>
    <x v="2"/>
    <x v="2"/>
    <n v="4"/>
    <x v="0"/>
    <x v="3"/>
    <x v="1"/>
    <x v="4"/>
    <x v="2"/>
  </r>
  <r>
    <x v="639"/>
    <x v="13"/>
    <x v="11"/>
    <n v="36.4"/>
    <n v="327.59999999999997"/>
    <x v="27"/>
    <d v="2025-01-30T00:00:00"/>
    <x v="2"/>
    <x v="0"/>
    <n v="5"/>
    <x v="0"/>
    <x v="3"/>
    <x v="1"/>
    <x v="4"/>
    <x v="2"/>
  </r>
  <r>
    <x v="640"/>
    <x v="0"/>
    <x v="1"/>
    <n v="22.5"/>
    <n v="45"/>
    <x v="27"/>
    <d v="2025-01-31T00:00:00"/>
    <x v="1"/>
    <x v="0"/>
    <n v="4"/>
    <x v="0"/>
    <x v="3"/>
    <x v="2"/>
    <x v="4"/>
    <x v="1"/>
  </r>
  <r>
    <x v="641"/>
    <x v="6"/>
    <x v="12"/>
    <n v="70.8"/>
    <n v="283.2"/>
    <x v="27"/>
    <d v="2025-01-30T00:00:00"/>
    <x v="2"/>
    <x v="4"/>
    <n v="4"/>
    <x v="0"/>
    <x v="3"/>
    <x v="1"/>
    <x v="4"/>
    <x v="2"/>
  </r>
  <r>
    <x v="642"/>
    <x v="6"/>
    <x v="9"/>
    <n v="56.6"/>
    <n v="283"/>
    <x v="27"/>
    <d v="2025-01-30T00:00:00"/>
    <x v="1"/>
    <x v="0"/>
    <n v="3"/>
    <x v="0"/>
    <x v="4"/>
    <x v="1"/>
    <x v="4"/>
    <x v="1"/>
  </r>
  <r>
    <x v="643"/>
    <x v="6"/>
    <x v="1"/>
    <n v="47.9"/>
    <n v="95.8"/>
    <x v="27"/>
    <d v="2025-01-29T00:00:00"/>
    <x v="2"/>
    <x v="0"/>
    <n v="4"/>
    <x v="0"/>
    <x v="6"/>
    <x v="3"/>
    <x v="4"/>
    <x v="2"/>
  </r>
  <r>
    <x v="644"/>
    <x v="6"/>
    <x v="8"/>
    <n v="78.400000000000006"/>
    <n v="627.20000000000005"/>
    <x v="27"/>
    <d v="2025-01-30T00:00:00"/>
    <x v="2"/>
    <x v="1"/>
    <n v="4"/>
    <x v="0"/>
    <x v="6"/>
    <x v="1"/>
    <x v="4"/>
    <x v="2"/>
  </r>
  <r>
    <x v="645"/>
    <x v="2"/>
    <x v="21"/>
    <n v="122.1"/>
    <n v="1709.3999999999999"/>
    <x v="27"/>
    <d v="2025-02-02T00:00:00"/>
    <x v="2"/>
    <x v="0"/>
    <n v="5"/>
    <x v="0"/>
    <x v="6"/>
    <x v="0"/>
    <x v="4"/>
    <x v="2"/>
  </r>
  <r>
    <x v="646"/>
    <x v="2"/>
    <x v="1"/>
    <n v="83.7"/>
    <n v="167.4"/>
    <x v="28"/>
    <d v="2025-01-29T00:00:00"/>
    <x v="0"/>
    <x v="1"/>
    <n v="5"/>
    <x v="0"/>
    <x v="7"/>
    <x v="7"/>
    <x v="4"/>
    <x v="0"/>
  </r>
  <r>
    <x v="647"/>
    <x v="3"/>
    <x v="12"/>
    <n v="97.9"/>
    <n v="391.6"/>
    <x v="28"/>
    <d v="2025-02-02T00:00:00"/>
    <x v="2"/>
    <x v="3"/>
    <n v="5"/>
    <x v="0"/>
    <x v="7"/>
    <x v="5"/>
    <x v="4"/>
    <x v="2"/>
  </r>
  <r>
    <x v="648"/>
    <x v="14"/>
    <x v="0"/>
    <n v="15"/>
    <n v="15"/>
    <x v="28"/>
    <d v="2025-02-03T00:00:00"/>
    <x v="2"/>
    <x v="3"/>
    <n v="4"/>
    <x v="0"/>
    <x v="8"/>
    <x v="0"/>
    <x v="4"/>
    <x v="2"/>
  </r>
  <r>
    <x v="649"/>
    <x v="12"/>
    <x v="2"/>
    <n v="94.6"/>
    <n v="283.79999999999995"/>
    <x v="28"/>
    <d v="2025-01-30T00:00:00"/>
    <x v="1"/>
    <x v="2"/>
    <n v="3"/>
    <x v="0"/>
    <x v="8"/>
    <x v="3"/>
    <x v="4"/>
    <x v="1"/>
  </r>
  <r>
    <x v="650"/>
    <x v="0"/>
    <x v="13"/>
    <n v="19.7"/>
    <n v="118.19999999999999"/>
    <x v="28"/>
    <d v="2025-02-09T00:00:00"/>
    <x v="2"/>
    <x v="0"/>
    <n v="5"/>
    <x v="0"/>
    <x v="8"/>
    <x v="11"/>
    <x v="4"/>
    <x v="2"/>
  </r>
  <r>
    <x v="651"/>
    <x v="7"/>
    <x v="0"/>
    <n v="46.7"/>
    <n v="46.7"/>
    <x v="28"/>
    <d v="2025-02-01T00:00:00"/>
    <x v="2"/>
    <x v="2"/>
    <n v="4"/>
    <x v="0"/>
    <x v="17"/>
    <x v="2"/>
    <x v="4"/>
    <x v="2"/>
  </r>
  <r>
    <x v="652"/>
    <x v="1"/>
    <x v="12"/>
    <n v="43"/>
    <n v="172"/>
    <x v="28"/>
    <d v="2025-01-30T00:00:00"/>
    <x v="1"/>
    <x v="2"/>
    <n v="5"/>
    <x v="0"/>
    <x v="17"/>
    <x v="3"/>
    <x v="4"/>
    <x v="1"/>
  </r>
  <r>
    <x v="653"/>
    <x v="6"/>
    <x v="2"/>
    <n v="68.2"/>
    <n v="204.60000000000002"/>
    <x v="28"/>
    <d v="2025-02-04T00:00:00"/>
    <x v="2"/>
    <x v="0"/>
    <n v="4"/>
    <x v="0"/>
    <x v="9"/>
    <x v="4"/>
    <x v="4"/>
    <x v="2"/>
  </r>
  <r>
    <x v="654"/>
    <x v="10"/>
    <x v="7"/>
    <n v="24.3"/>
    <n v="243"/>
    <x v="28"/>
    <d v="2025-01-30T00:00:00"/>
    <x v="1"/>
    <x v="0"/>
    <n v="5"/>
    <x v="0"/>
    <x v="10"/>
    <x v="3"/>
    <x v="4"/>
    <x v="1"/>
  </r>
  <r>
    <x v="655"/>
    <x v="7"/>
    <x v="1"/>
    <n v="86.8"/>
    <n v="173.6"/>
    <x v="28"/>
    <d v="2025-02-02T00:00:00"/>
    <x v="2"/>
    <x v="4"/>
    <n v="5"/>
    <x v="0"/>
    <x v="11"/>
    <x v="5"/>
    <x v="4"/>
    <x v="2"/>
  </r>
  <r>
    <x v="656"/>
    <x v="0"/>
    <x v="1"/>
    <n v="15.8"/>
    <n v="31.6"/>
    <x v="28"/>
    <d v="2025-01-31T00:00:00"/>
    <x v="1"/>
    <x v="1"/>
    <n v="4"/>
    <x v="0"/>
    <x v="11"/>
    <x v="1"/>
    <x v="4"/>
    <x v="1"/>
  </r>
  <r>
    <x v="657"/>
    <x v="2"/>
    <x v="12"/>
    <n v="61.6"/>
    <n v="246.4"/>
    <x v="28"/>
    <d v="2025-01-30T00:00:00"/>
    <x v="1"/>
    <x v="2"/>
    <n v="4"/>
    <x v="0"/>
    <x v="11"/>
    <x v="3"/>
    <x v="4"/>
    <x v="1"/>
  </r>
  <r>
    <x v="658"/>
    <x v="6"/>
    <x v="2"/>
    <n v="48.7"/>
    <n v="146.10000000000002"/>
    <x v="28"/>
    <d v="2025-02-04T00:00:00"/>
    <x v="2"/>
    <x v="1"/>
    <n v="5"/>
    <x v="0"/>
    <x v="45"/>
    <x v="4"/>
    <x v="4"/>
    <x v="2"/>
  </r>
  <r>
    <x v="659"/>
    <x v="8"/>
    <x v="12"/>
    <n v="24.3"/>
    <n v="97.2"/>
    <x v="28"/>
    <d v="2025-01-31T00:00:00"/>
    <x v="2"/>
    <x v="1"/>
    <n v="5"/>
    <x v="0"/>
    <x v="21"/>
    <x v="1"/>
    <x v="4"/>
    <x v="2"/>
  </r>
  <r>
    <x v="660"/>
    <x v="2"/>
    <x v="1"/>
    <n v="130.69999999999999"/>
    <n v="261.39999999999998"/>
    <x v="28"/>
    <d v="2025-01-30T00:00:00"/>
    <x v="2"/>
    <x v="2"/>
    <n v="4"/>
    <x v="0"/>
    <x v="44"/>
    <x v="3"/>
    <x v="4"/>
    <x v="2"/>
  </r>
  <r>
    <x v="661"/>
    <x v="10"/>
    <x v="0"/>
    <n v="26"/>
    <n v="26"/>
    <x v="28"/>
    <d v="2025-01-31T00:00:00"/>
    <x v="1"/>
    <x v="0"/>
    <n v="4"/>
    <x v="0"/>
    <x v="3"/>
    <x v="1"/>
    <x v="4"/>
    <x v="1"/>
  </r>
  <r>
    <x v="662"/>
    <x v="2"/>
    <x v="9"/>
    <n v="94.4"/>
    <n v="472"/>
    <x v="28"/>
    <d v="2025-01-30T00:00:00"/>
    <x v="2"/>
    <x v="0"/>
    <n v="4"/>
    <x v="0"/>
    <x v="3"/>
    <x v="3"/>
    <x v="4"/>
    <x v="2"/>
  </r>
  <r>
    <x v="663"/>
    <x v="0"/>
    <x v="13"/>
    <n v="23.7"/>
    <n v="142.19999999999999"/>
    <x v="28"/>
    <d v="2025-01-31T00:00:00"/>
    <x v="1"/>
    <x v="2"/>
    <n v="5"/>
    <x v="0"/>
    <x v="3"/>
    <x v="1"/>
    <x v="4"/>
    <x v="1"/>
  </r>
  <r>
    <x v="664"/>
    <x v="9"/>
    <x v="4"/>
    <n v="37.4"/>
    <n v="448.79999999999995"/>
    <x v="28"/>
    <d v="2025-01-31T00:00:00"/>
    <x v="1"/>
    <x v="2"/>
    <n v="4"/>
    <x v="0"/>
    <x v="3"/>
    <x v="1"/>
    <x v="4"/>
    <x v="1"/>
  </r>
  <r>
    <x v="665"/>
    <x v="1"/>
    <x v="34"/>
    <n v="55.2"/>
    <n v="1987.2"/>
    <x v="28"/>
    <d v="2025-01-29T00:00:00"/>
    <x v="2"/>
    <x v="3"/>
    <n v="3"/>
    <x v="0"/>
    <x v="3"/>
    <x v="7"/>
    <x v="4"/>
    <x v="2"/>
  </r>
  <r>
    <x v="666"/>
    <x v="2"/>
    <x v="11"/>
    <n v="57.1"/>
    <n v="513.9"/>
    <x v="28"/>
    <d v="2025-01-31T00:00:00"/>
    <x v="1"/>
    <x v="0"/>
    <n v="5"/>
    <x v="0"/>
    <x v="3"/>
    <x v="1"/>
    <x v="4"/>
    <x v="1"/>
  </r>
  <r>
    <x v="667"/>
    <x v="12"/>
    <x v="0"/>
    <n v="55.3"/>
    <n v="55.3"/>
    <x v="28"/>
    <d v="2025-01-30T00:00:00"/>
    <x v="2"/>
    <x v="2"/>
    <n v="5"/>
    <x v="0"/>
    <x v="3"/>
    <x v="3"/>
    <x v="4"/>
    <x v="2"/>
  </r>
  <r>
    <x v="668"/>
    <x v="15"/>
    <x v="3"/>
    <n v="23.9"/>
    <n v="167.29999999999998"/>
    <x v="28"/>
    <d v="2025-01-30T00:00:00"/>
    <x v="2"/>
    <x v="4"/>
    <n v="3"/>
    <x v="0"/>
    <x v="3"/>
    <x v="3"/>
    <x v="4"/>
    <x v="2"/>
  </r>
  <r>
    <x v="669"/>
    <x v="0"/>
    <x v="0"/>
    <n v="34.1"/>
    <n v="34.1"/>
    <x v="28"/>
    <d v="2025-02-05T00:00:00"/>
    <x v="2"/>
    <x v="2"/>
    <n v="4"/>
    <x v="0"/>
    <x v="3"/>
    <x v="6"/>
    <x v="4"/>
    <x v="2"/>
  </r>
  <r>
    <x v="670"/>
    <x v="12"/>
    <x v="12"/>
    <n v="38.5"/>
    <n v="154"/>
    <x v="28"/>
    <d v="2025-02-09T00:00:00"/>
    <x v="2"/>
    <x v="0"/>
    <n v="4"/>
    <x v="0"/>
    <x v="3"/>
    <x v="11"/>
    <x v="4"/>
    <x v="2"/>
  </r>
  <r>
    <x v="671"/>
    <x v="7"/>
    <x v="1"/>
    <n v="105"/>
    <n v="210"/>
    <x v="28"/>
    <d v="2025-02-04T00:00:00"/>
    <x v="2"/>
    <x v="0"/>
    <n v="5"/>
    <x v="0"/>
    <x v="3"/>
    <x v="4"/>
    <x v="4"/>
    <x v="2"/>
  </r>
  <r>
    <x v="672"/>
    <x v="8"/>
    <x v="9"/>
    <n v="45.2"/>
    <n v="226"/>
    <x v="28"/>
    <d v="2025-01-31T00:00:00"/>
    <x v="2"/>
    <x v="0"/>
    <n v="5"/>
    <x v="0"/>
    <x v="3"/>
    <x v="1"/>
    <x v="4"/>
    <x v="2"/>
  </r>
  <r>
    <x v="673"/>
    <x v="17"/>
    <x v="2"/>
    <n v="24.8"/>
    <n v="74.400000000000006"/>
    <x v="28"/>
    <d v="2025-01-29T00:00:00"/>
    <x v="0"/>
    <x v="0"/>
    <n v="3"/>
    <x v="0"/>
    <x v="3"/>
    <x v="7"/>
    <x v="4"/>
    <x v="0"/>
  </r>
  <r>
    <x v="674"/>
    <x v="11"/>
    <x v="12"/>
    <n v="43.8"/>
    <n v="175.2"/>
    <x v="28"/>
    <d v="2025-02-05T00:00:00"/>
    <x v="2"/>
    <x v="1"/>
    <n v="5"/>
    <x v="0"/>
    <x v="6"/>
    <x v="6"/>
    <x v="4"/>
    <x v="2"/>
  </r>
  <r>
    <x v="675"/>
    <x v="1"/>
    <x v="0"/>
    <n v="75"/>
    <n v="75"/>
    <x v="28"/>
    <d v="2025-01-31T00:00:00"/>
    <x v="2"/>
    <x v="4"/>
    <n v="3"/>
    <x v="0"/>
    <x v="6"/>
    <x v="1"/>
    <x v="4"/>
    <x v="2"/>
  </r>
  <r>
    <x v="676"/>
    <x v="2"/>
    <x v="0"/>
    <n v="169.9"/>
    <n v="169.9"/>
    <x v="28"/>
    <d v="2025-01-30T00:00:00"/>
    <x v="1"/>
    <x v="2"/>
    <n v="4"/>
    <x v="0"/>
    <x v="6"/>
    <x v="3"/>
    <x v="4"/>
    <x v="1"/>
  </r>
  <r>
    <x v="677"/>
    <x v="9"/>
    <x v="1"/>
    <n v="72.2"/>
    <n v="144.4"/>
    <x v="28"/>
    <d v="2025-01-31T00:00:00"/>
    <x v="2"/>
    <x v="4"/>
    <n v="3"/>
    <x v="0"/>
    <x v="6"/>
    <x v="1"/>
    <x v="4"/>
    <x v="2"/>
  </r>
  <r>
    <x v="678"/>
    <x v="0"/>
    <x v="0"/>
    <n v="20"/>
    <n v="20"/>
    <x v="29"/>
    <d v="2025-02-02T00:00:00"/>
    <x v="2"/>
    <x v="2"/>
    <n v="3"/>
    <x v="0"/>
    <x v="7"/>
    <x v="2"/>
    <x v="4"/>
    <x v="2"/>
  </r>
  <r>
    <x v="679"/>
    <x v="9"/>
    <x v="1"/>
    <n v="40.799999999999997"/>
    <n v="81.599999999999994"/>
    <x v="29"/>
    <d v="2025-02-01T00:00:00"/>
    <x v="2"/>
    <x v="3"/>
    <n v="5"/>
    <x v="0"/>
    <x v="8"/>
    <x v="1"/>
    <x v="4"/>
    <x v="2"/>
  </r>
  <r>
    <x v="680"/>
    <x v="10"/>
    <x v="12"/>
    <n v="58"/>
    <n v="232"/>
    <x v="29"/>
    <d v="2025-02-03T00:00:00"/>
    <x v="2"/>
    <x v="0"/>
    <n v="4"/>
    <x v="0"/>
    <x v="8"/>
    <x v="5"/>
    <x v="4"/>
    <x v="2"/>
  </r>
  <r>
    <x v="681"/>
    <x v="12"/>
    <x v="1"/>
    <n v="43.1"/>
    <n v="86.2"/>
    <x v="29"/>
    <d v="2025-01-31T00:00:00"/>
    <x v="2"/>
    <x v="1"/>
    <n v="5"/>
    <x v="0"/>
    <x v="8"/>
    <x v="3"/>
    <x v="4"/>
    <x v="2"/>
  </r>
  <r>
    <x v="682"/>
    <x v="6"/>
    <x v="11"/>
    <n v="74.7"/>
    <n v="672.30000000000007"/>
    <x v="29"/>
    <d v="2025-02-01T00:00:00"/>
    <x v="1"/>
    <x v="0"/>
    <n v="5"/>
    <x v="0"/>
    <x v="8"/>
    <x v="1"/>
    <x v="4"/>
    <x v="1"/>
  </r>
  <r>
    <x v="683"/>
    <x v="6"/>
    <x v="0"/>
    <n v="128.19999999999999"/>
    <n v="128.19999999999999"/>
    <x v="29"/>
    <d v="2025-01-30T00:00:00"/>
    <x v="1"/>
    <x v="1"/>
    <n v="4"/>
    <x v="0"/>
    <x v="8"/>
    <x v="7"/>
    <x v="4"/>
    <x v="1"/>
  </r>
  <r>
    <x v="684"/>
    <x v="14"/>
    <x v="12"/>
    <n v="26.7"/>
    <n v="106.8"/>
    <x v="29"/>
    <d v="2025-01-31T00:00:00"/>
    <x v="1"/>
    <x v="1"/>
    <n v="4"/>
    <x v="0"/>
    <x v="8"/>
    <x v="3"/>
    <x v="4"/>
    <x v="1"/>
  </r>
  <r>
    <x v="685"/>
    <x v="17"/>
    <x v="13"/>
    <n v="31.5"/>
    <n v="189"/>
    <x v="29"/>
    <d v="2025-01-31T00:00:00"/>
    <x v="2"/>
    <x v="2"/>
    <n v="4"/>
    <x v="0"/>
    <x v="17"/>
    <x v="3"/>
    <x v="4"/>
    <x v="2"/>
  </r>
  <r>
    <x v="686"/>
    <x v="3"/>
    <x v="3"/>
    <n v="64.7"/>
    <n v="452.90000000000003"/>
    <x v="29"/>
    <d v="2025-01-31T00:00:00"/>
    <x v="2"/>
    <x v="0"/>
    <n v="5"/>
    <x v="0"/>
    <x v="9"/>
    <x v="3"/>
    <x v="4"/>
    <x v="2"/>
  </r>
  <r>
    <x v="687"/>
    <x v="5"/>
    <x v="1"/>
    <n v="55.6"/>
    <n v="111.2"/>
    <x v="29"/>
    <d v="2025-02-02T00:00:00"/>
    <x v="2"/>
    <x v="3"/>
    <n v="4"/>
    <x v="0"/>
    <x v="11"/>
    <x v="2"/>
    <x v="4"/>
    <x v="2"/>
  </r>
  <r>
    <x v="688"/>
    <x v="3"/>
    <x v="1"/>
    <n v="36.200000000000003"/>
    <n v="72.400000000000006"/>
    <x v="29"/>
    <d v="2025-01-31T00:00:00"/>
    <x v="2"/>
    <x v="3"/>
    <n v="4"/>
    <x v="0"/>
    <x v="11"/>
    <x v="3"/>
    <x v="4"/>
    <x v="2"/>
  </r>
  <r>
    <x v="689"/>
    <x v="0"/>
    <x v="0"/>
    <n v="26.6"/>
    <n v="26.6"/>
    <x v="29"/>
    <d v="2025-01-31T00:00:00"/>
    <x v="0"/>
    <x v="1"/>
    <n v="3"/>
    <x v="0"/>
    <x v="19"/>
    <x v="3"/>
    <x v="4"/>
    <x v="0"/>
  </r>
  <r>
    <x v="690"/>
    <x v="10"/>
    <x v="12"/>
    <n v="31.5"/>
    <n v="126"/>
    <x v="29"/>
    <d v="2025-02-01T00:00:00"/>
    <x v="1"/>
    <x v="0"/>
    <n v="4"/>
    <x v="0"/>
    <x v="31"/>
    <x v="1"/>
    <x v="4"/>
    <x v="1"/>
  </r>
  <r>
    <x v="691"/>
    <x v="10"/>
    <x v="0"/>
    <n v="27"/>
    <n v="27"/>
    <x v="29"/>
    <d v="2025-02-01T00:00:00"/>
    <x v="2"/>
    <x v="1"/>
    <n v="5"/>
    <x v="0"/>
    <x v="13"/>
    <x v="1"/>
    <x v="4"/>
    <x v="2"/>
  </r>
  <r>
    <x v="692"/>
    <x v="4"/>
    <x v="0"/>
    <n v="32"/>
    <n v="32"/>
    <x v="29"/>
    <d v="2025-02-02T00:00:00"/>
    <x v="1"/>
    <x v="3"/>
    <n v="4"/>
    <x v="0"/>
    <x v="21"/>
    <x v="2"/>
    <x v="4"/>
    <x v="1"/>
  </r>
  <r>
    <x v="693"/>
    <x v="1"/>
    <x v="2"/>
    <n v="48.1"/>
    <n v="144.30000000000001"/>
    <x v="29"/>
    <d v="2025-02-01T00:00:00"/>
    <x v="1"/>
    <x v="2"/>
    <n v="3"/>
    <x v="0"/>
    <x v="1"/>
    <x v="1"/>
    <x v="4"/>
    <x v="1"/>
  </r>
  <r>
    <x v="694"/>
    <x v="9"/>
    <x v="1"/>
    <n v="43.4"/>
    <n v="86.8"/>
    <x v="29"/>
    <d v="2025-01-31T00:00:00"/>
    <x v="1"/>
    <x v="1"/>
    <n v="3"/>
    <x v="0"/>
    <x v="22"/>
    <x v="3"/>
    <x v="4"/>
    <x v="1"/>
  </r>
  <r>
    <x v="695"/>
    <x v="6"/>
    <x v="1"/>
    <n v="42.6"/>
    <n v="85.2"/>
    <x v="29"/>
    <d v="2025-02-02T00:00:00"/>
    <x v="2"/>
    <x v="3"/>
    <n v="4"/>
    <x v="0"/>
    <x v="22"/>
    <x v="2"/>
    <x v="4"/>
    <x v="2"/>
  </r>
  <r>
    <x v="696"/>
    <x v="8"/>
    <x v="1"/>
    <n v="15.9"/>
    <n v="31.8"/>
    <x v="29"/>
    <d v="2025-01-31T00:00:00"/>
    <x v="2"/>
    <x v="0"/>
    <n v="4"/>
    <x v="0"/>
    <x v="34"/>
    <x v="3"/>
    <x v="4"/>
    <x v="2"/>
  </r>
  <r>
    <x v="697"/>
    <x v="9"/>
    <x v="1"/>
    <n v="63.2"/>
    <n v="126.4"/>
    <x v="29"/>
    <d v="2025-01-31T00:00:00"/>
    <x v="1"/>
    <x v="1"/>
    <n v="4"/>
    <x v="0"/>
    <x v="3"/>
    <x v="3"/>
    <x v="4"/>
    <x v="1"/>
  </r>
  <r>
    <x v="698"/>
    <x v="7"/>
    <x v="12"/>
    <n v="64.8"/>
    <n v="259.2"/>
    <x v="29"/>
    <d v="2025-02-01T00:00:00"/>
    <x v="0"/>
    <x v="4"/>
    <n v="3"/>
    <x v="0"/>
    <x v="3"/>
    <x v="1"/>
    <x v="4"/>
    <x v="0"/>
  </r>
  <r>
    <x v="699"/>
    <x v="7"/>
    <x v="2"/>
    <n v="79.8"/>
    <n v="239.39999999999998"/>
    <x v="29"/>
    <d v="2025-01-31T00:00:00"/>
    <x v="1"/>
    <x v="0"/>
    <n v="4"/>
    <x v="0"/>
    <x v="3"/>
    <x v="3"/>
    <x v="4"/>
    <x v="1"/>
  </r>
  <r>
    <x v="700"/>
    <x v="9"/>
    <x v="0"/>
    <n v="54.4"/>
    <n v="54.4"/>
    <x v="29"/>
    <d v="2025-02-01T00:00:00"/>
    <x v="2"/>
    <x v="4"/>
    <n v="5"/>
    <x v="0"/>
    <x v="3"/>
    <x v="1"/>
    <x v="4"/>
    <x v="2"/>
  </r>
  <r>
    <x v="701"/>
    <x v="6"/>
    <x v="0"/>
    <n v="87.3"/>
    <n v="87.3"/>
    <x v="29"/>
    <d v="2025-01-31T00:00:00"/>
    <x v="1"/>
    <x v="1"/>
    <n v="4"/>
    <x v="0"/>
    <x v="3"/>
    <x v="3"/>
    <x v="4"/>
    <x v="1"/>
  </r>
  <r>
    <x v="702"/>
    <x v="8"/>
    <x v="12"/>
    <n v="32.4"/>
    <n v="129.6"/>
    <x v="29"/>
    <d v="2025-01-30T00:00:00"/>
    <x v="1"/>
    <x v="1"/>
    <n v="4"/>
    <x v="0"/>
    <x v="3"/>
    <x v="7"/>
    <x v="4"/>
    <x v="1"/>
  </r>
  <r>
    <x v="703"/>
    <x v="2"/>
    <x v="0"/>
    <n v="177.4"/>
    <n v="177.4"/>
    <x v="29"/>
    <d v="2025-02-03T00:00:00"/>
    <x v="1"/>
    <x v="0"/>
    <n v="5"/>
    <x v="0"/>
    <x v="3"/>
    <x v="5"/>
    <x v="4"/>
    <x v="1"/>
  </r>
  <r>
    <x v="704"/>
    <x v="7"/>
    <x v="1"/>
    <n v="70.099999999999994"/>
    <n v="140.19999999999999"/>
    <x v="29"/>
    <d v="2025-01-31T00:00:00"/>
    <x v="1"/>
    <x v="3"/>
    <n v="3"/>
    <x v="0"/>
    <x v="3"/>
    <x v="3"/>
    <x v="4"/>
    <x v="1"/>
  </r>
  <r>
    <x v="705"/>
    <x v="9"/>
    <x v="13"/>
    <n v="51.1"/>
    <n v="306.60000000000002"/>
    <x v="29"/>
    <d v="2025-01-31T00:00:00"/>
    <x v="2"/>
    <x v="0"/>
    <n v="4"/>
    <x v="0"/>
    <x v="3"/>
    <x v="3"/>
    <x v="4"/>
    <x v="2"/>
  </r>
  <r>
    <x v="706"/>
    <x v="2"/>
    <x v="9"/>
    <n v="79.900000000000006"/>
    <n v="399.5"/>
    <x v="29"/>
    <d v="2025-02-01T00:00:00"/>
    <x v="1"/>
    <x v="3"/>
    <n v="5"/>
    <x v="0"/>
    <x v="24"/>
    <x v="1"/>
    <x v="4"/>
    <x v="1"/>
  </r>
  <r>
    <x v="707"/>
    <x v="6"/>
    <x v="0"/>
    <n v="57.6"/>
    <n v="57.6"/>
    <x v="30"/>
    <d v="2025-02-05T00:00:00"/>
    <x v="1"/>
    <x v="0"/>
    <n v="5"/>
    <x v="0"/>
    <x v="49"/>
    <x v="0"/>
    <x v="4"/>
    <x v="1"/>
  </r>
  <r>
    <x v="708"/>
    <x v="8"/>
    <x v="7"/>
    <n v="59.7"/>
    <n v="597"/>
    <x v="30"/>
    <d v="2025-02-04T00:00:00"/>
    <x v="1"/>
    <x v="2"/>
    <n v="4"/>
    <x v="0"/>
    <x v="25"/>
    <x v="5"/>
    <x v="4"/>
    <x v="1"/>
  </r>
  <r>
    <x v="709"/>
    <x v="8"/>
    <x v="9"/>
    <n v="30"/>
    <n v="150"/>
    <x v="30"/>
    <d v="2025-02-02T00:00:00"/>
    <x v="1"/>
    <x v="1"/>
    <n v="4"/>
    <x v="0"/>
    <x v="6"/>
    <x v="1"/>
    <x v="4"/>
    <x v="1"/>
  </r>
  <r>
    <x v="710"/>
    <x v="10"/>
    <x v="1"/>
    <n v="69.2"/>
    <n v="138.4"/>
    <x v="30"/>
    <d v="2025-02-02T00:00:00"/>
    <x v="0"/>
    <x v="2"/>
    <n v="3"/>
    <x v="0"/>
    <x v="6"/>
    <x v="1"/>
    <x v="4"/>
    <x v="0"/>
  </r>
  <r>
    <x v="711"/>
    <x v="0"/>
    <x v="8"/>
    <n v="10.9"/>
    <n v="87.2"/>
    <x v="30"/>
    <d v="2025-02-01T00:00:00"/>
    <x v="2"/>
    <x v="0"/>
    <n v="5"/>
    <x v="0"/>
    <x v="6"/>
    <x v="3"/>
    <x v="4"/>
    <x v="2"/>
  </r>
  <r>
    <x v="712"/>
    <x v="16"/>
    <x v="1"/>
    <n v="48.6"/>
    <n v="97.2"/>
    <x v="30"/>
    <d v="2025-02-04T00:00:00"/>
    <x v="1"/>
    <x v="1"/>
    <n v="5"/>
    <x v="0"/>
    <x v="6"/>
    <x v="5"/>
    <x v="4"/>
    <x v="1"/>
  </r>
  <r>
    <x v="713"/>
    <x v="2"/>
    <x v="1"/>
    <n v="61.1"/>
    <n v="122.2"/>
    <x v="30"/>
    <d v="2025-02-03T00:00:00"/>
    <x v="2"/>
    <x v="1"/>
    <n v="5"/>
    <x v="0"/>
    <x v="7"/>
    <x v="2"/>
    <x v="4"/>
    <x v="2"/>
  </r>
  <r>
    <x v="714"/>
    <x v="8"/>
    <x v="1"/>
    <n v="23.2"/>
    <n v="46.4"/>
    <x v="30"/>
    <d v="2025-02-01T00:00:00"/>
    <x v="1"/>
    <x v="3"/>
    <n v="5"/>
    <x v="0"/>
    <x v="8"/>
    <x v="3"/>
    <x v="4"/>
    <x v="1"/>
  </r>
  <r>
    <x v="715"/>
    <x v="12"/>
    <x v="12"/>
    <n v="55.8"/>
    <n v="223.2"/>
    <x v="30"/>
    <d v="2025-02-01T00:00:00"/>
    <x v="1"/>
    <x v="0"/>
    <n v="4"/>
    <x v="0"/>
    <x v="8"/>
    <x v="3"/>
    <x v="4"/>
    <x v="1"/>
  </r>
  <r>
    <x v="716"/>
    <x v="9"/>
    <x v="12"/>
    <n v="24.8"/>
    <n v="99.2"/>
    <x v="30"/>
    <d v="2025-02-01T00:00:00"/>
    <x v="2"/>
    <x v="0"/>
    <n v="5"/>
    <x v="0"/>
    <x v="8"/>
    <x v="3"/>
    <x v="4"/>
    <x v="2"/>
  </r>
  <r>
    <x v="717"/>
    <x v="10"/>
    <x v="1"/>
    <n v="27.9"/>
    <n v="55.8"/>
    <x v="30"/>
    <d v="2025-01-31T00:00:00"/>
    <x v="1"/>
    <x v="2"/>
    <n v="5"/>
    <x v="0"/>
    <x v="8"/>
    <x v="7"/>
    <x v="4"/>
    <x v="1"/>
  </r>
  <r>
    <x v="718"/>
    <x v="10"/>
    <x v="13"/>
    <n v="51.1"/>
    <n v="306.60000000000002"/>
    <x v="30"/>
    <d v="2025-01-31T00:00:00"/>
    <x v="2"/>
    <x v="3"/>
    <n v="4"/>
    <x v="0"/>
    <x v="8"/>
    <x v="7"/>
    <x v="4"/>
    <x v="2"/>
  </r>
  <r>
    <x v="719"/>
    <x v="17"/>
    <x v="5"/>
    <n v="32.700000000000003"/>
    <n v="359.70000000000005"/>
    <x v="30"/>
    <d v="2025-02-01T00:00:00"/>
    <x v="1"/>
    <x v="4"/>
    <n v="5"/>
    <x v="0"/>
    <x v="17"/>
    <x v="3"/>
    <x v="4"/>
    <x v="1"/>
  </r>
  <r>
    <x v="720"/>
    <x v="8"/>
    <x v="12"/>
    <n v="22.5"/>
    <n v="90"/>
    <x v="30"/>
    <d v="2025-01-31T00:00:00"/>
    <x v="1"/>
    <x v="0"/>
    <n v="5"/>
    <x v="0"/>
    <x v="26"/>
    <x v="7"/>
    <x v="4"/>
    <x v="1"/>
  </r>
  <r>
    <x v="721"/>
    <x v="0"/>
    <x v="3"/>
    <n v="14.6"/>
    <n v="102.2"/>
    <x v="30"/>
    <d v="2025-02-01T00:00:00"/>
    <x v="2"/>
    <x v="2"/>
    <n v="4"/>
    <x v="0"/>
    <x v="41"/>
    <x v="3"/>
    <x v="4"/>
    <x v="2"/>
  </r>
  <r>
    <x v="722"/>
    <x v="5"/>
    <x v="2"/>
    <n v="32.5"/>
    <n v="97.5"/>
    <x v="30"/>
    <d v="2025-02-03T00:00:00"/>
    <x v="1"/>
    <x v="0"/>
    <n v="4"/>
    <x v="0"/>
    <x v="10"/>
    <x v="2"/>
    <x v="4"/>
    <x v="1"/>
  </r>
  <r>
    <x v="723"/>
    <x v="18"/>
    <x v="0"/>
    <n v="78.099999999999994"/>
    <n v="78.099999999999994"/>
    <x v="30"/>
    <d v="2025-02-03T00:00:00"/>
    <x v="1"/>
    <x v="0"/>
    <n v="5"/>
    <x v="0"/>
    <x v="11"/>
    <x v="2"/>
    <x v="4"/>
    <x v="1"/>
  </r>
  <r>
    <x v="724"/>
    <x v="12"/>
    <x v="13"/>
    <n v="110.2"/>
    <n v="661.2"/>
    <x v="30"/>
    <d v="2025-01-31T00:00:00"/>
    <x v="1"/>
    <x v="1"/>
    <n v="2"/>
    <x v="0"/>
    <x v="13"/>
    <x v="7"/>
    <x v="4"/>
    <x v="1"/>
  </r>
  <r>
    <x v="725"/>
    <x v="6"/>
    <x v="2"/>
    <n v="86.3"/>
    <n v="258.89999999999998"/>
    <x v="30"/>
    <d v="2025-02-02T00:00:00"/>
    <x v="2"/>
    <x v="3"/>
    <n v="4"/>
    <x v="0"/>
    <x v="21"/>
    <x v="1"/>
    <x v="4"/>
    <x v="2"/>
  </r>
  <r>
    <x v="726"/>
    <x v="1"/>
    <x v="13"/>
    <n v="73.599999999999994"/>
    <n v="441.59999999999997"/>
    <x v="30"/>
    <d v="2025-02-02T00:00:00"/>
    <x v="3"/>
    <x v="3"/>
    <n v="2"/>
    <x v="0"/>
    <x v="44"/>
    <x v="1"/>
    <x v="4"/>
    <x v="3"/>
  </r>
  <r>
    <x v="727"/>
    <x v="6"/>
    <x v="15"/>
    <n v="67.7"/>
    <n v="880.1"/>
    <x v="30"/>
    <d v="2025-02-02T00:00:00"/>
    <x v="2"/>
    <x v="0"/>
    <n v="5"/>
    <x v="0"/>
    <x v="3"/>
    <x v="1"/>
    <x v="4"/>
    <x v="2"/>
  </r>
  <r>
    <x v="728"/>
    <x v="7"/>
    <x v="13"/>
    <n v="142.19999999999999"/>
    <n v="853.19999999999993"/>
    <x v="30"/>
    <d v="2025-02-01T00:00:00"/>
    <x v="2"/>
    <x v="2"/>
    <n v="2"/>
    <x v="0"/>
    <x v="3"/>
    <x v="3"/>
    <x v="4"/>
    <x v="2"/>
  </r>
  <r>
    <x v="729"/>
    <x v="1"/>
    <x v="11"/>
    <n v="45.8"/>
    <n v="412.2"/>
    <x v="30"/>
    <d v="2025-02-02T00:00:00"/>
    <x v="2"/>
    <x v="1"/>
    <n v="5"/>
    <x v="0"/>
    <x v="3"/>
    <x v="1"/>
    <x v="4"/>
    <x v="2"/>
  </r>
  <r>
    <x v="730"/>
    <x v="10"/>
    <x v="1"/>
    <n v="24.2"/>
    <n v="48.4"/>
    <x v="31"/>
    <d v="2025-02-04T00:00:00"/>
    <x v="2"/>
    <x v="3"/>
    <n v="5"/>
    <x v="0"/>
    <x v="3"/>
    <x v="2"/>
    <x v="4"/>
    <x v="2"/>
  </r>
  <r>
    <x v="731"/>
    <x v="2"/>
    <x v="2"/>
    <n v="144.9"/>
    <n v="434.70000000000005"/>
    <x v="31"/>
    <d v="2025-02-02T00:00:00"/>
    <x v="3"/>
    <x v="2"/>
    <n v="5"/>
    <x v="0"/>
    <x v="3"/>
    <x v="3"/>
    <x v="4"/>
    <x v="3"/>
  </r>
  <r>
    <x v="732"/>
    <x v="11"/>
    <x v="9"/>
    <n v="32.799999999999997"/>
    <n v="164"/>
    <x v="31"/>
    <d v="2025-02-04T00:00:00"/>
    <x v="2"/>
    <x v="2"/>
    <n v="4"/>
    <x v="0"/>
    <x v="23"/>
    <x v="2"/>
    <x v="4"/>
    <x v="2"/>
  </r>
  <r>
    <x v="733"/>
    <x v="7"/>
    <x v="7"/>
    <n v="35.700000000000003"/>
    <n v="357"/>
    <x v="31"/>
    <d v="2025-02-01T00:00:00"/>
    <x v="2"/>
    <x v="0"/>
    <n v="3"/>
    <x v="0"/>
    <x v="6"/>
    <x v="7"/>
    <x v="4"/>
    <x v="2"/>
  </r>
  <r>
    <x v="734"/>
    <x v="9"/>
    <x v="1"/>
    <n v="54.6"/>
    <n v="109.2"/>
    <x v="31"/>
    <d v="2025-02-02T00:00:00"/>
    <x v="2"/>
    <x v="2"/>
    <n v="4"/>
    <x v="0"/>
    <x v="6"/>
    <x v="3"/>
    <x v="4"/>
    <x v="2"/>
  </r>
  <r>
    <x v="735"/>
    <x v="8"/>
    <x v="1"/>
    <n v="35.700000000000003"/>
    <n v="71.400000000000006"/>
    <x v="31"/>
    <d v="2025-02-04T00:00:00"/>
    <x v="0"/>
    <x v="0"/>
    <n v="3"/>
    <x v="0"/>
    <x v="6"/>
    <x v="2"/>
    <x v="4"/>
    <x v="0"/>
  </r>
  <r>
    <x v="736"/>
    <x v="10"/>
    <x v="1"/>
    <n v="52.4"/>
    <n v="104.8"/>
    <x v="31"/>
    <d v="2025-02-01T00:00:00"/>
    <x v="2"/>
    <x v="0"/>
    <n v="1"/>
    <x v="0"/>
    <x v="6"/>
    <x v="7"/>
    <x v="4"/>
    <x v="2"/>
  </r>
  <r>
    <x v="737"/>
    <x v="8"/>
    <x v="21"/>
    <n v="16.2"/>
    <n v="226.79999999999998"/>
    <x v="31"/>
    <d v="2025-02-02T00:00:00"/>
    <x v="0"/>
    <x v="0"/>
    <n v="3"/>
    <x v="0"/>
    <x v="8"/>
    <x v="3"/>
    <x v="4"/>
    <x v="0"/>
  </r>
  <r>
    <x v="738"/>
    <x v="6"/>
    <x v="35"/>
    <n v="42.8"/>
    <n v="2011.6"/>
    <x v="31"/>
    <d v="2025-02-02T00:00:00"/>
    <x v="2"/>
    <x v="0"/>
    <n v="4"/>
    <x v="0"/>
    <x v="8"/>
    <x v="3"/>
    <x v="4"/>
    <x v="2"/>
  </r>
  <r>
    <x v="739"/>
    <x v="6"/>
    <x v="11"/>
    <n v="144.4"/>
    <n v="1299.6000000000001"/>
    <x v="31"/>
    <d v="2025-02-04T00:00:00"/>
    <x v="2"/>
    <x v="4"/>
    <n v="4"/>
    <x v="0"/>
    <x v="8"/>
    <x v="2"/>
    <x v="4"/>
    <x v="2"/>
  </r>
  <r>
    <x v="740"/>
    <x v="3"/>
    <x v="34"/>
    <n v="30.6"/>
    <n v="1101.6000000000001"/>
    <x v="31"/>
    <d v="2025-02-05T00:00:00"/>
    <x v="2"/>
    <x v="2"/>
    <n v="5"/>
    <x v="0"/>
    <x v="11"/>
    <x v="5"/>
    <x v="4"/>
    <x v="2"/>
  </r>
  <r>
    <x v="741"/>
    <x v="2"/>
    <x v="1"/>
    <n v="117.5"/>
    <n v="235"/>
    <x v="31"/>
    <d v="2025-02-02T00:00:00"/>
    <x v="1"/>
    <x v="0"/>
    <n v="4"/>
    <x v="0"/>
    <x v="19"/>
    <x v="3"/>
    <x v="4"/>
    <x v="1"/>
  </r>
  <r>
    <x v="742"/>
    <x v="6"/>
    <x v="1"/>
    <n v="105.7"/>
    <n v="211.4"/>
    <x v="31"/>
    <d v="2025-02-02T00:00:00"/>
    <x v="2"/>
    <x v="2"/>
    <n v="5"/>
    <x v="0"/>
    <x v="21"/>
    <x v="3"/>
    <x v="4"/>
    <x v="2"/>
  </r>
  <r>
    <x v="743"/>
    <x v="3"/>
    <x v="2"/>
    <n v="133.69999999999999"/>
    <n v="401.09999999999997"/>
    <x v="31"/>
    <d v="2025-02-02T00:00:00"/>
    <x v="0"/>
    <x v="4"/>
    <n v="5"/>
    <x v="0"/>
    <x v="21"/>
    <x v="3"/>
    <x v="4"/>
    <x v="0"/>
  </r>
  <r>
    <x v="744"/>
    <x v="4"/>
    <x v="9"/>
    <n v="46.8"/>
    <n v="234"/>
    <x v="32"/>
    <d v="2025-02-10T00:00:00"/>
    <x v="2"/>
    <x v="0"/>
    <n v="3"/>
    <x v="0"/>
    <x v="21"/>
    <x v="9"/>
    <x v="5"/>
    <x v="2"/>
  </r>
  <r>
    <x v="745"/>
    <x v="10"/>
    <x v="2"/>
    <n v="58.4"/>
    <n v="175.2"/>
    <x v="32"/>
    <d v="2025-02-04T00:00:00"/>
    <x v="2"/>
    <x v="0"/>
    <n v="4"/>
    <x v="0"/>
    <x v="1"/>
    <x v="1"/>
    <x v="5"/>
    <x v="2"/>
  </r>
  <r>
    <x v="746"/>
    <x v="6"/>
    <x v="11"/>
    <n v="65.099999999999994"/>
    <n v="585.9"/>
    <x v="32"/>
    <d v="2025-02-06T00:00:00"/>
    <x v="1"/>
    <x v="1"/>
    <n v="5"/>
    <x v="0"/>
    <x v="22"/>
    <x v="5"/>
    <x v="5"/>
    <x v="1"/>
  </r>
  <r>
    <x v="747"/>
    <x v="8"/>
    <x v="0"/>
    <n v="18.600000000000001"/>
    <n v="18.600000000000001"/>
    <x v="32"/>
    <d v="2025-02-05T00:00:00"/>
    <x v="2"/>
    <x v="0"/>
    <n v="2"/>
    <x v="0"/>
    <x v="22"/>
    <x v="2"/>
    <x v="5"/>
    <x v="2"/>
  </r>
  <r>
    <x v="748"/>
    <x v="1"/>
    <x v="5"/>
    <n v="92.3"/>
    <n v="1015.3"/>
    <x v="32"/>
    <d v="2025-02-04T00:00:00"/>
    <x v="1"/>
    <x v="1"/>
    <n v="4"/>
    <x v="0"/>
    <x v="3"/>
    <x v="1"/>
    <x v="5"/>
    <x v="1"/>
  </r>
  <r>
    <x v="749"/>
    <x v="6"/>
    <x v="2"/>
    <n v="81.7"/>
    <n v="245.10000000000002"/>
    <x v="32"/>
    <d v="2025-02-03T00:00:00"/>
    <x v="0"/>
    <x v="4"/>
    <n v="2"/>
    <x v="0"/>
    <x v="3"/>
    <x v="3"/>
    <x v="5"/>
    <x v="0"/>
  </r>
  <r>
    <x v="750"/>
    <x v="8"/>
    <x v="1"/>
    <n v="40.9"/>
    <n v="81.8"/>
    <x v="32"/>
    <d v="2025-02-04T00:00:00"/>
    <x v="1"/>
    <x v="0"/>
    <n v="3"/>
    <x v="0"/>
    <x v="3"/>
    <x v="1"/>
    <x v="5"/>
    <x v="1"/>
  </r>
  <r>
    <x v="751"/>
    <x v="6"/>
    <x v="12"/>
    <n v="43.2"/>
    <n v="172.8"/>
    <x v="32"/>
    <d v="2025-02-08T00:00:00"/>
    <x v="2"/>
    <x v="0"/>
    <n v="3"/>
    <x v="0"/>
    <x v="3"/>
    <x v="4"/>
    <x v="5"/>
    <x v="2"/>
  </r>
  <r>
    <x v="752"/>
    <x v="8"/>
    <x v="5"/>
    <n v="25.8"/>
    <n v="283.8"/>
    <x v="32"/>
    <d v="2025-02-05T00:00:00"/>
    <x v="1"/>
    <x v="2"/>
    <n v="3"/>
    <x v="0"/>
    <x v="3"/>
    <x v="2"/>
    <x v="5"/>
    <x v="1"/>
  </r>
  <r>
    <x v="753"/>
    <x v="15"/>
    <x v="12"/>
    <n v="36.4"/>
    <n v="145.6"/>
    <x v="32"/>
    <d v="2025-02-03T00:00:00"/>
    <x v="1"/>
    <x v="0"/>
    <n v="4"/>
    <x v="0"/>
    <x v="3"/>
    <x v="3"/>
    <x v="5"/>
    <x v="1"/>
  </r>
  <r>
    <x v="754"/>
    <x v="10"/>
    <x v="0"/>
    <n v="59.1"/>
    <n v="59.1"/>
    <x v="32"/>
    <d v="2025-02-03T00:00:00"/>
    <x v="2"/>
    <x v="2"/>
    <n v="4"/>
    <x v="0"/>
    <x v="7"/>
    <x v="3"/>
    <x v="5"/>
    <x v="2"/>
  </r>
  <r>
    <x v="755"/>
    <x v="2"/>
    <x v="14"/>
    <n v="74.5"/>
    <n v="1266.5"/>
    <x v="32"/>
    <d v="2025-02-04T00:00:00"/>
    <x v="1"/>
    <x v="4"/>
    <n v="4"/>
    <x v="0"/>
    <x v="18"/>
    <x v="1"/>
    <x v="5"/>
    <x v="1"/>
  </r>
  <r>
    <x v="756"/>
    <x v="5"/>
    <x v="0"/>
    <n v="72.8"/>
    <n v="72.8"/>
    <x v="32"/>
    <d v="2025-02-03T00:00:00"/>
    <x v="2"/>
    <x v="0"/>
    <n v="3"/>
    <x v="0"/>
    <x v="19"/>
    <x v="3"/>
    <x v="5"/>
    <x v="2"/>
  </r>
  <r>
    <x v="757"/>
    <x v="6"/>
    <x v="12"/>
    <n v="137.30000000000001"/>
    <n v="549.20000000000005"/>
    <x v="32"/>
    <d v="2025-02-05T00:00:00"/>
    <x v="2"/>
    <x v="0"/>
    <n v="4"/>
    <x v="0"/>
    <x v="13"/>
    <x v="2"/>
    <x v="5"/>
    <x v="2"/>
  </r>
  <r>
    <x v="758"/>
    <x v="1"/>
    <x v="2"/>
    <n v="48.7"/>
    <n v="146.10000000000002"/>
    <x v="32"/>
    <d v="2025-02-07T00:00:00"/>
    <x v="2"/>
    <x v="0"/>
    <n v="3"/>
    <x v="0"/>
    <x v="21"/>
    <x v="0"/>
    <x v="5"/>
    <x v="2"/>
  </r>
  <r>
    <x v="759"/>
    <x v="6"/>
    <x v="12"/>
    <n v="53.7"/>
    <n v="214.8"/>
    <x v="32"/>
    <d v="2025-02-06T00:00:00"/>
    <x v="1"/>
    <x v="1"/>
    <n v="2"/>
    <x v="0"/>
    <x v="2"/>
    <x v="5"/>
    <x v="5"/>
    <x v="1"/>
  </r>
  <r>
    <x v="760"/>
    <x v="2"/>
    <x v="3"/>
    <n v="100.9"/>
    <n v="706.30000000000007"/>
    <x v="32"/>
    <d v="2025-02-04T00:00:00"/>
    <x v="2"/>
    <x v="0"/>
    <n v="3"/>
    <x v="0"/>
    <x v="2"/>
    <x v="1"/>
    <x v="5"/>
    <x v="2"/>
  </r>
  <r>
    <x v="761"/>
    <x v="10"/>
    <x v="1"/>
    <n v="41.8"/>
    <n v="83.6"/>
    <x v="32"/>
    <d v="2025-02-06T00:00:00"/>
    <x v="1"/>
    <x v="3"/>
    <n v="5"/>
    <x v="0"/>
    <x v="22"/>
    <x v="5"/>
    <x v="5"/>
    <x v="1"/>
  </r>
  <r>
    <x v="762"/>
    <x v="4"/>
    <x v="8"/>
    <n v="28.5"/>
    <n v="228"/>
    <x v="32"/>
    <d v="2025-02-04T00:00:00"/>
    <x v="1"/>
    <x v="2"/>
    <n v="3"/>
    <x v="0"/>
    <x v="3"/>
    <x v="1"/>
    <x v="5"/>
    <x v="1"/>
  </r>
  <r>
    <x v="763"/>
    <x v="7"/>
    <x v="12"/>
    <n v="88.9"/>
    <n v="355.6"/>
    <x v="32"/>
    <d v="2025-02-05T00:00:00"/>
    <x v="2"/>
    <x v="0"/>
    <n v="5"/>
    <x v="0"/>
    <x v="3"/>
    <x v="2"/>
    <x v="5"/>
    <x v="2"/>
  </r>
  <r>
    <x v="764"/>
    <x v="6"/>
    <x v="0"/>
    <n v="62.5"/>
    <n v="62.5"/>
    <x v="32"/>
    <d v="2025-02-11T00:00:00"/>
    <x v="2"/>
    <x v="0"/>
    <n v="5"/>
    <x v="0"/>
    <x v="3"/>
    <x v="8"/>
    <x v="5"/>
    <x v="2"/>
  </r>
  <r>
    <x v="765"/>
    <x v="1"/>
    <x v="2"/>
    <n v="46.9"/>
    <n v="140.69999999999999"/>
    <x v="32"/>
    <d v="2025-02-03T00:00:00"/>
    <x v="1"/>
    <x v="0"/>
    <n v="5"/>
    <x v="0"/>
    <x v="3"/>
    <x v="3"/>
    <x v="5"/>
    <x v="1"/>
  </r>
  <r>
    <x v="766"/>
    <x v="8"/>
    <x v="2"/>
    <n v="45"/>
    <n v="135"/>
    <x v="32"/>
    <d v="2025-02-16T00:00:00"/>
    <x v="1"/>
    <x v="1"/>
    <n v="4"/>
    <x v="0"/>
    <x v="3"/>
    <x v="12"/>
    <x v="5"/>
    <x v="1"/>
  </r>
  <r>
    <x v="767"/>
    <x v="6"/>
    <x v="2"/>
    <n v="45.2"/>
    <n v="135.60000000000002"/>
    <x v="32"/>
    <d v="2025-02-04T00:00:00"/>
    <x v="1"/>
    <x v="4"/>
    <n v="5"/>
    <x v="0"/>
    <x v="3"/>
    <x v="1"/>
    <x v="5"/>
    <x v="1"/>
  </r>
  <r>
    <x v="768"/>
    <x v="4"/>
    <x v="1"/>
    <n v="60.1"/>
    <n v="120.2"/>
    <x v="32"/>
    <d v="2025-02-03T00:00:00"/>
    <x v="2"/>
    <x v="0"/>
    <n v="5"/>
    <x v="0"/>
    <x v="3"/>
    <x v="3"/>
    <x v="5"/>
    <x v="2"/>
  </r>
  <r>
    <x v="769"/>
    <x v="12"/>
    <x v="12"/>
    <n v="118.7"/>
    <n v="474.8"/>
    <x v="32"/>
    <d v="2025-02-04T00:00:00"/>
    <x v="2"/>
    <x v="0"/>
    <n v="4"/>
    <x v="0"/>
    <x v="3"/>
    <x v="1"/>
    <x v="5"/>
    <x v="2"/>
  </r>
  <r>
    <x v="770"/>
    <x v="9"/>
    <x v="0"/>
    <n v="57.8"/>
    <n v="57.8"/>
    <x v="32"/>
    <d v="2025-02-11T00:00:00"/>
    <x v="2"/>
    <x v="1"/>
    <n v="4"/>
    <x v="0"/>
    <x v="3"/>
    <x v="8"/>
    <x v="5"/>
    <x v="2"/>
  </r>
  <r>
    <x v="771"/>
    <x v="4"/>
    <x v="0"/>
    <n v="19.5"/>
    <n v="19.5"/>
    <x v="32"/>
    <d v="2025-02-03T00:00:00"/>
    <x v="1"/>
    <x v="1"/>
    <n v="3"/>
    <x v="0"/>
    <x v="3"/>
    <x v="3"/>
    <x v="5"/>
    <x v="1"/>
  </r>
  <r>
    <x v="772"/>
    <x v="12"/>
    <x v="0"/>
    <n v="42.6"/>
    <n v="42.6"/>
    <x v="32"/>
    <d v="2025-02-03T00:00:00"/>
    <x v="1"/>
    <x v="0"/>
    <n v="3"/>
    <x v="0"/>
    <x v="3"/>
    <x v="3"/>
    <x v="5"/>
    <x v="1"/>
  </r>
  <r>
    <x v="773"/>
    <x v="6"/>
    <x v="1"/>
    <n v="74.8"/>
    <n v="149.6"/>
    <x v="32"/>
    <d v="2025-02-03T00:00:00"/>
    <x v="2"/>
    <x v="3"/>
    <n v="5"/>
    <x v="0"/>
    <x v="37"/>
    <x v="3"/>
    <x v="5"/>
    <x v="2"/>
  </r>
  <r>
    <x v="774"/>
    <x v="8"/>
    <x v="2"/>
    <n v="32.5"/>
    <n v="97.5"/>
    <x v="32"/>
    <d v="2025-02-03T00:00:00"/>
    <x v="1"/>
    <x v="2"/>
    <n v="2"/>
    <x v="0"/>
    <x v="16"/>
    <x v="3"/>
    <x v="5"/>
    <x v="1"/>
  </r>
  <r>
    <x v="775"/>
    <x v="2"/>
    <x v="2"/>
    <n v="60.5"/>
    <n v="181.5"/>
    <x v="32"/>
    <d v="2025-02-02T00:00:00"/>
    <x v="2"/>
    <x v="1"/>
    <n v="5"/>
    <x v="0"/>
    <x v="25"/>
    <x v="7"/>
    <x v="5"/>
    <x v="2"/>
  </r>
  <r>
    <x v="776"/>
    <x v="1"/>
    <x v="3"/>
    <n v="57.2"/>
    <n v="400.40000000000003"/>
    <x v="32"/>
    <d v="2025-02-04T00:00:00"/>
    <x v="0"/>
    <x v="2"/>
    <n v="4"/>
    <x v="0"/>
    <x v="25"/>
    <x v="1"/>
    <x v="5"/>
    <x v="0"/>
  </r>
  <r>
    <x v="777"/>
    <x v="16"/>
    <x v="1"/>
    <n v="112"/>
    <n v="224"/>
    <x v="32"/>
    <d v="2025-02-03T00:00:00"/>
    <x v="2"/>
    <x v="1"/>
    <n v="3"/>
    <x v="0"/>
    <x v="5"/>
    <x v="3"/>
    <x v="5"/>
    <x v="2"/>
  </r>
  <r>
    <x v="778"/>
    <x v="7"/>
    <x v="7"/>
    <n v="49"/>
    <n v="490"/>
    <x v="32"/>
    <d v="2025-02-03T00:00:00"/>
    <x v="3"/>
    <x v="2"/>
    <n v="3"/>
    <x v="0"/>
    <x v="6"/>
    <x v="3"/>
    <x v="5"/>
    <x v="3"/>
  </r>
  <r>
    <x v="779"/>
    <x v="0"/>
    <x v="1"/>
    <n v="33.700000000000003"/>
    <n v="67.400000000000006"/>
    <x v="32"/>
    <d v="2025-02-06T00:00:00"/>
    <x v="2"/>
    <x v="3"/>
    <n v="4"/>
    <x v="0"/>
    <x v="6"/>
    <x v="5"/>
    <x v="5"/>
    <x v="2"/>
  </r>
  <r>
    <x v="780"/>
    <x v="4"/>
    <x v="2"/>
    <n v="35.6"/>
    <n v="106.80000000000001"/>
    <x v="32"/>
    <d v="2025-02-05T00:00:00"/>
    <x v="2"/>
    <x v="0"/>
    <n v="5"/>
    <x v="0"/>
    <x v="6"/>
    <x v="2"/>
    <x v="5"/>
    <x v="2"/>
  </r>
  <r>
    <x v="781"/>
    <x v="4"/>
    <x v="36"/>
    <n v="30.4"/>
    <n v="1064"/>
    <x v="33"/>
    <d v="2025-02-03T00:00:00"/>
    <x v="2"/>
    <x v="0"/>
    <n v="3"/>
    <x v="0"/>
    <x v="7"/>
    <x v="7"/>
    <x v="5"/>
    <x v="2"/>
  </r>
  <r>
    <x v="782"/>
    <x v="10"/>
    <x v="4"/>
    <n v="50.2"/>
    <n v="602.40000000000009"/>
    <x v="33"/>
    <d v="2025-02-04T00:00:00"/>
    <x v="1"/>
    <x v="4"/>
    <n v="4"/>
    <x v="0"/>
    <x v="8"/>
    <x v="3"/>
    <x v="5"/>
    <x v="1"/>
  </r>
  <r>
    <x v="783"/>
    <x v="1"/>
    <x v="1"/>
    <n v="43.7"/>
    <n v="87.4"/>
    <x v="33"/>
    <d v="2025-02-05T00:00:00"/>
    <x v="2"/>
    <x v="0"/>
    <n v="4"/>
    <x v="0"/>
    <x v="8"/>
    <x v="1"/>
    <x v="5"/>
    <x v="2"/>
  </r>
  <r>
    <x v="784"/>
    <x v="10"/>
    <x v="0"/>
    <n v="33.299999999999997"/>
    <n v="33.299999999999997"/>
    <x v="33"/>
    <d v="2025-02-04T00:00:00"/>
    <x v="2"/>
    <x v="2"/>
    <n v="3"/>
    <x v="0"/>
    <x v="8"/>
    <x v="3"/>
    <x v="5"/>
    <x v="2"/>
  </r>
  <r>
    <x v="785"/>
    <x v="8"/>
    <x v="12"/>
    <n v="15.1"/>
    <n v="60.4"/>
    <x v="33"/>
    <d v="2025-02-05T00:00:00"/>
    <x v="2"/>
    <x v="4"/>
    <n v="5"/>
    <x v="0"/>
    <x v="8"/>
    <x v="1"/>
    <x v="5"/>
    <x v="2"/>
  </r>
  <r>
    <x v="786"/>
    <x v="6"/>
    <x v="9"/>
    <n v="118.2"/>
    <n v="591"/>
    <x v="33"/>
    <d v="2025-02-04T00:00:00"/>
    <x v="2"/>
    <x v="3"/>
    <n v="2"/>
    <x v="0"/>
    <x v="8"/>
    <x v="3"/>
    <x v="5"/>
    <x v="2"/>
  </r>
  <r>
    <x v="787"/>
    <x v="10"/>
    <x v="2"/>
    <n v="28.9"/>
    <n v="86.699999999999989"/>
    <x v="33"/>
    <d v="2025-02-05T00:00:00"/>
    <x v="2"/>
    <x v="2"/>
    <n v="3"/>
    <x v="0"/>
    <x v="8"/>
    <x v="1"/>
    <x v="5"/>
    <x v="2"/>
  </r>
  <r>
    <x v="788"/>
    <x v="4"/>
    <x v="2"/>
    <n v="55.6"/>
    <n v="166.8"/>
    <x v="33"/>
    <d v="2025-02-04T00:00:00"/>
    <x v="1"/>
    <x v="0"/>
    <n v="3"/>
    <x v="0"/>
    <x v="8"/>
    <x v="3"/>
    <x v="5"/>
    <x v="1"/>
  </r>
  <r>
    <x v="789"/>
    <x v="9"/>
    <x v="12"/>
    <n v="25.6"/>
    <n v="102.4"/>
    <x v="33"/>
    <d v="2025-02-05T00:00:00"/>
    <x v="2"/>
    <x v="0"/>
    <n v="3"/>
    <x v="0"/>
    <x v="8"/>
    <x v="1"/>
    <x v="5"/>
    <x v="2"/>
  </r>
  <r>
    <x v="790"/>
    <x v="7"/>
    <x v="2"/>
    <n v="31.3"/>
    <n v="93.9"/>
    <x v="33"/>
    <d v="2025-02-04T00:00:00"/>
    <x v="1"/>
    <x v="0"/>
    <n v="4"/>
    <x v="0"/>
    <x v="17"/>
    <x v="3"/>
    <x v="5"/>
    <x v="1"/>
  </r>
  <r>
    <x v="791"/>
    <x v="0"/>
    <x v="2"/>
    <n v="22.1"/>
    <n v="66.300000000000011"/>
    <x v="33"/>
    <d v="2025-02-07T00:00:00"/>
    <x v="1"/>
    <x v="0"/>
    <n v="4"/>
    <x v="0"/>
    <x v="17"/>
    <x v="5"/>
    <x v="5"/>
    <x v="1"/>
  </r>
  <r>
    <x v="792"/>
    <x v="2"/>
    <x v="21"/>
    <n v="99.4"/>
    <n v="1391.6000000000001"/>
    <x v="33"/>
    <d v="2025-02-04T00:00:00"/>
    <x v="1"/>
    <x v="1"/>
    <n v="4"/>
    <x v="0"/>
    <x v="11"/>
    <x v="3"/>
    <x v="5"/>
    <x v="1"/>
  </r>
  <r>
    <x v="793"/>
    <x v="7"/>
    <x v="13"/>
    <n v="66.599999999999994"/>
    <n v="399.59999999999997"/>
    <x v="33"/>
    <d v="2025-02-04T00:00:00"/>
    <x v="2"/>
    <x v="0"/>
    <n v="4"/>
    <x v="0"/>
    <x v="11"/>
    <x v="3"/>
    <x v="5"/>
    <x v="2"/>
  </r>
  <r>
    <x v="794"/>
    <x v="8"/>
    <x v="1"/>
    <n v="22.6"/>
    <n v="45.2"/>
    <x v="33"/>
    <d v="2025-02-06T00:00:00"/>
    <x v="1"/>
    <x v="0"/>
    <n v="4"/>
    <x v="0"/>
    <x v="11"/>
    <x v="2"/>
    <x v="5"/>
    <x v="1"/>
  </r>
  <r>
    <x v="795"/>
    <x v="2"/>
    <x v="16"/>
    <n v="66.8"/>
    <n v="1202.3999999999999"/>
    <x v="33"/>
    <d v="2025-02-04T00:00:00"/>
    <x v="2"/>
    <x v="0"/>
    <n v="2"/>
    <x v="0"/>
    <x v="13"/>
    <x v="3"/>
    <x v="5"/>
    <x v="2"/>
  </r>
  <r>
    <x v="796"/>
    <x v="0"/>
    <x v="12"/>
    <n v="20.8"/>
    <n v="83.2"/>
    <x v="33"/>
    <d v="2025-02-10T00:00:00"/>
    <x v="1"/>
    <x v="1"/>
    <n v="2"/>
    <x v="0"/>
    <x v="1"/>
    <x v="6"/>
    <x v="5"/>
    <x v="1"/>
  </r>
  <r>
    <x v="797"/>
    <x v="2"/>
    <x v="3"/>
    <n v="102.5"/>
    <n v="717.5"/>
    <x v="33"/>
    <d v="2025-02-04T00:00:00"/>
    <x v="2"/>
    <x v="4"/>
    <n v="5"/>
    <x v="0"/>
    <x v="3"/>
    <x v="3"/>
    <x v="5"/>
    <x v="2"/>
  </r>
  <r>
    <x v="798"/>
    <x v="0"/>
    <x v="16"/>
    <n v="24.8"/>
    <n v="446.40000000000003"/>
    <x v="33"/>
    <d v="2025-02-07T00:00:00"/>
    <x v="2"/>
    <x v="0"/>
    <n v="4"/>
    <x v="0"/>
    <x v="3"/>
    <x v="5"/>
    <x v="5"/>
    <x v="2"/>
  </r>
  <r>
    <x v="799"/>
    <x v="4"/>
    <x v="37"/>
    <n v="31.4"/>
    <n v="973.4"/>
    <x v="33"/>
    <d v="2025-02-04T00:00:00"/>
    <x v="2"/>
    <x v="3"/>
    <n v="4"/>
    <x v="0"/>
    <x v="3"/>
    <x v="3"/>
    <x v="5"/>
    <x v="2"/>
  </r>
  <r>
    <x v="800"/>
    <x v="9"/>
    <x v="9"/>
    <n v="59.3"/>
    <n v="296.5"/>
    <x v="33"/>
    <d v="2025-02-06T00:00:00"/>
    <x v="1"/>
    <x v="1"/>
    <n v="5"/>
    <x v="0"/>
    <x v="43"/>
    <x v="2"/>
    <x v="5"/>
    <x v="1"/>
  </r>
  <r>
    <x v="801"/>
    <x v="11"/>
    <x v="13"/>
    <n v="39"/>
    <n v="234"/>
    <x v="33"/>
    <d v="2025-02-06T00:00:00"/>
    <x v="1"/>
    <x v="1"/>
    <n v="4"/>
    <x v="0"/>
    <x v="6"/>
    <x v="2"/>
    <x v="5"/>
    <x v="1"/>
  </r>
  <r>
    <x v="802"/>
    <x v="5"/>
    <x v="13"/>
    <n v="98.6"/>
    <n v="591.59999999999991"/>
    <x v="33"/>
    <d v="2025-02-05T00:00:00"/>
    <x v="2"/>
    <x v="1"/>
    <n v="4"/>
    <x v="0"/>
    <x v="6"/>
    <x v="1"/>
    <x v="5"/>
    <x v="2"/>
  </r>
  <r>
    <x v="803"/>
    <x v="8"/>
    <x v="0"/>
    <n v="20"/>
    <n v="20"/>
    <x v="34"/>
    <d v="2025-02-05T00:00:00"/>
    <x v="1"/>
    <x v="3"/>
    <n v="5"/>
    <x v="0"/>
    <x v="8"/>
    <x v="3"/>
    <x v="5"/>
    <x v="1"/>
  </r>
  <r>
    <x v="804"/>
    <x v="1"/>
    <x v="1"/>
    <n v="42.9"/>
    <n v="85.8"/>
    <x v="34"/>
    <d v="2025-02-06T00:00:00"/>
    <x v="2"/>
    <x v="0"/>
    <n v="5"/>
    <x v="0"/>
    <x v="8"/>
    <x v="1"/>
    <x v="5"/>
    <x v="2"/>
  </r>
  <r>
    <x v="805"/>
    <x v="7"/>
    <x v="3"/>
    <n v="55.6"/>
    <n v="389.2"/>
    <x v="34"/>
    <d v="2025-02-06T00:00:00"/>
    <x v="2"/>
    <x v="2"/>
    <n v="3"/>
    <x v="0"/>
    <x v="8"/>
    <x v="1"/>
    <x v="5"/>
    <x v="2"/>
  </r>
  <r>
    <x v="806"/>
    <x v="8"/>
    <x v="12"/>
    <n v="19.2"/>
    <n v="76.8"/>
    <x v="34"/>
    <d v="2025-02-09T00:00:00"/>
    <x v="2"/>
    <x v="0"/>
    <n v="4"/>
    <x v="0"/>
    <x v="41"/>
    <x v="0"/>
    <x v="5"/>
    <x v="2"/>
  </r>
  <r>
    <x v="807"/>
    <x v="5"/>
    <x v="1"/>
    <n v="28.8"/>
    <n v="57.6"/>
    <x v="34"/>
    <d v="2025-02-06T00:00:00"/>
    <x v="1"/>
    <x v="1"/>
    <n v="4"/>
    <x v="0"/>
    <x v="18"/>
    <x v="1"/>
    <x v="5"/>
    <x v="1"/>
  </r>
  <r>
    <x v="808"/>
    <x v="4"/>
    <x v="0"/>
    <n v="29.7"/>
    <n v="29.7"/>
    <x v="34"/>
    <d v="2025-02-06T00:00:00"/>
    <x v="2"/>
    <x v="2"/>
    <n v="2"/>
    <x v="0"/>
    <x v="20"/>
    <x v="1"/>
    <x v="5"/>
    <x v="2"/>
  </r>
  <r>
    <x v="809"/>
    <x v="6"/>
    <x v="13"/>
    <n v="63.3"/>
    <n v="379.79999999999995"/>
    <x v="34"/>
    <d v="2025-02-05T00:00:00"/>
    <x v="0"/>
    <x v="0"/>
    <n v="5"/>
    <x v="0"/>
    <x v="21"/>
    <x v="3"/>
    <x v="5"/>
    <x v="0"/>
  </r>
  <r>
    <x v="810"/>
    <x v="4"/>
    <x v="0"/>
    <n v="46"/>
    <n v="46"/>
    <x v="34"/>
    <d v="2025-02-05T00:00:00"/>
    <x v="2"/>
    <x v="0"/>
    <n v="5"/>
    <x v="0"/>
    <x v="21"/>
    <x v="3"/>
    <x v="5"/>
    <x v="2"/>
  </r>
  <r>
    <x v="811"/>
    <x v="11"/>
    <x v="2"/>
    <n v="38"/>
    <n v="114"/>
    <x v="34"/>
    <d v="2025-02-06T00:00:00"/>
    <x v="2"/>
    <x v="1"/>
    <n v="5"/>
    <x v="0"/>
    <x v="21"/>
    <x v="1"/>
    <x v="5"/>
    <x v="2"/>
  </r>
  <r>
    <x v="812"/>
    <x v="10"/>
    <x v="15"/>
    <n v="34.6"/>
    <n v="449.8"/>
    <x v="34"/>
    <d v="2025-02-06T00:00:00"/>
    <x v="2"/>
    <x v="0"/>
    <n v="3"/>
    <x v="0"/>
    <x v="21"/>
    <x v="1"/>
    <x v="5"/>
    <x v="2"/>
  </r>
  <r>
    <x v="813"/>
    <x v="3"/>
    <x v="7"/>
    <n v="79.7"/>
    <n v="797"/>
    <x v="34"/>
    <d v="2025-02-05T00:00:00"/>
    <x v="2"/>
    <x v="4"/>
    <n v="3"/>
    <x v="0"/>
    <x v="21"/>
    <x v="3"/>
    <x v="5"/>
    <x v="2"/>
  </r>
  <r>
    <x v="814"/>
    <x v="8"/>
    <x v="8"/>
    <n v="30.5"/>
    <n v="244"/>
    <x v="34"/>
    <d v="2025-02-08T00:00:00"/>
    <x v="1"/>
    <x v="3"/>
    <n v="4"/>
    <x v="0"/>
    <x v="1"/>
    <x v="5"/>
    <x v="5"/>
    <x v="1"/>
  </r>
  <r>
    <x v="815"/>
    <x v="0"/>
    <x v="1"/>
    <n v="20.8"/>
    <n v="41.6"/>
    <x v="34"/>
    <d v="2025-02-05T00:00:00"/>
    <x v="2"/>
    <x v="0"/>
    <n v="4"/>
    <x v="0"/>
    <x v="2"/>
    <x v="3"/>
    <x v="5"/>
    <x v="2"/>
  </r>
  <r>
    <x v="816"/>
    <x v="11"/>
    <x v="3"/>
    <n v="48.5"/>
    <n v="339.5"/>
    <x v="34"/>
    <d v="2025-02-08T00:00:00"/>
    <x v="2"/>
    <x v="2"/>
    <n v="5"/>
    <x v="0"/>
    <x v="2"/>
    <x v="5"/>
    <x v="5"/>
    <x v="2"/>
  </r>
  <r>
    <x v="817"/>
    <x v="2"/>
    <x v="12"/>
    <n v="61.8"/>
    <n v="247.2"/>
    <x v="34"/>
    <d v="2025-02-08T00:00:00"/>
    <x v="2"/>
    <x v="4"/>
    <n v="4"/>
    <x v="0"/>
    <x v="22"/>
    <x v="5"/>
    <x v="5"/>
    <x v="2"/>
  </r>
  <r>
    <x v="818"/>
    <x v="10"/>
    <x v="0"/>
    <n v="46.1"/>
    <n v="46.1"/>
    <x v="34"/>
    <d v="2025-02-05T00:00:00"/>
    <x v="3"/>
    <x v="2"/>
    <n v="4"/>
    <x v="0"/>
    <x v="3"/>
    <x v="3"/>
    <x v="5"/>
    <x v="3"/>
  </r>
  <r>
    <x v="819"/>
    <x v="4"/>
    <x v="13"/>
    <n v="44"/>
    <n v="264"/>
    <x v="34"/>
    <d v="2025-02-05T00:00:00"/>
    <x v="2"/>
    <x v="0"/>
    <n v="4"/>
    <x v="0"/>
    <x v="3"/>
    <x v="3"/>
    <x v="5"/>
    <x v="2"/>
  </r>
  <r>
    <x v="820"/>
    <x v="18"/>
    <x v="1"/>
    <n v="95.7"/>
    <n v="191.4"/>
    <x v="34"/>
    <d v="2025-02-10T00:00:00"/>
    <x v="2"/>
    <x v="3"/>
    <n v="5"/>
    <x v="0"/>
    <x v="3"/>
    <x v="4"/>
    <x v="5"/>
    <x v="2"/>
  </r>
  <r>
    <x v="821"/>
    <x v="7"/>
    <x v="9"/>
    <n v="46.4"/>
    <n v="232"/>
    <x v="34"/>
    <d v="2025-02-07T00:00:00"/>
    <x v="2"/>
    <x v="0"/>
    <n v="4"/>
    <x v="0"/>
    <x v="3"/>
    <x v="2"/>
    <x v="5"/>
    <x v="2"/>
  </r>
  <r>
    <x v="822"/>
    <x v="6"/>
    <x v="1"/>
    <n v="47.2"/>
    <n v="94.4"/>
    <x v="34"/>
    <d v="2025-02-06T00:00:00"/>
    <x v="2"/>
    <x v="0"/>
    <n v="5"/>
    <x v="0"/>
    <x v="3"/>
    <x v="1"/>
    <x v="5"/>
    <x v="2"/>
  </r>
  <r>
    <x v="823"/>
    <x v="7"/>
    <x v="1"/>
    <n v="58.6"/>
    <n v="117.2"/>
    <x v="34"/>
    <d v="2025-02-05T00:00:00"/>
    <x v="2"/>
    <x v="2"/>
    <n v="3"/>
    <x v="0"/>
    <x v="3"/>
    <x v="3"/>
    <x v="5"/>
    <x v="2"/>
  </r>
  <r>
    <x v="824"/>
    <x v="4"/>
    <x v="2"/>
    <n v="57"/>
    <n v="171"/>
    <x v="34"/>
    <d v="2025-02-05T00:00:00"/>
    <x v="1"/>
    <x v="0"/>
    <n v="5"/>
    <x v="0"/>
    <x v="3"/>
    <x v="3"/>
    <x v="5"/>
    <x v="1"/>
  </r>
  <r>
    <x v="825"/>
    <x v="8"/>
    <x v="12"/>
    <n v="28.9"/>
    <n v="115.6"/>
    <x v="34"/>
    <d v="2025-02-08T00:00:00"/>
    <x v="1"/>
    <x v="2"/>
    <n v="4"/>
    <x v="0"/>
    <x v="3"/>
    <x v="5"/>
    <x v="5"/>
    <x v="1"/>
  </r>
  <r>
    <x v="826"/>
    <x v="12"/>
    <x v="9"/>
    <n v="60.7"/>
    <n v="303.5"/>
    <x v="34"/>
    <d v="2025-02-08T00:00:00"/>
    <x v="0"/>
    <x v="1"/>
    <n v="3"/>
    <x v="0"/>
    <x v="3"/>
    <x v="5"/>
    <x v="5"/>
    <x v="0"/>
  </r>
  <r>
    <x v="827"/>
    <x v="6"/>
    <x v="9"/>
    <n v="60.8"/>
    <n v="304"/>
    <x v="34"/>
    <d v="2025-02-08T00:00:00"/>
    <x v="1"/>
    <x v="0"/>
    <n v="3"/>
    <x v="0"/>
    <x v="3"/>
    <x v="5"/>
    <x v="5"/>
    <x v="1"/>
  </r>
  <r>
    <x v="828"/>
    <x v="6"/>
    <x v="9"/>
    <n v="64.599999999999994"/>
    <n v="323"/>
    <x v="34"/>
    <d v="2025-02-05T00:00:00"/>
    <x v="2"/>
    <x v="3"/>
    <n v="4"/>
    <x v="0"/>
    <x v="3"/>
    <x v="3"/>
    <x v="5"/>
    <x v="2"/>
  </r>
  <r>
    <x v="829"/>
    <x v="8"/>
    <x v="0"/>
    <n v="21.9"/>
    <n v="21.9"/>
    <x v="34"/>
    <d v="2025-02-07T00:00:00"/>
    <x v="1"/>
    <x v="1"/>
    <n v="5"/>
    <x v="0"/>
    <x v="4"/>
    <x v="2"/>
    <x v="5"/>
    <x v="1"/>
  </r>
  <r>
    <x v="830"/>
    <x v="4"/>
    <x v="4"/>
    <n v="33.4"/>
    <n v="400.79999999999995"/>
    <x v="34"/>
    <d v="2025-02-06T00:00:00"/>
    <x v="2"/>
    <x v="0"/>
    <n v="4"/>
    <x v="0"/>
    <x v="23"/>
    <x v="1"/>
    <x v="5"/>
    <x v="2"/>
  </r>
  <r>
    <x v="831"/>
    <x v="2"/>
    <x v="0"/>
    <n v="51.7"/>
    <n v="51.7"/>
    <x v="34"/>
    <d v="2025-02-05T00:00:00"/>
    <x v="0"/>
    <x v="0"/>
    <n v="4"/>
    <x v="0"/>
    <x v="6"/>
    <x v="3"/>
    <x v="5"/>
    <x v="0"/>
  </r>
  <r>
    <x v="832"/>
    <x v="1"/>
    <x v="12"/>
    <n v="84.9"/>
    <n v="339.6"/>
    <x v="34"/>
    <d v="2025-02-05T00:00:00"/>
    <x v="2"/>
    <x v="1"/>
    <n v="3"/>
    <x v="0"/>
    <x v="6"/>
    <x v="3"/>
    <x v="5"/>
    <x v="2"/>
  </r>
  <r>
    <x v="833"/>
    <x v="1"/>
    <x v="5"/>
    <n v="62.3"/>
    <n v="685.3"/>
    <x v="34"/>
    <d v="2025-02-05T00:00:00"/>
    <x v="2"/>
    <x v="2"/>
    <n v="5"/>
    <x v="0"/>
    <x v="7"/>
    <x v="3"/>
    <x v="5"/>
    <x v="2"/>
  </r>
  <r>
    <x v="834"/>
    <x v="4"/>
    <x v="0"/>
    <n v="50.7"/>
    <n v="50.7"/>
    <x v="34"/>
    <d v="2025-02-06T00:00:00"/>
    <x v="1"/>
    <x v="2"/>
    <n v="5"/>
    <x v="0"/>
    <x v="8"/>
    <x v="1"/>
    <x v="5"/>
    <x v="1"/>
  </r>
  <r>
    <x v="835"/>
    <x v="18"/>
    <x v="0"/>
    <n v="39.5"/>
    <n v="39.5"/>
    <x v="34"/>
    <d v="2025-02-05T00:00:00"/>
    <x v="1"/>
    <x v="4"/>
    <n v="3"/>
    <x v="0"/>
    <x v="8"/>
    <x v="3"/>
    <x v="5"/>
    <x v="1"/>
  </r>
  <r>
    <x v="836"/>
    <x v="12"/>
    <x v="2"/>
    <n v="30.9"/>
    <n v="92.699999999999989"/>
    <x v="34"/>
    <d v="2025-02-05T00:00:00"/>
    <x v="0"/>
    <x v="4"/>
    <n v="5"/>
    <x v="0"/>
    <x v="8"/>
    <x v="3"/>
    <x v="5"/>
    <x v="0"/>
  </r>
  <r>
    <x v="837"/>
    <x v="1"/>
    <x v="3"/>
    <n v="36.4"/>
    <n v="254.79999999999998"/>
    <x v="34"/>
    <d v="2025-02-07T00:00:00"/>
    <x v="2"/>
    <x v="0"/>
    <n v="5"/>
    <x v="0"/>
    <x v="8"/>
    <x v="2"/>
    <x v="5"/>
    <x v="2"/>
  </r>
  <r>
    <x v="838"/>
    <x v="6"/>
    <x v="8"/>
    <n v="105.6"/>
    <n v="844.8"/>
    <x v="34"/>
    <d v="2025-02-14T00:00:00"/>
    <x v="2"/>
    <x v="0"/>
    <n v="4"/>
    <x v="0"/>
    <x v="8"/>
    <x v="14"/>
    <x v="5"/>
    <x v="2"/>
  </r>
  <r>
    <x v="839"/>
    <x v="8"/>
    <x v="1"/>
    <n v="22.1"/>
    <n v="44.2"/>
    <x v="34"/>
    <d v="2025-02-05T00:00:00"/>
    <x v="2"/>
    <x v="0"/>
    <n v="5"/>
    <x v="0"/>
    <x v="17"/>
    <x v="3"/>
    <x v="5"/>
    <x v="2"/>
  </r>
  <r>
    <x v="840"/>
    <x v="0"/>
    <x v="2"/>
    <n v="22.6"/>
    <n v="67.800000000000011"/>
    <x v="34"/>
    <d v="2025-02-05T00:00:00"/>
    <x v="2"/>
    <x v="2"/>
    <n v="4"/>
    <x v="0"/>
    <x v="17"/>
    <x v="3"/>
    <x v="5"/>
    <x v="2"/>
  </r>
  <r>
    <x v="841"/>
    <x v="10"/>
    <x v="13"/>
    <n v="26.3"/>
    <n v="157.80000000000001"/>
    <x v="34"/>
    <d v="2025-02-04T00:00:00"/>
    <x v="2"/>
    <x v="2"/>
    <n v="4"/>
    <x v="0"/>
    <x v="9"/>
    <x v="7"/>
    <x v="5"/>
    <x v="2"/>
  </r>
  <r>
    <x v="842"/>
    <x v="1"/>
    <x v="12"/>
    <n v="37.799999999999997"/>
    <n v="151.19999999999999"/>
    <x v="34"/>
    <d v="2025-02-05T00:00:00"/>
    <x v="2"/>
    <x v="0"/>
    <n v="5"/>
    <x v="0"/>
    <x v="11"/>
    <x v="3"/>
    <x v="5"/>
    <x v="2"/>
  </r>
  <r>
    <x v="843"/>
    <x v="6"/>
    <x v="14"/>
    <n v="96"/>
    <n v="1632"/>
    <x v="34"/>
    <d v="2025-02-07T00:00:00"/>
    <x v="2"/>
    <x v="4"/>
    <n v="3"/>
    <x v="0"/>
    <x v="18"/>
    <x v="2"/>
    <x v="5"/>
    <x v="2"/>
  </r>
  <r>
    <x v="844"/>
    <x v="1"/>
    <x v="0"/>
    <n v="83.6"/>
    <n v="83.6"/>
    <x v="34"/>
    <d v="2025-02-07T00:00:00"/>
    <x v="2"/>
    <x v="2"/>
    <n v="3"/>
    <x v="0"/>
    <x v="19"/>
    <x v="2"/>
    <x v="5"/>
    <x v="2"/>
  </r>
  <r>
    <x v="845"/>
    <x v="2"/>
    <x v="13"/>
    <n v="72.599999999999994"/>
    <n v="435.59999999999997"/>
    <x v="34"/>
    <d v="2025-02-05T00:00:00"/>
    <x v="2"/>
    <x v="0"/>
    <n v="4"/>
    <x v="0"/>
    <x v="21"/>
    <x v="3"/>
    <x v="5"/>
    <x v="2"/>
  </r>
  <r>
    <x v="846"/>
    <x v="5"/>
    <x v="28"/>
    <n v="69.099999999999994"/>
    <n v="1382"/>
    <x v="35"/>
    <d v="2025-02-11T00:00:00"/>
    <x v="1"/>
    <x v="0"/>
    <n v="5"/>
    <x v="0"/>
    <x v="21"/>
    <x v="4"/>
    <x v="5"/>
    <x v="1"/>
  </r>
  <r>
    <x v="847"/>
    <x v="4"/>
    <x v="1"/>
    <n v="22.6"/>
    <n v="45.2"/>
    <x v="35"/>
    <d v="2025-02-07T00:00:00"/>
    <x v="2"/>
    <x v="1"/>
    <n v="5"/>
    <x v="0"/>
    <x v="21"/>
    <x v="1"/>
    <x v="5"/>
    <x v="2"/>
  </r>
  <r>
    <x v="848"/>
    <x v="6"/>
    <x v="1"/>
    <n v="45.3"/>
    <n v="90.6"/>
    <x v="35"/>
    <d v="2025-02-09T00:00:00"/>
    <x v="1"/>
    <x v="4"/>
    <n v="5"/>
    <x v="0"/>
    <x v="21"/>
    <x v="5"/>
    <x v="5"/>
    <x v="1"/>
  </r>
  <r>
    <x v="849"/>
    <x v="2"/>
    <x v="1"/>
    <n v="115.1"/>
    <n v="230.2"/>
    <x v="35"/>
    <d v="2025-02-06T00:00:00"/>
    <x v="2"/>
    <x v="1"/>
    <n v="4"/>
    <x v="0"/>
    <x v="1"/>
    <x v="3"/>
    <x v="5"/>
    <x v="2"/>
  </r>
  <r>
    <x v="850"/>
    <x v="18"/>
    <x v="12"/>
    <n v="79"/>
    <n v="316"/>
    <x v="35"/>
    <d v="2025-02-07T00:00:00"/>
    <x v="1"/>
    <x v="2"/>
    <n v="2"/>
    <x v="0"/>
    <x v="1"/>
    <x v="1"/>
    <x v="5"/>
    <x v="1"/>
  </r>
  <r>
    <x v="851"/>
    <x v="6"/>
    <x v="9"/>
    <n v="52.8"/>
    <n v="264"/>
    <x v="35"/>
    <d v="2025-02-06T00:00:00"/>
    <x v="2"/>
    <x v="0"/>
    <n v="4"/>
    <x v="0"/>
    <x v="42"/>
    <x v="3"/>
    <x v="5"/>
    <x v="2"/>
  </r>
  <r>
    <x v="852"/>
    <x v="8"/>
    <x v="1"/>
    <n v="34.1"/>
    <n v="68.2"/>
    <x v="35"/>
    <d v="2025-02-06T00:00:00"/>
    <x v="1"/>
    <x v="3"/>
    <n v="5"/>
    <x v="0"/>
    <x v="44"/>
    <x v="3"/>
    <x v="5"/>
    <x v="1"/>
  </r>
  <r>
    <x v="853"/>
    <x v="6"/>
    <x v="9"/>
    <n v="107.9"/>
    <n v="539.5"/>
    <x v="35"/>
    <d v="2025-02-05T00:00:00"/>
    <x v="2"/>
    <x v="0"/>
    <n v="5"/>
    <x v="0"/>
    <x v="50"/>
    <x v="7"/>
    <x v="5"/>
    <x v="2"/>
  </r>
  <r>
    <x v="854"/>
    <x v="8"/>
    <x v="15"/>
    <n v="48.5"/>
    <n v="630.5"/>
    <x v="35"/>
    <d v="2025-02-05T00:00:00"/>
    <x v="1"/>
    <x v="2"/>
    <n v="5"/>
    <x v="0"/>
    <x v="3"/>
    <x v="7"/>
    <x v="5"/>
    <x v="1"/>
  </r>
  <r>
    <x v="855"/>
    <x v="5"/>
    <x v="2"/>
    <n v="34.700000000000003"/>
    <n v="104.10000000000001"/>
    <x v="35"/>
    <d v="2025-02-06T00:00:00"/>
    <x v="0"/>
    <x v="4"/>
    <n v="3"/>
    <x v="0"/>
    <x v="3"/>
    <x v="3"/>
    <x v="5"/>
    <x v="0"/>
  </r>
  <r>
    <x v="856"/>
    <x v="8"/>
    <x v="0"/>
    <n v="16.8"/>
    <n v="16.8"/>
    <x v="35"/>
    <d v="2025-02-07T00:00:00"/>
    <x v="2"/>
    <x v="3"/>
    <n v="4"/>
    <x v="0"/>
    <x v="3"/>
    <x v="1"/>
    <x v="5"/>
    <x v="2"/>
  </r>
  <r>
    <x v="857"/>
    <x v="8"/>
    <x v="13"/>
    <n v="18.3"/>
    <n v="109.80000000000001"/>
    <x v="35"/>
    <d v="2025-02-08T00:00:00"/>
    <x v="2"/>
    <x v="0"/>
    <n v="4"/>
    <x v="0"/>
    <x v="3"/>
    <x v="2"/>
    <x v="5"/>
    <x v="2"/>
  </r>
  <r>
    <x v="858"/>
    <x v="18"/>
    <x v="2"/>
    <n v="55.9"/>
    <n v="167.7"/>
    <x v="35"/>
    <d v="2025-02-11T00:00:00"/>
    <x v="1"/>
    <x v="3"/>
    <n v="3"/>
    <x v="0"/>
    <x v="3"/>
    <x v="4"/>
    <x v="5"/>
    <x v="1"/>
  </r>
  <r>
    <x v="859"/>
    <x v="8"/>
    <x v="2"/>
    <n v="39.200000000000003"/>
    <n v="117.60000000000001"/>
    <x v="35"/>
    <d v="2025-02-07T00:00:00"/>
    <x v="2"/>
    <x v="0"/>
    <n v="3"/>
    <x v="0"/>
    <x v="3"/>
    <x v="1"/>
    <x v="5"/>
    <x v="2"/>
  </r>
  <r>
    <x v="860"/>
    <x v="15"/>
    <x v="12"/>
    <n v="66.5"/>
    <n v="266"/>
    <x v="35"/>
    <d v="2025-02-07T00:00:00"/>
    <x v="0"/>
    <x v="3"/>
    <n v="3"/>
    <x v="0"/>
    <x v="3"/>
    <x v="1"/>
    <x v="5"/>
    <x v="0"/>
  </r>
  <r>
    <x v="861"/>
    <x v="6"/>
    <x v="13"/>
    <n v="52.1"/>
    <n v="312.60000000000002"/>
    <x v="35"/>
    <d v="2025-02-07T00:00:00"/>
    <x v="1"/>
    <x v="1"/>
    <n v="3"/>
    <x v="0"/>
    <x v="16"/>
    <x v="1"/>
    <x v="5"/>
    <x v="1"/>
  </r>
  <r>
    <x v="862"/>
    <x v="8"/>
    <x v="1"/>
    <n v="19"/>
    <n v="38"/>
    <x v="35"/>
    <d v="2025-02-06T00:00:00"/>
    <x v="1"/>
    <x v="4"/>
    <n v="5"/>
    <x v="0"/>
    <x v="6"/>
    <x v="3"/>
    <x v="5"/>
    <x v="1"/>
  </r>
  <r>
    <x v="863"/>
    <x v="7"/>
    <x v="2"/>
    <n v="84.8"/>
    <n v="254.39999999999998"/>
    <x v="35"/>
    <d v="2025-02-07T00:00:00"/>
    <x v="2"/>
    <x v="2"/>
    <n v="4"/>
    <x v="0"/>
    <x v="8"/>
    <x v="1"/>
    <x v="5"/>
    <x v="2"/>
  </r>
  <r>
    <x v="864"/>
    <x v="2"/>
    <x v="12"/>
    <n v="63.9"/>
    <n v="255.6"/>
    <x v="35"/>
    <d v="2025-02-08T00:00:00"/>
    <x v="2"/>
    <x v="0"/>
    <n v="4"/>
    <x v="0"/>
    <x v="8"/>
    <x v="2"/>
    <x v="5"/>
    <x v="2"/>
  </r>
  <r>
    <x v="865"/>
    <x v="2"/>
    <x v="2"/>
    <n v="65.5"/>
    <n v="196.5"/>
    <x v="35"/>
    <d v="2025-02-05T00:00:00"/>
    <x v="2"/>
    <x v="1"/>
    <n v="3"/>
    <x v="0"/>
    <x v="8"/>
    <x v="7"/>
    <x v="5"/>
    <x v="2"/>
  </r>
  <r>
    <x v="866"/>
    <x v="12"/>
    <x v="1"/>
    <n v="116.2"/>
    <n v="232.4"/>
    <x v="35"/>
    <d v="2025-02-11T00:00:00"/>
    <x v="1"/>
    <x v="3"/>
    <n v="4"/>
    <x v="0"/>
    <x v="17"/>
    <x v="4"/>
    <x v="5"/>
    <x v="1"/>
  </r>
  <r>
    <x v="867"/>
    <x v="10"/>
    <x v="12"/>
    <n v="22.9"/>
    <n v="91.6"/>
    <x v="35"/>
    <d v="2025-02-07T00:00:00"/>
    <x v="2"/>
    <x v="2"/>
    <n v="3"/>
    <x v="0"/>
    <x v="38"/>
    <x v="1"/>
    <x v="5"/>
    <x v="2"/>
  </r>
  <r>
    <x v="868"/>
    <x v="10"/>
    <x v="2"/>
    <n v="53.7"/>
    <n v="161.10000000000002"/>
    <x v="35"/>
    <d v="2025-02-06T00:00:00"/>
    <x v="1"/>
    <x v="0"/>
    <n v="2"/>
    <x v="0"/>
    <x v="18"/>
    <x v="3"/>
    <x v="5"/>
    <x v="1"/>
  </r>
  <r>
    <x v="869"/>
    <x v="6"/>
    <x v="9"/>
    <n v="43.2"/>
    <n v="216"/>
    <x v="35"/>
    <d v="2025-02-07T00:00:00"/>
    <x v="2"/>
    <x v="0"/>
    <n v="4"/>
    <x v="0"/>
    <x v="19"/>
    <x v="1"/>
    <x v="5"/>
    <x v="2"/>
  </r>
  <r>
    <x v="870"/>
    <x v="1"/>
    <x v="2"/>
    <n v="84.5"/>
    <n v="253.5"/>
    <x v="35"/>
    <d v="2025-02-07T00:00:00"/>
    <x v="1"/>
    <x v="2"/>
    <n v="5"/>
    <x v="0"/>
    <x v="51"/>
    <x v="1"/>
    <x v="5"/>
    <x v="1"/>
  </r>
  <r>
    <x v="871"/>
    <x v="3"/>
    <x v="1"/>
    <n v="42.2"/>
    <n v="84.4"/>
    <x v="35"/>
    <d v="2025-02-06T00:00:00"/>
    <x v="2"/>
    <x v="1"/>
    <n v="5"/>
    <x v="0"/>
    <x v="1"/>
    <x v="3"/>
    <x v="5"/>
    <x v="2"/>
  </r>
  <r>
    <x v="872"/>
    <x v="2"/>
    <x v="13"/>
    <n v="94.7"/>
    <n v="568.20000000000005"/>
    <x v="35"/>
    <d v="2025-02-08T00:00:00"/>
    <x v="2"/>
    <x v="1"/>
    <n v="5"/>
    <x v="0"/>
    <x v="2"/>
    <x v="2"/>
    <x v="5"/>
    <x v="2"/>
  </r>
  <r>
    <x v="873"/>
    <x v="8"/>
    <x v="16"/>
    <n v="16.7"/>
    <n v="300.59999999999997"/>
    <x v="35"/>
    <d v="2025-02-17T00:00:00"/>
    <x v="2"/>
    <x v="0"/>
    <n v="5"/>
    <x v="0"/>
    <x v="2"/>
    <x v="13"/>
    <x v="5"/>
    <x v="2"/>
  </r>
  <r>
    <x v="874"/>
    <x v="2"/>
    <x v="1"/>
    <n v="83.6"/>
    <n v="167.2"/>
    <x v="35"/>
    <d v="2025-02-11T00:00:00"/>
    <x v="2"/>
    <x v="1"/>
    <n v="4"/>
    <x v="0"/>
    <x v="3"/>
    <x v="4"/>
    <x v="5"/>
    <x v="2"/>
  </r>
  <r>
    <x v="875"/>
    <x v="7"/>
    <x v="13"/>
    <n v="33.6"/>
    <n v="201.60000000000002"/>
    <x v="36"/>
    <d v="2025-02-07T00:00:00"/>
    <x v="2"/>
    <x v="3"/>
    <n v="4"/>
    <x v="0"/>
    <x v="3"/>
    <x v="3"/>
    <x v="5"/>
    <x v="2"/>
  </r>
  <r>
    <x v="876"/>
    <x v="7"/>
    <x v="1"/>
    <n v="64.7"/>
    <n v="129.4"/>
    <x v="36"/>
    <d v="2025-02-08T00:00:00"/>
    <x v="1"/>
    <x v="1"/>
    <n v="5"/>
    <x v="0"/>
    <x v="3"/>
    <x v="1"/>
    <x v="5"/>
    <x v="1"/>
  </r>
  <r>
    <x v="877"/>
    <x v="0"/>
    <x v="2"/>
    <n v="15.7"/>
    <n v="47.099999999999994"/>
    <x v="36"/>
    <d v="2025-02-12T00:00:00"/>
    <x v="2"/>
    <x v="0"/>
    <n v="4"/>
    <x v="0"/>
    <x v="3"/>
    <x v="4"/>
    <x v="5"/>
    <x v="2"/>
  </r>
  <r>
    <x v="878"/>
    <x v="15"/>
    <x v="13"/>
    <n v="49.4"/>
    <n v="296.39999999999998"/>
    <x v="36"/>
    <d v="2025-02-06T00:00:00"/>
    <x v="1"/>
    <x v="1"/>
    <n v="4"/>
    <x v="0"/>
    <x v="3"/>
    <x v="7"/>
    <x v="5"/>
    <x v="1"/>
  </r>
  <r>
    <x v="879"/>
    <x v="10"/>
    <x v="13"/>
    <n v="37"/>
    <n v="222"/>
    <x v="36"/>
    <d v="2025-02-09T00:00:00"/>
    <x v="2"/>
    <x v="1"/>
    <n v="5"/>
    <x v="0"/>
    <x v="3"/>
    <x v="2"/>
    <x v="5"/>
    <x v="2"/>
  </r>
  <r>
    <x v="880"/>
    <x v="2"/>
    <x v="1"/>
    <n v="83.7"/>
    <n v="167.4"/>
    <x v="36"/>
    <d v="2025-02-08T00:00:00"/>
    <x v="2"/>
    <x v="3"/>
    <n v="5"/>
    <x v="0"/>
    <x v="3"/>
    <x v="1"/>
    <x v="5"/>
    <x v="2"/>
  </r>
  <r>
    <x v="881"/>
    <x v="1"/>
    <x v="9"/>
    <n v="35.1"/>
    <n v="175.5"/>
    <x v="36"/>
    <d v="2025-02-07T00:00:00"/>
    <x v="2"/>
    <x v="0"/>
    <n v="4"/>
    <x v="0"/>
    <x v="3"/>
    <x v="3"/>
    <x v="5"/>
    <x v="2"/>
  </r>
  <r>
    <x v="882"/>
    <x v="16"/>
    <x v="8"/>
    <n v="74"/>
    <n v="592"/>
    <x v="36"/>
    <d v="2025-02-07T00:00:00"/>
    <x v="2"/>
    <x v="4"/>
    <n v="4"/>
    <x v="0"/>
    <x v="37"/>
    <x v="3"/>
    <x v="5"/>
    <x v="2"/>
  </r>
  <r>
    <x v="883"/>
    <x v="6"/>
    <x v="25"/>
    <n v="55.5"/>
    <n v="1332"/>
    <x v="36"/>
    <d v="2025-02-09T00:00:00"/>
    <x v="1"/>
    <x v="3"/>
    <n v="4"/>
    <x v="0"/>
    <x v="49"/>
    <x v="2"/>
    <x v="5"/>
    <x v="1"/>
  </r>
  <r>
    <x v="884"/>
    <x v="11"/>
    <x v="1"/>
    <n v="38.9"/>
    <n v="77.8"/>
    <x v="36"/>
    <d v="2025-02-08T00:00:00"/>
    <x v="2"/>
    <x v="1"/>
    <n v="5"/>
    <x v="0"/>
    <x v="25"/>
    <x v="1"/>
    <x v="5"/>
    <x v="2"/>
  </r>
  <r>
    <x v="885"/>
    <x v="16"/>
    <x v="1"/>
    <n v="64.599999999999994"/>
    <n v="129.19999999999999"/>
    <x v="36"/>
    <d v="2025-02-13T00:00:00"/>
    <x v="1"/>
    <x v="2"/>
    <n v="3"/>
    <x v="0"/>
    <x v="25"/>
    <x v="6"/>
    <x v="5"/>
    <x v="1"/>
  </r>
  <r>
    <x v="886"/>
    <x v="2"/>
    <x v="2"/>
    <n v="95.3"/>
    <n v="285.89999999999998"/>
    <x v="36"/>
    <d v="2025-02-07T00:00:00"/>
    <x v="1"/>
    <x v="0"/>
    <n v="4"/>
    <x v="0"/>
    <x v="5"/>
    <x v="3"/>
    <x v="5"/>
    <x v="1"/>
  </r>
  <r>
    <x v="887"/>
    <x v="13"/>
    <x v="2"/>
    <n v="25.8"/>
    <n v="77.400000000000006"/>
    <x v="36"/>
    <d v="2025-02-07T00:00:00"/>
    <x v="2"/>
    <x v="1"/>
    <n v="3"/>
    <x v="0"/>
    <x v="6"/>
    <x v="3"/>
    <x v="5"/>
    <x v="2"/>
  </r>
  <r>
    <x v="888"/>
    <x v="0"/>
    <x v="1"/>
    <n v="11.6"/>
    <n v="23.2"/>
    <x v="36"/>
    <d v="2025-02-10T00:00:00"/>
    <x v="2"/>
    <x v="1"/>
    <n v="3"/>
    <x v="0"/>
    <x v="6"/>
    <x v="5"/>
    <x v="5"/>
    <x v="2"/>
  </r>
  <r>
    <x v="889"/>
    <x v="7"/>
    <x v="0"/>
    <n v="52.3"/>
    <n v="52.3"/>
    <x v="36"/>
    <d v="2025-02-07T00:00:00"/>
    <x v="2"/>
    <x v="1"/>
    <n v="4"/>
    <x v="0"/>
    <x v="8"/>
    <x v="3"/>
    <x v="5"/>
    <x v="2"/>
  </r>
  <r>
    <x v="890"/>
    <x v="2"/>
    <x v="7"/>
    <n v="112.2"/>
    <n v="1122"/>
    <x v="36"/>
    <d v="2025-02-07T00:00:00"/>
    <x v="2"/>
    <x v="1"/>
    <n v="3"/>
    <x v="0"/>
    <x v="8"/>
    <x v="3"/>
    <x v="5"/>
    <x v="2"/>
  </r>
  <r>
    <x v="891"/>
    <x v="4"/>
    <x v="9"/>
    <n v="34.6"/>
    <n v="173"/>
    <x v="36"/>
    <d v="2025-02-08T00:00:00"/>
    <x v="1"/>
    <x v="2"/>
    <n v="4"/>
    <x v="0"/>
    <x v="8"/>
    <x v="1"/>
    <x v="5"/>
    <x v="1"/>
  </r>
  <r>
    <x v="892"/>
    <x v="14"/>
    <x v="12"/>
    <n v="20.100000000000001"/>
    <n v="80.400000000000006"/>
    <x v="36"/>
    <d v="2025-02-12T00:00:00"/>
    <x v="1"/>
    <x v="1"/>
    <n v="5"/>
    <x v="0"/>
    <x v="8"/>
    <x v="4"/>
    <x v="5"/>
    <x v="1"/>
  </r>
  <r>
    <x v="893"/>
    <x v="2"/>
    <x v="12"/>
    <n v="56.4"/>
    <n v="225.6"/>
    <x v="36"/>
    <d v="2025-02-08T00:00:00"/>
    <x v="2"/>
    <x v="2"/>
    <n v="4"/>
    <x v="0"/>
    <x v="10"/>
    <x v="1"/>
    <x v="5"/>
    <x v="2"/>
  </r>
  <r>
    <x v="894"/>
    <x v="13"/>
    <x v="11"/>
    <n v="55.3"/>
    <n v="497.7"/>
    <x v="36"/>
    <d v="2025-02-08T00:00:00"/>
    <x v="2"/>
    <x v="1"/>
    <n v="2"/>
    <x v="0"/>
    <x v="11"/>
    <x v="1"/>
    <x v="5"/>
    <x v="2"/>
  </r>
  <r>
    <x v="895"/>
    <x v="2"/>
    <x v="31"/>
    <n v="75.5"/>
    <n v="2114"/>
    <x v="36"/>
    <d v="2025-02-07T00:00:00"/>
    <x v="2"/>
    <x v="0"/>
    <n v="4"/>
    <x v="0"/>
    <x v="11"/>
    <x v="3"/>
    <x v="5"/>
    <x v="2"/>
  </r>
  <r>
    <x v="896"/>
    <x v="8"/>
    <x v="0"/>
    <n v="23.6"/>
    <n v="23.6"/>
    <x v="36"/>
    <d v="2025-02-11T00:00:00"/>
    <x v="2"/>
    <x v="0"/>
    <n v="4"/>
    <x v="0"/>
    <x v="19"/>
    <x v="0"/>
    <x v="5"/>
    <x v="2"/>
  </r>
  <r>
    <x v="897"/>
    <x v="9"/>
    <x v="1"/>
    <n v="70.7"/>
    <n v="141.4"/>
    <x v="36"/>
    <d v="2025-02-08T00:00:00"/>
    <x v="2"/>
    <x v="2"/>
    <n v="4"/>
    <x v="0"/>
    <x v="19"/>
    <x v="1"/>
    <x v="5"/>
    <x v="2"/>
  </r>
  <r>
    <x v="898"/>
    <x v="12"/>
    <x v="1"/>
    <n v="43.2"/>
    <n v="86.4"/>
    <x v="36"/>
    <d v="2025-02-07T00:00:00"/>
    <x v="2"/>
    <x v="2"/>
    <n v="4"/>
    <x v="0"/>
    <x v="31"/>
    <x v="3"/>
    <x v="5"/>
    <x v="2"/>
  </r>
  <r>
    <x v="899"/>
    <x v="9"/>
    <x v="11"/>
    <n v="70"/>
    <n v="630"/>
    <x v="36"/>
    <d v="2025-02-07T00:00:00"/>
    <x v="0"/>
    <x v="1"/>
    <n v="4"/>
    <x v="0"/>
    <x v="52"/>
    <x v="3"/>
    <x v="5"/>
    <x v="0"/>
  </r>
  <r>
    <x v="900"/>
    <x v="0"/>
    <x v="1"/>
    <n v="20.5"/>
    <n v="41"/>
    <x v="36"/>
    <d v="2025-02-08T00:00:00"/>
    <x v="2"/>
    <x v="2"/>
    <n v="2"/>
    <x v="0"/>
    <x v="13"/>
    <x v="1"/>
    <x v="5"/>
    <x v="2"/>
  </r>
  <r>
    <x v="901"/>
    <x v="0"/>
    <x v="12"/>
    <n v="29.1"/>
    <n v="116.4"/>
    <x v="36"/>
    <d v="2025-02-07T00:00:00"/>
    <x v="2"/>
    <x v="3"/>
    <n v="4"/>
    <x v="0"/>
    <x v="28"/>
    <x v="3"/>
    <x v="5"/>
    <x v="2"/>
  </r>
  <r>
    <x v="902"/>
    <x v="6"/>
    <x v="11"/>
    <n v="53.6"/>
    <n v="482.40000000000003"/>
    <x v="36"/>
    <d v="2025-02-07T00:00:00"/>
    <x v="1"/>
    <x v="2"/>
    <n v="3"/>
    <x v="0"/>
    <x v="3"/>
    <x v="3"/>
    <x v="5"/>
    <x v="1"/>
  </r>
  <r>
    <x v="903"/>
    <x v="6"/>
    <x v="9"/>
    <n v="72.3"/>
    <n v="361.5"/>
    <x v="36"/>
    <d v="2025-02-08T00:00:00"/>
    <x v="2"/>
    <x v="1"/>
    <n v="4"/>
    <x v="0"/>
    <x v="3"/>
    <x v="1"/>
    <x v="5"/>
    <x v="2"/>
  </r>
  <r>
    <x v="904"/>
    <x v="13"/>
    <x v="12"/>
    <n v="22.6"/>
    <n v="90.4"/>
    <x v="36"/>
    <d v="2025-02-09T00:00:00"/>
    <x v="3"/>
    <x v="0"/>
    <n v="3"/>
    <x v="0"/>
    <x v="3"/>
    <x v="2"/>
    <x v="5"/>
    <x v="3"/>
  </r>
  <r>
    <x v="905"/>
    <x v="9"/>
    <x v="1"/>
    <n v="44.2"/>
    <n v="88.4"/>
    <x v="36"/>
    <d v="2025-02-10T00:00:00"/>
    <x v="0"/>
    <x v="2"/>
    <n v="2"/>
    <x v="0"/>
    <x v="3"/>
    <x v="5"/>
    <x v="5"/>
    <x v="0"/>
  </r>
  <r>
    <x v="906"/>
    <x v="9"/>
    <x v="2"/>
    <n v="94.1"/>
    <n v="282.29999999999995"/>
    <x v="36"/>
    <d v="2025-02-19T00:00:00"/>
    <x v="2"/>
    <x v="2"/>
    <n v="5"/>
    <x v="0"/>
    <x v="3"/>
    <x v="10"/>
    <x v="5"/>
    <x v="2"/>
  </r>
  <r>
    <x v="907"/>
    <x v="8"/>
    <x v="2"/>
    <n v="17.899999999999999"/>
    <n v="53.699999999999996"/>
    <x v="36"/>
    <d v="2025-02-08T00:00:00"/>
    <x v="1"/>
    <x v="1"/>
    <n v="3"/>
    <x v="0"/>
    <x v="3"/>
    <x v="1"/>
    <x v="5"/>
    <x v="1"/>
  </r>
  <r>
    <x v="908"/>
    <x v="12"/>
    <x v="3"/>
    <n v="52.7"/>
    <n v="368.90000000000003"/>
    <x v="36"/>
    <d v="2025-02-07T00:00:00"/>
    <x v="1"/>
    <x v="1"/>
    <n v="3"/>
    <x v="0"/>
    <x v="3"/>
    <x v="3"/>
    <x v="5"/>
    <x v="1"/>
  </r>
  <r>
    <x v="909"/>
    <x v="8"/>
    <x v="0"/>
    <n v="36.799999999999997"/>
    <n v="36.799999999999997"/>
    <x v="36"/>
    <d v="2025-02-06T00:00:00"/>
    <x v="0"/>
    <x v="0"/>
    <n v="5"/>
    <x v="0"/>
    <x v="3"/>
    <x v="7"/>
    <x v="5"/>
    <x v="0"/>
  </r>
  <r>
    <x v="910"/>
    <x v="4"/>
    <x v="0"/>
    <n v="52.5"/>
    <n v="52.5"/>
    <x v="36"/>
    <d v="2025-02-07T00:00:00"/>
    <x v="1"/>
    <x v="0"/>
    <n v="3"/>
    <x v="0"/>
    <x v="6"/>
    <x v="3"/>
    <x v="5"/>
    <x v="1"/>
  </r>
  <r>
    <x v="911"/>
    <x v="2"/>
    <x v="1"/>
    <n v="133.80000000000001"/>
    <n v="267.60000000000002"/>
    <x v="36"/>
    <d v="2025-02-08T00:00:00"/>
    <x v="1"/>
    <x v="0"/>
    <n v="3"/>
    <x v="0"/>
    <x v="7"/>
    <x v="1"/>
    <x v="5"/>
    <x v="1"/>
  </r>
  <r>
    <x v="912"/>
    <x v="6"/>
    <x v="1"/>
    <n v="53.2"/>
    <n v="106.4"/>
    <x v="36"/>
    <d v="2025-02-08T00:00:00"/>
    <x v="1"/>
    <x v="0"/>
    <n v="4"/>
    <x v="0"/>
    <x v="17"/>
    <x v="1"/>
    <x v="5"/>
    <x v="1"/>
  </r>
  <r>
    <x v="913"/>
    <x v="14"/>
    <x v="13"/>
    <n v="18.7"/>
    <n v="112.19999999999999"/>
    <x v="36"/>
    <d v="2025-02-08T00:00:00"/>
    <x v="0"/>
    <x v="0"/>
    <n v="3"/>
    <x v="0"/>
    <x v="10"/>
    <x v="1"/>
    <x v="5"/>
    <x v="0"/>
  </r>
  <r>
    <x v="914"/>
    <x v="6"/>
    <x v="12"/>
    <n v="108.8"/>
    <n v="435.2"/>
    <x v="36"/>
    <d v="2025-02-07T00:00:00"/>
    <x v="2"/>
    <x v="3"/>
    <n v="5"/>
    <x v="0"/>
    <x v="11"/>
    <x v="3"/>
    <x v="5"/>
    <x v="2"/>
  </r>
  <r>
    <x v="915"/>
    <x v="15"/>
    <x v="9"/>
    <n v="38.5"/>
    <n v="192.5"/>
    <x v="36"/>
    <d v="2025-02-10T00:00:00"/>
    <x v="2"/>
    <x v="0"/>
    <n v="3"/>
    <x v="0"/>
    <x v="14"/>
    <x v="5"/>
    <x v="5"/>
    <x v="2"/>
  </r>
  <r>
    <x v="916"/>
    <x v="10"/>
    <x v="7"/>
    <n v="46.5"/>
    <n v="465"/>
    <x v="36"/>
    <d v="2025-02-08T00:00:00"/>
    <x v="1"/>
    <x v="2"/>
    <n v="3"/>
    <x v="0"/>
    <x v="2"/>
    <x v="1"/>
    <x v="5"/>
    <x v="1"/>
  </r>
  <r>
    <x v="917"/>
    <x v="2"/>
    <x v="2"/>
    <n v="75.8"/>
    <n v="227.39999999999998"/>
    <x v="36"/>
    <d v="2025-02-10T00:00:00"/>
    <x v="2"/>
    <x v="1"/>
    <n v="2"/>
    <x v="0"/>
    <x v="44"/>
    <x v="5"/>
    <x v="5"/>
    <x v="2"/>
  </r>
  <r>
    <x v="918"/>
    <x v="8"/>
    <x v="0"/>
    <n v="20.9"/>
    <n v="20.9"/>
    <x v="36"/>
    <d v="2025-02-10T00:00:00"/>
    <x v="1"/>
    <x v="0"/>
    <n v="4"/>
    <x v="0"/>
    <x v="22"/>
    <x v="5"/>
    <x v="5"/>
    <x v="1"/>
  </r>
  <r>
    <x v="919"/>
    <x v="18"/>
    <x v="2"/>
    <n v="47.4"/>
    <n v="142.19999999999999"/>
    <x v="36"/>
    <d v="2025-02-09T00:00:00"/>
    <x v="2"/>
    <x v="0"/>
    <n v="4"/>
    <x v="0"/>
    <x v="3"/>
    <x v="2"/>
    <x v="5"/>
    <x v="2"/>
  </r>
  <r>
    <x v="920"/>
    <x v="9"/>
    <x v="1"/>
    <n v="53.8"/>
    <n v="107.6"/>
    <x v="36"/>
    <d v="2025-02-07T00:00:00"/>
    <x v="0"/>
    <x v="0"/>
    <n v="3"/>
    <x v="0"/>
    <x v="3"/>
    <x v="3"/>
    <x v="5"/>
    <x v="0"/>
  </r>
  <r>
    <x v="921"/>
    <x v="8"/>
    <x v="2"/>
    <n v="24.6"/>
    <n v="73.800000000000011"/>
    <x v="36"/>
    <d v="2025-02-08T00:00:00"/>
    <x v="3"/>
    <x v="1"/>
    <n v="5"/>
    <x v="0"/>
    <x v="3"/>
    <x v="1"/>
    <x v="5"/>
    <x v="3"/>
  </r>
  <r>
    <x v="922"/>
    <x v="9"/>
    <x v="2"/>
    <n v="70.900000000000006"/>
    <n v="212.70000000000002"/>
    <x v="36"/>
    <d v="2025-02-11T00:00:00"/>
    <x v="2"/>
    <x v="2"/>
    <n v="5"/>
    <x v="0"/>
    <x v="3"/>
    <x v="0"/>
    <x v="5"/>
    <x v="2"/>
  </r>
  <r>
    <x v="923"/>
    <x v="17"/>
    <x v="2"/>
    <n v="31.9"/>
    <n v="95.699999999999989"/>
    <x v="36"/>
    <d v="2025-02-08T00:00:00"/>
    <x v="2"/>
    <x v="2"/>
    <n v="5"/>
    <x v="0"/>
    <x v="3"/>
    <x v="1"/>
    <x v="5"/>
    <x v="2"/>
  </r>
  <r>
    <x v="924"/>
    <x v="0"/>
    <x v="1"/>
    <n v="20.399999999999999"/>
    <n v="40.799999999999997"/>
    <x v="36"/>
    <d v="2025-02-10T00:00:00"/>
    <x v="1"/>
    <x v="3"/>
    <n v="5"/>
    <x v="0"/>
    <x v="3"/>
    <x v="5"/>
    <x v="5"/>
    <x v="1"/>
  </r>
  <r>
    <x v="925"/>
    <x v="8"/>
    <x v="1"/>
    <n v="18.600000000000001"/>
    <n v="37.200000000000003"/>
    <x v="36"/>
    <d v="2025-02-08T00:00:00"/>
    <x v="0"/>
    <x v="0"/>
    <n v="3"/>
    <x v="0"/>
    <x v="3"/>
    <x v="1"/>
    <x v="5"/>
    <x v="0"/>
  </r>
  <r>
    <x v="926"/>
    <x v="4"/>
    <x v="9"/>
    <n v="48.3"/>
    <n v="241.5"/>
    <x v="36"/>
    <d v="2025-02-08T00:00:00"/>
    <x v="2"/>
    <x v="1"/>
    <n v="4"/>
    <x v="0"/>
    <x v="3"/>
    <x v="1"/>
    <x v="5"/>
    <x v="2"/>
  </r>
  <r>
    <x v="927"/>
    <x v="0"/>
    <x v="12"/>
    <n v="27.7"/>
    <n v="110.8"/>
    <x v="36"/>
    <d v="2025-02-08T00:00:00"/>
    <x v="2"/>
    <x v="0"/>
    <n v="4"/>
    <x v="0"/>
    <x v="3"/>
    <x v="1"/>
    <x v="5"/>
    <x v="2"/>
  </r>
  <r>
    <x v="928"/>
    <x v="4"/>
    <x v="9"/>
    <n v="22.5"/>
    <n v="112.5"/>
    <x v="36"/>
    <d v="2025-02-08T00:00:00"/>
    <x v="2"/>
    <x v="4"/>
    <n v="5"/>
    <x v="0"/>
    <x v="3"/>
    <x v="1"/>
    <x v="5"/>
    <x v="2"/>
  </r>
  <r>
    <x v="929"/>
    <x v="17"/>
    <x v="9"/>
    <n v="21.6"/>
    <n v="108"/>
    <x v="36"/>
    <d v="2025-02-14T00:00:00"/>
    <x v="2"/>
    <x v="0"/>
    <n v="3"/>
    <x v="0"/>
    <x v="3"/>
    <x v="9"/>
    <x v="5"/>
    <x v="2"/>
  </r>
  <r>
    <x v="930"/>
    <x v="10"/>
    <x v="3"/>
    <n v="26.3"/>
    <n v="184.1"/>
    <x v="36"/>
    <d v="2025-02-06T00:00:00"/>
    <x v="2"/>
    <x v="2"/>
    <n v="3"/>
    <x v="0"/>
    <x v="3"/>
    <x v="7"/>
    <x v="5"/>
    <x v="2"/>
  </r>
  <r>
    <x v="931"/>
    <x v="6"/>
    <x v="3"/>
    <n v="103"/>
    <n v="721"/>
    <x v="37"/>
    <d v="2025-02-08T00:00:00"/>
    <x v="1"/>
    <x v="0"/>
    <n v="5"/>
    <x v="0"/>
    <x v="6"/>
    <x v="3"/>
    <x v="5"/>
    <x v="1"/>
  </r>
  <r>
    <x v="932"/>
    <x v="5"/>
    <x v="20"/>
    <n v="46.6"/>
    <n v="699"/>
    <x v="37"/>
    <d v="2025-02-08T00:00:00"/>
    <x v="2"/>
    <x v="0"/>
    <n v="3"/>
    <x v="0"/>
    <x v="6"/>
    <x v="3"/>
    <x v="5"/>
    <x v="2"/>
  </r>
  <r>
    <x v="933"/>
    <x v="0"/>
    <x v="9"/>
    <n v="32.200000000000003"/>
    <n v="161"/>
    <x v="37"/>
    <d v="2025-02-10T00:00:00"/>
    <x v="2"/>
    <x v="0"/>
    <n v="5"/>
    <x v="0"/>
    <x v="36"/>
    <x v="2"/>
    <x v="5"/>
    <x v="2"/>
  </r>
  <r>
    <x v="934"/>
    <x v="8"/>
    <x v="2"/>
    <n v="22"/>
    <n v="66"/>
    <x v="37"/>
    <d v="2025-02-14T00:00:00"/>
    <x v="1"/>
    <x v="1"/>
    <n v="4"/>
    <x v="0"/>
    <x v="7"/>
    <x v="6"/>
    <x v="5"/>
    <x v="1"/>
  </r>
  <r>
    <x v="935"/>
    <x v="0"/>
    <x v="1"/>
    <n v="25.2"/>
    <n v="50.4"/>
    <x v="37"/>
    <d v="2025-02-11T00:00:00"/>
    <x v="2"/>
    <x v="0"/>
    <n v="4"/>
    <x v="0"/>
    <x v="7"/>
    <x v="5"/>
    <x v="5"/>
    <x v="2"/>
  </r>
  <r>
    <x v="936"/>
    <x v="1"/>
    <x v="13"/>
    <n v="68.7"/>
    <n v="412.20000000000005"/>
    <x v="37"/>
    <d v="2025-02-09T00:00:00"/>
    <x v="1"/>
    <x v="4"/>
    <n v="4"/>
    <x v="0"/>
    <x v="8"/>
    <x v="1"/>
    <x v="5"/>
    <x v="1"/>
  </r>
  <r>
    <x v="937"/>
    <x v="0"/>
    <x v="2"/>
    <n v="22.2"/>
    <n v="66.599999999999994"/>
    <x v="37"/>
    <d v="2025-02-10T00:00:00"/>
    <x v="1"/>
    <x v="2"/>
    <n v="5"/>
    <x v="0"/>
    <x v="8"/>
    <x v="2"/>
    <x v="5"/>
    <x v="1"/>
  </r>
  <r>
    <x v="938"/>
    <x v="1"/>
    <x v="3"/>
    <n v="36"/>
    <n v="252"/>
    <x v="37"/>
    <d v="2025-02-08T00:00:00"/>
    <x v="2"/>
    <x v="1"/>
    <n v="4"/>
    <x v="0"/>
    <x v="8"/>
    <x v="3"/>
    <x v="5"/>
    <x v="2"/>
  </r>
  <r>
    <x v="939"/>
    <x v="18"/>
    <x v="0"/>
    <n v="50.6"/>
    <n v="50.6"/>
    <x v="37"/>
    <d v="2025-02-09T00:00:00"/>
    <x v="2"/>
    <x v="0"/>
    <n v="3"/>
    <x v="0"/>
    <x v="8"/>
    <x v="1"/>
    <x v="5"/>
    <x v="2"/>
  </r>
  <r>
    <x v="940"/>
    <x v="15"/>
    <x v="1"/>
    <n v="44.9"/>
    <n v="89.8"/>
    <x v="37"/>
    <d v="2025-02-09T00:00:00"/>
    <x v="1"/>
    <x v="0"/>
    <n v="3"/>
    <x v="0"/>
    <x v="8"/>
    <x v="1"/>
    <x v="5"/>
    <x v="1"/>
  </r>
  <r>
    <x v="941"/>
    <x v="6"/>
    <x v="2"/>
    <n v="71.599999999999994"/>
    <n v="214.79999999999998"/>
    <x v="37"/>
    <d v="2025-02-11T00:00:00"/>
    <x v="1"/>
    <x v="1"/>
    <n v="5"/>
    <x v="0"/>
    <x v="10"/>
    <x v="5"/>
    <x v="5"/>
    <x v="1"/>
  </r>
  <r>
    <x v="942"/>
    <x v="6"/>
    <x v="13"/>
    <n v="51.5"/>
    <n v="309"/>
    <x v="37"/>
    <d v="2025-02-09T00:00:00"/>
    <x v="0"/>
    <x v="4"/>
    <n v="4"/>
    <x v="0"/>
    <x v="11"/>
    <x v="1"/>
    <x v="5"/>
    <x v="0"/>
  </r>
  <r>
    <x v="943"/>
    <x v="7"/>
    <x v="9"/>
    <n v="55.5"/>
    <n v="277.5"/>
    <x v="37"/>
    <d v="2025-02-08T00:00:00"/>
    <x v="1"/>
    <x v="1"/>
    <n v="3"/>
    <x v="0"/>
    <x v="11"/>
    <x v="3"/>
    <x v="5"/>
    <x v="1"/>
  </r>
  <r>
    <x v="944"/>
    <x v="6"/>
    <x v="0"/>
    <n v="51.7"/>
    <n v="51.7"/>
    <x v="37"/>
    <d v="2025-02-21T00:00:00"/>
    <x v="1"/>
    <x v="2"/>
    <n v="4"/>
    <x v="0"/>
    <x v="19"/>
    <x v="12"/>
    <x v="5"/>
    <x v="1"/>
  </r>
  <r>
    <x v="945"/>
    <x v="8"/>
    <x v="38"/>
    <n v="45.5"/>
    <n v="955.5"/>
    <x v="37"/>
    <d v="2025-02-08T00:00:00"/>
    <x v="2"/>
    <x v="3"/>
    <n v="5"/>
    <x v="0"/>
    <x v="19"/>
    <x v="3"/>
    <x v="5"/>
    <x v="2"/>
  </r>
  <r>
    <x v="946"/>
    <x v="8"/>
    <x v="1"/>
    <n v="33.799999999999997"/>
    <n v="67.599999999999994"/>
    <x v="37"/>
    <d v="2025-02-13T00:00:00"/>
    <x v="2"/>
    <x v="3"/>
    <n v="4"/>
    <x v="0"/>
    <x v="20"/>
    <x v="4"/>
    <x v="5"/>
    <x v="2"/>
  </r>
  <r>
    <x v="947"/>
    <x v="3"/>
    <x v="2"/>
    <n v="76.5"/>
    <n v="229.5"/>
    <x v="37"/>
    <d v="2025-02-08T00:00:00"/>
    <x v="2"/>
    <x v="0"/>
    <n v="3"/>
    <x v="0"/>
    <x v="21"/>
    <x v="3"/>
    <x v="5"/>
    <x v="2"/>
  </r>
  <r>
    <x v="948"/>
    <x v="9"/>
    <x v="2"/>
    <n v="42.6"/>
    <n v="127.80000000000001"/>
    <x v="37"/>
    <d v="2025-02-13T00:00:00"/>
    <x v="2"/>
    <x v="2"/>
    <n v="5"/>
    <x v="0"/>
    <x v="2"/>
    <x v="4"/>
    <x v="5"/>
    <x v="2"/>
  </r>
  <r>
    <x v="949"/>
    <x v="6"/>
    <x v="2"/>
    <n v="44.1"/>
    <n v="132.30000000000001"/>
    <x v="37"/>
    <d v="2025-02-09T00:00:00"/>
    <x v="2"/>
    <x v="1"/>
    <n v="3"/>
    <x v="0"/>
    <x v="22"/>
    <x v="1"/>
    <x v="5"/>
    <x v="2"/>
  </r>
  <r>
    <x v="950"/>
    <x v="8"/>
    <x v="1"/>
    <n v="40.9"/>
    <n v="81.8"/>
    <x v="37"/>
    <d v="2025-02-11T00:00:00"/>
    <x v="1"/>
    <x v="0"/>
    <n v="4"/>
    <x v="0"/>
    <x v="3"/>
    <x v="5"/>
    <x v="5"/>
    <x v="1"/>
  </r>
  <r>
    <x v="951"/>
    <x v="9"/>
    <x v="2"/>
    <n v="49.1"/>
    <n v="147.30000000000001"/>
    <x v="37"/>
    <d v="2025-02-11T00:00:00"/>
    <x v="2"/>
    <x v="3"/>
    <n v="3"/>
    <x v="0"/>
    <x v="3"/>
    <x v="5"/>
    <x v="5"/>
    <x v="2"/>
  </r>
  <r>
    <x v="952"/>
    <x v="18"/>
    <x v="0"/>
    <n v="85.3"/>
    <n v="85.3"/>
    <x v="37"/>
    <d v="2025-02-11T00:00:00"/>
    <x v="1"/>
    <x v="1"/>
    <n v="3"/>
    <x v="0"/>
    <x v="3"/>
    <x v="5"/>
    <x v="5"/>
    <x v="1"/>
  </r>
  <r>
    <x v="953"/>
    <x v="6"/>
    <x v="12"/>
    <n v="43.1"/>
    <n v="172.4"/>
    <x v="38"/>
    <d v="2025-02-11T00:00:00"/>
    <x v="1"/>
    <x v="0"/>
    <n v="4"/>
    <x v="0"/>
    <x v="3"/>
    <x v="2"/>
    <x v="5"/>
    <x v="1"/>
  </r>
  <r>
    <x v="954"/>
    <x v="4"/>
    <x v="12"/>
    <n v="46.2"/>
    <n v="184.8"/>
    <x v="38"/>
    <d v="2025-02-09T00:00:00"/>
    <x v="1"/>
    <x v="2"/>
    <n v="4"/>
    <x v="0"/>
    <x v="3"/>
    <x v="3"/>
    <x v="5"/>
    <x v="1"/>
  </r>
  <r>
    <x v="955"/>
    <x v="1"/>
    <x v="0"/>
    <n v="74.400000000000006"/>
    <n v="74.400000000000006"/>
    <x v="38"/>
    <d v="2025-02-10T00:00:00"/>
    <x v="1"/>
    <x v="4"/>
    <n v="5"/>
    <x v="0"/>
    <x v="3"/>
    <x v="1"/>
    <x v="5"/>
    <x v="1"/>
  </r>
  <r>
    <x v="956"/>
    <x v="17"/>
    <x v="1"/>
    <n v="51.2"/>
    <n v="102.4"/>
    <x v="38"/>
    <d v="2025-02-09T00:00:00"/>
    <x v="1"/>
    <x v="1"/>
    <n v="4"/>
    <x v="0"/>
    <x v="3"/>
    <x v="3"/>
    <x v="5"/>
    <x v="1"/>
  </r>
  <r>
    <x v="957"/>
    <x v="14"/>
    <x v="12"/>
    <n v="11.8"/>
    <n v="47.2"/>
    <x v="38"/>
    <d v="2025-02-08T00:00:00"/>
    <x v="1"/>
    <x v="2"/>
    <n v="4"/>
    <x v="0"/>
    <x v="3"/>
    <x v="7"/>
    <x v="5"/>
    <x v="1"/>
  </r>
  <r>
    <x v="958"/>
    <x v="10"/>
    <x v="6"/>
    <n v="40.799999999999997"/>
    <n v="1101.5999999999999"/>
    <x v="38"/>
    <d v="2025-02-09T00:00:00"/>
    <x v="2"/>
    <x v="3"/>
    <n v="5"/>
    <x v="0"/>
    <x v="3"/>
    <x v="3"/>
    <x v="5"/>
    <x v="2"/>
  </r>
  <r>
    <x v="959"/>
    <x v="8"/>
    <x v="0"/>
    <n v="24.7"/>
    <n v="24.7"/>
    <x v="38"/>
    <d v="2025-02-10T00:00:00"/>
    <x v="2"/>
    <x v="2"/>
    <n v="3"/>
    <x v="0"/>
    <x v="3"/>
    <x v="1"/>
    <x v="5"/>
    <x v="2"/>
  </r>
  <r>
    <x v="960"/>
    <x v="8"/>
    <x v="3"/>
    <n v="22.1"/>
    <n v="154.70000000000002"/>
    <x v="38"/>
    <d v="2025-02-08T00:00:00"/>
    <x v="2"/>
    <x v="2"/>
    <n v="2"/>
    <x v="0"/>
    <x v="3"/>
    <x v="7"/>
    <x v="5"/>
    <x v="2"/>
  </r>
  <r>
    <x v="961"/>
    <x v="8"/>
    <x v="0"/>
    <n v="18.100000000000001"/>
    <n v="18.100000000000001"/>
    <x v="38"/>
    <d v="2025-02-12T00:00:00"/>
    <x v="1"/>
    <x v="3"/>
    <n v="5"/>
    <x v="0"/>
    <x v="3"/>
    <x v="5"/>
    <x v="5"/>
    <x v="1"/>
  </r>
  <r>
    <x v="962"/>
    <x v="17"/>
    <x v="1"/>
    <n v="58.8"/>
    <n v="117.6"/>
    <x v="38"/>
    <d v="2025-02-11T00:00:00"/>
    <x v="2"/>
    <x v="0"/>
    <n v="4"/>
    <x v="0"/>
    <x v="25"/>
    <x v="2"/>
    <x v="5"/>
    <x v="2"/>
  </r>
  <r>
    <x v="963"/>
    <x v="18"/>
    <x v="1"/>
    <n v="30.8"/>
    <n v="61.6"/>
    <x v="38"/>
    <d v="2025-02-09T00:00:00"/>
    <x v="2"/>
    <x v="0"/>
    <n v="4"/>
    <x v="0"/>
    <x v="6"/>
    <x v="3"/>
    <x v="5"/>
    <x v="2"/>
  </r>
  <r>
    <x v="964"/>
    <x v="0"/>
    <x v="1"/>
    <n v="12"/>
    <n v="24"/>
    <x v="38"/>
    <d v="2025-02-12T00:00:00"/>
    <x v="2"/>
    <x v="0"/>
    <n v="4"/>
    <x v="0"/>
    <x v="6"/>
    <x v="5"/>
    <x v="5"/>
    <x v="2"/>
  </r>
  <r>
    <x v="965"/>
    <x v="0"/>
    <x v="12"/>
    <n v="13.6"/>
    <n v="54.4"/>
    <x v="38"/>
    <d v="2025-02-11T00:00:00"/>
    <x v="1"/>
    <x v="2"/>
    <n v="4"/>
    <x v="0"/>
    <x v="6"/>
    <x v="2"/>
    <x v="5"/>
    <x v="1"/>
  </r>
  <r>
    <x v="966"/>
    <x v="0"/>
    <x v="0"/>
    <n v="17.899999999999999"/>
    <n v="17.899999999999999"/>
    <x v="38"/>
    <d v="2025-02-09T00:00:00"/>
    <x v="1"/>
    <x v="3"/>
    <n v="4"/>
    <x v="0"/>
    <x v="6"/>
    <x v="3"/>
    <x v="5"/>
    <x v="1"/>
  </r>
  <r>
    <x v="967"/>
    <x v="9"/>
    <x v="1"/>
    <n v="38.6"/>
    <n v="77.2"/>
    <x v="38"/>
    <d v="2025-02-12T00:00:00"/>
    <x v="2"/>
    <x v="4"/>
    <n v="4"/>
    <x v="0"/>
    <x v="7"/>
    <x v="5"/>
    <x v="5"/>
    <x v="2"/>
  </r>
  <r>
    <x v="968"/>
    <x v="5"/>
    <x v="9"/>
    <n v="32.700000000000003"/>
    <n v="163.5"/>
    <x v="38"/>
    <d v="2025-02-09T00:00:00"/>
    <x v="1"/>
    <x v="2"/>
    <n v="5"/>
    <x v="0"/>
    <x v="8"/>
    <x v="3"/>
    <x v="5"/>
    <x v="1"/>
  </r>
  <r>
    <x v="969"/>
    <x v="3"/>
    <x v="1"/>
    <n v="111.4"/>
    <n v="222.8"/>
    <x v="38"/>
    <d v="2025-02-09T00:00:00"/>
    <x v="2"/>
    <x v="1"/>
    <n v="4"/>
    <x v="0"/>
    <x v="8"/>
    <x v="3"/>
    <x v="5"/>
    <x v="2"/>
  </r>
  <r>
    <x v="970"/>
    <x v="2"/>
    <x v="13"/>
    <n v="80.3"/>
    <n v="481.79999999999995"/>
    <x v="38"/>
    <d v="2025-02-10T00:00:00"/>
    <x v="2"/>
    <x v="1"/>
    <n v="4"/>
    <x v="0"/>
    <x v="8"/>
    <x v="1"/>
    <x v="5"/>
    <x v="2"/>
  </r>
  <r>
    <x v="971"/>
    <x v="6"/>
    <x v="1"/>
    <n v="58.9"/>
    <n v="117.8"/>
    <x v="38"/>
    <d v="2025-02-09T00:00:00"/>
    <x v="1"/>
    <x v="1"/>
    <n v="4"/>
    <x v="0"/>
    <x v="8"/>
    <x v="3"/>
    <x v="5"/>
    <x v="1"/>
  </r>
  <r>
    <x v="972"/>
    <x v="6"/>
    <x v="2"/>
    <n v="51.9"/>
    <n v="155.69999999999999"/>
    <x v="38"/>
    <d v="2025-02-10T00:00:00"/>
    <x v="2"/>
    <x v="1"/>
    <n v="2"/>
    <x v="0"/>
    <x v="8"/>
    <x v="1"/>
    <x v="5"/>
    <x v="2"/>
  </r>
  <r>
    <x v="973"/>
    <x v="2"/>
    <x v="2"/>
    <n v="50.3"/>
    <n v="150.89999999999998"/>
    <x v="38"/>
    <d v="2025-02-09T00:00:00"/>
    <x v="1"/>
    <x v="2"/>
    <n v="4"/>
    <x v="0"/>
    <x v="17"/>
    <x v="3"/>
    <x v="5"/>
    <x v="1"/>
  </r>
  <r>
    <x v="974"/>
    <x v="11"/>
    <x v="13"/>
    <n v="45"/>
    <n v="270"/>
    <x v="38"/>
    <d v="2025-02-14T00:00:00"/>
    <x v="2"/>
    <x v="3"/>
    <n v="4"/>
    <x v="0"/>
    <x v="9"/>
    <x v="4"/>
    <x v="5"/>
    <x v="2"/>
  </r>
  <r>
    <x v="975"/>
    <x v="10"/>
    <x v="13"/>
    <n v="44.7"/>
    <n v="268.20000000000005"/>
    <x v="38"/>
    <d v="2025-02-10T00:00:00"/>
    <x v="2"/>
    <x v="2"/>
    <n v="4"/>
    <x v="0"/>
    <x v="11"/>
    <x v="1"/>
    <x v="5"/>
    <x v="2"/>
  </r>
  <r>
    <x v="976"/>
    <x v="18"/>
    <x v="20"/>
    <n v="33"/>
    <n v="495"/>
    <x v="38"/>
    <d v="2025-02-09T00:00:00"/>
    <x v="2"/>
    <x v="2"/>
    <n v="4"/>
    <x v="0"/>
    <x v="11"/>
    <x v="3"/>
    <x v="5"/>
    <x v="2"/>
  </r>
  <r>
    <x v="977"/>
    <x v="1"/>
    <x v="9"/>
    <n v="44.9"/>
    <n v="224.5"/>
    <x v="38"/>
    <d v="2025-02-11T00:00:00"/>
    <x v="2"/>
    <x v="2"/>
    <n v="5"/>
    <x v="0"/>
    <x v="18"/>
    <x v="2"/>
    <x v="5"/>
    <x v="2"/>
  </r>
  <r>
    <x v="978"/>
    <x v="10"/>
    <x v="1"/>
    <n v="34.6"/>
    <n v="69.2"/>
    <x v="38"/>
    <d v="2025-02-12T00:00:00"/>
    <x v="2"/>
    <x v="0"/>
    <n v="3"/>
    <x v="0"/>
    <x v="19"/>
    <x v="5"/>
    <x v="5"/>
    <x v="2"/>
  </r>
  <r>
    <x v="979"/>
    <x v="7"/>
    <x v="3"/>
    <n v="47.1"/>
    <n v="329.7"/>
    <x v="38"/>
    <d v="2025-02-13T00:00:00"/>
    <x v="2"/>
    <x v="0"/>
    <n v="4"/>
    <x v="0"/>
    <x v="13"/>
    <x v="0"/>
    <x v="5"/>
    <x v="2"/>
  </r>
  <r>
    <x v="980"/>
    <x v="4"/>
    <x v="9"/>
    <n v="26.1"/>
    <n v="130.5"/>
    <x v="38"/>
    <d v="2025-02-13T00:00:00"/>
    <x v="1"/>
    <x v="0"/>
    <n v="5"/>
    <x v="0"/>
    <x v="21"/>
    <x v="0"/>
    <x v="5"/>
    <x v="1"/>
  </r>
  <r>
    <x v="981"/>
    <x v="12"/>
    <x v="9"/>
    <n v="66.8"/>
    <n v="334"/>
    <x v="38"/>
    <d v="2025-02-11T00:00:00"/>
    <x v="2"/>
    <x v="0"/>
    <n v="4"/>
    <x v="0"/>
    <x v="21"/>
    <x v="2"/>
    <x v="5"/>
    <x v="2"/>
  </r>
  <r>
    <x v="982"/>
    <x v="2"/>
    <x v="1"/>
    <n v="167.9"/>
    <n v="335.8"/>
    <x v="38"/>
    <d v="2025-02-09T00:00:00"/>
    <x v="2"/>
    <x v="3"/>
    <n v="5"/>
    <x v="0"/>
    <x v="21"/>
    <x v="3"/>
    <x v="5"/>
    <x v="2"/>
  </r>
  <r>
    <x v="983"/>
    <x v="10"/>
    <x v="11"/>
    <n v="34.6"/>
    <n v="311.40000000000003"/>
    <x v="38"/>
    <d v="2025-02-09T00:00:00"/>
    <x v="2"/>
    <x v="2"/>
    <n v="3"/>
    <x v="0"/>
    <x v="21"/>
    <x v="3"/>
    <x v="5"/>
    <x v="2"/>
  </r>
  <r>
    <x v="984"/>
    <x v="8"/>
    <x v="2"/>
    <n v="35.1"/>
    <n v="105.30000000000001"/>
    <x v="39"/>
    <d v="2025-02-13T00:00:00"/>
    <x v="1"/>
    <x v="4"/>
    <n v="5"/>
    <x v="0"/>
    <x v="1"/>
    <x v="5"/>
    <x v="6"/>
    <x v="1"/>
  </r>
  <r>
    <x v="985"/>
    <x v="6"/>
    <x v="12"/>
    <n v="104.5"/>
    <n v="418"/>
    <x v="39"/>
    <d v="2025-02-10T00:00:00"/>
    <x v="1"/>
    <x v="1"/>
    <n v="3"/>
    <x v="0"/>
    <x v="1"/>
    <x v="3"/>
    <x v="6"/>
    <x v="1"/>
  </r>
  <r>
    <x v="986"/>
    <x v="8"/>
    <x v="0"/>
    <n v="37.9"/>
    <n v="37.9"/>
    <x v="39"/>
    <d v="2025-02-11T00:00:00"/>
    <x v="0"/>
    <x v="1"/>
    <n v="5"/>
    <x v="0"/>
    <x v="2"/>
    <x v="1"/>
    <x v="6"/>
    <x v="0"/>
  </r>
  <r>
    <x v="987"/>
    <x v="4"/>
    <x v="2"/>
    <n v="25.5"/>
    <n v="76.5"/>
    <x v="39"/>
    <d v="2025-02-12T00:00:00"/>
    <x v="1"/>
    <x v="3"/>
    <n v="4"/>
    <x v="0"/>
    <x v="2"/>
    <x v="2"/>
    <x v="6"/>
    <x v="1"/>
  </r>
  <r>
    <x v="988"/>
    <x v="0"/>
    <x v="2"/>
    <n v="32"/>
    <n v="96"/>
    <x v="39"/>
    <d v="2025-02-13T00:00:00"/>
    <x v="2"/>
    <x v="1"/>
    <n v="4"/>
    <x v="0"/>
    <x v="22"/>
    <x v="5"/>
    <x v="6"/>
    <x v="2"/>
  </r>
  <r>
    <x v="989"/>
    <x v="1"/>
    <x v="0"/>
    <n v="47.1"/>
    <n v="47.1"/>
    <x v="39"/>
    <d v="2025-02-10T00:00:00"/>
    <x v="2"/>
    <x v="0"/>
    <n v="4"/>
    <x v="0"/>
    <x v="34"/>
    <x v="3"/>
    <x v="6"/>
    <x v="2"/>
  </r>
  <r>
    <x v="990"/>
    <x v="6"/>
    <x v="1"/>
    <n v="50.6"/>
    <n v="101.2"/>
    <x v="39"/>
    <d v="2025-02-15T00:00:00"/>
    <x v="0"/>
    <x v="0"/>
    <n v="4"/>
    <x v="0"/>
    <x v="3"/>
    <x v="4"/>
    <x v="6"/>
    <x v="0"/>
  </r>
  <r>
    <x v="991"/>
    <x v="6"/>
    <x v="9"/>
    <n v="81.7"/>
    <n v="408.5"/>
    <x v="39"/>
    <d v="2025-02-10T00:00:00"/>
    <x v="2"/>
    <x v="1"/>
    <n v="5"/>
    <x v="0"/>
    <x v="3"/>
    <x v="3"/>
    <x v="6"/>
    <x v="2"/>
  </r>
  <r>
    <x v="992"/>
    <x v="5"/>
    <x v="1"/>
    <n v="50.7"/>
    <n v="101.4"/>
    <x v="39"/>
    <d v="2025-02-10T00:00:00"/>
    <x v="3"/>
    <x v="2"/>
    <n v="5"/>
    <x v="0"/>
    <x v="3"/>
    <x v="3"/>
    <x v="6"/>
    <x v="3"/>
  </r>
  <r>
    <x v="993"/>
    <x v="2"/>
    <x v="10"/>
    <n v="67.3"/>
    <n v="1278.7"/>
    <x v="39"/>
    <d v="2025-02-13T00:00:00"/>
    <x v="2"/>
    <x v="2"/>
    <n v="4"/>
    <x v="0"/>
    <x v="3"/>
    <x v="5"/>
    <x v="6"/>
    <x v="2"/>
  </r>
  <r>
    <x v="994"/>
    <x v="2"/>
    <x v="12"/>
    <n v="64.8"/>
    <n v="259.2"/>
    <x v="39"/>
    <d v="2025-02-12T00:00:00"/>
    <x v="2"/>
    <x v="3"/>
    <n v="4"/>
    <x v="0"/>
    <x v="3"/>
    <x v="2"/>
    <x v="6"/>
    <x v="2"/>
  </r>
  <r>
    <x v="995"/>
    <x v="5"/>
    <x v="32"/>
    <n v="61.3"/>
    <n v="1348.6"/>
    <x v="39"/>
    <d v="2025-02-10T00:00:00"/>
    <x v="2"/>
    <x v="0"/>
    <n v="5"/>
    <x v="0"/>
    <x v="3"/>
    <x v="3"/>
    <x v="6"/>
    <x v="2"/>
  </r>
  <r>
    <x v="996"/>
    <x v="14"/>
    <x v="0"/>
    <n v="32.9"/>
    <n v="32.9"/>
    <x v="39"/>
    <d v="2025-02-12T00:00:00"/>
    <x v="2"/>
    <x v="4"/>
    <n v="4"/>
    <x v="0"/>
    <x v="3"/>
    <x v="2"/>
    <x v="6"/>
    <x v="2"/>
  </r>
  <r>
    <x v="997"/>
    <x v="6"/>
    <x v="1"/>
    <n v="100.8"/>
    <n v="201.6"/>
    <x v="39"/>
    <d v="2025-02-12T00:00:00"/>
    <x v="2"/>
    <x v="0"/>
    <n v="4"/>
    <x v="0"/>
    <x v="3"/>
    <x v="2"/>
    <x v="6"/>
    <x v="2"/>
  </r>
  <r>
    <x v="998"/>
    <x v="8"/>
    <x v="12"/>
    <n v="25.1"/>
    <n v="100.4"/>
    <x v="39"/>
    <d v="2025-02-11T00:00:00"/>
    <x v="2"/>
    <x v="1"/>
    <n v="4"/>
    <x v="0"/>
    <x v="3"/>
    <x v="1"/>
    <x v="6"/>
    <x v="2"/>
  </r>
  <r>
    <x v="999"/>
    <x v="17"/>
    <x v="0"/>
    <n v="48.5"/>
    <n v="48.5"/>
    <x v="39"/>
    <d v="2025-02-10T00:00:00"/>
    <x v="2"/>
    <x v="0"/>
    <n v="3"/>
    <x v="0"/>
    <x v="3"/>
    <x v="3"/>
    <x v="6"/>
    <x v="2"/>
  </r>
  <r>
    <x v="1000"/>
    <x v="7"/>
    <x v="1"/>
    <n v="33.6"/>
    <n v="67.2"/>
    <x v="39"/>
    <d v="2025-02-13T00:00:00"/>
    <x v="2"/>
    <x v="2"/>
    <n v="5"/>
    <x v="0"/>
    <x v="3"/>
    <x v="5"/>
    <x v="6"/>
    <x v="2"/>
  </r>
  <r>
    <x v="1001"/>
    <x v="8"/>
    <x v="0"/>
    <n v="39.299999999999997"/>
    <n v="39.299999999999997"/>
    <x v="39"/>
    <d v="2025-02-20T00:00:00"/>
    <x v="2"/>
    <x v="1"/>
    <n v="3"/>
    <x v="0"/>
    <x v="49"/>
    <x v="11"/>
    <x v="6"/>
    <x v="2"/>
  </r>
  <r>
    <x v="1002"/>
    <x v="4"/>
    <x v="7"/>
    <n v="48.8"/>
    <n v="488"/>
    <x v="39"/>
    <d v="2025-02-11T00:00:00"/>
    <x v="2"/>
    <x v="3"/>
    <n v="3"/>
    <x v="0"/>
    <x v="25"/>
    <x v="1"/>
    <x v="6"/>
    <x v="2"/>
  </r>
  <r>
    <x v="1003"/>
    <x v="6"/>
    <x v="8"/>
    <n v="72.8"/>
    <n v="582.4"/>
    <x v="39"/>
    <d v="2025-02-11T00:00:00"/>
    <x v="1"/>
    <x v="1"/>
    <n v="5"/>
    <x v="0"/>
    <x v="5"/>
    <x v="1"/>
    <x v="6"/>
    <x v="1"/>
  </r>
  <r>
    <x v="1004"/>
    <x v="10"/>
    <x v="8"/>
    <n v="46.2"/>
    <n v="369.6"/>
    <x v="39"/>
    <d v="2025-02-10T00:00:00"/>
    <x v="1"/>
    <x v="3"/>
    <n v="2"/>
    <x v="0"/>
    <x v="5"/>
    <x v="3"/>
    <x v="6"/>
    <x v="1"/>
  </r>
  <r>
    <x v="1005"/>
    <x v="4"/>
    <x v="1"/>
    <n v="20.7"/>
    <n v="41.4"/>
    <x v="39"/>
    <d v="2025-02-10T00:00:00"/>
    <x v="2"/>
    <x v="2"/>
    <n v="1"/>
    <x v="0"/>
    <x v="6"/>
    <x v="3"/>
    <x v="6"/>
    <x v="2"/>
  </r>
  <r>
    <x v="1006"/>
    <x v="0"/>
    <x v="0"/>
    <n v="35.700000000000003"/>
    <n v="35.700000000000003"/>
    <x v="39"/>
    <d v="2025-02-11T00:00:00"/>
    <x v="2"/>
    <x v="3"/>
    <n v="4"/>
    <x v="0"/>
    <x v="6"/>
    <x v="1"/>
    <x v="6"/>
    <x v="2"/>
  </r>
  <r>
    <x v="1007"/>
    <x v="2"/>
    <x v="27"/>
    <n v="166.2"/>
    <n v="2659.2"/>
    <x v="39"/>
    <d v="2025-02-11T00:00:00"/>
    <x v="0"/>
    <x v="2"/>
    <n v="4"/>
    <x v="0"/>
    <x v="7"/>
    <x v="1"/>
    <x v="6"/>
    <x v="0"/>
  </r>
  <r>
    <x v="1008"/>
    <x v="6"/>
    <x v="12"/>
    <n v="85.8"/>
    <n v="343.2"/>
    <x v="39"/>
    <d v="2025-02-10T00:00:00"/>
    <x v="2"/>
    <x v="1"/>
    <n v="3"/>
    <x v="0"/>
    <x v="7"/>
    <x v="3"/>
    <x v="6"/>
    <x v="2"/>
  </r>
  <r>
    <x v="1009"/>
    <x v="8"/>
    <x v="2"/>
    <n v="26"/>
    <n v="78"/>
    <x v="39"/>
    <d v="2025-02-11T00:00:00"/>
    <x v="3"/>
    <x v="1"/>
    <n v="4"/>
    <x v="0"/>
    <x v="7"/>
    <x v="1"/>
    <x v="6"/>
    <x v="3"/>
  </r>
  <r>
    <x v="1010"/>
    <x v="2"/>
    <x v="15"/>
    <n v="116.6"/>
    <n v="1515.8"/>
    <x v="39"/>
    <d v="2025-02-12T00:00:00"/>
    <x v="2"/>
    <x v="0"/>
    <n v="4"/>
    <x v="0"/>
    <x v="8"/>
    <x v="2"/>
    <x v="6"/>
    <x v="2"/>
  </r>
  <r>
    <x v="1011"/>
    <x v="9"/>
    <x v="3"/>
    <n v="53.9"/>
    <n v="377.3"/>
    <x v="39"/>
    <d v="2025-02-12T00:00:00"/>
    <x v="3"/>
    <x v="0"/>
    <n v="5"/>
    <x v="0"/>
    <x v="8"/>
    <x v="2"/>
    <x v="6"/>
    <x v="3"/>
  </r>
  <r>
    <x v="1012"/>
    <x v="12"/>
    <x v="9"/>
    <n v="72.3"/>
    <n v="361.5"/>
    <x v="39"/>
    <d v="2025-02-11T00:00:00"/>
    <x v="0"/>
    <x v="2"/>
    <n v="5"/>
    <x v="0"/>
    <x v="8"/>
    <x v="1"/>
    <x v="6"/>
    <x v="0"/>
  </r>
  <r>
    <x v="1013"/>
    <x v="5"/>
    <x v="1"/>
    <n v="31.4"/>
    <n v="62.8"/>
    <x v="39"/>
    <d v="2025-02-11T00:00:00"/>
    <x v="2"/>
    <x v="0"/>
    <n v="4"/>
    <x v="0"/>
    <x v="8"/>
    <x v="1"/>
    <x v="6"/>
    <x v="2"/>
  </r>
  <r>
    <x v="1014"/>
    <x v="13"/>
    <x v="1"/>
    <n v="53.1"/>
    <n v="106.2"/>
    <x v="39"/>
    <d v="2025-02-12T00:00:00"/>
    <x v="1"/>
    <x v="1"/>
    <n v="4"/>
    <x v="0"/>
    <x v="8"/>
    <x v="2"/>
    <x v="6"/>
    <x v="1"/>
  </r>
  <r>
    <x v="1015"/>
    <x v="2"/>
    <x v="12"/>
    <n v="56.2"/>
    <n v="224.8"/>
    <x v="39"/>
    <d v="2025-02-10T00:00:00"/>
    <x v="2"/>
    <x v="0"/>
    <n v="4"/>
    <x v="0"/>
    <x v="8"/>
    <x v="3"/>
    <x v="6"/>
    <x v="2"/>
  </r>
  <r>
    <x v="1016"/>
    <x v="1"/>
    <x v="7"/>
    <n v="77.3"/>
    <n v="773"/>
    <x v="39"/>
    <d v="2025-02-10T00:00:00"/>
    <x v="2"/>
    <x v="2"/>
    <n v="4"/>
    <x v="0"/>
    <x v="11"/>
    <x v="3"/>
    <x v="6"/>
    <x v="2"/>
  </r>
  <r>
    <x v="1017"/>
    <x v="6"/>
    <x v="15"/>
    <n v="57.8"/>
    <n v="751.4"/>
    <x v="39"/>
    <d v="2025-02-10T00:00:00"/>
    <x v="0"/>
    <x v="0"/>
    <n v="4"/>
    <x v="0"/>
    <x v="53"/>
    <x v="3"/>
    <x v="6"/>
    <x v="0"/>
  </r>
  <r>
    <x v="1018"/>
    <x v="12"/>
    <x v="20"/>
    <n v="42.1"/>
    <n v="631.5"/>
    <x v="39"/>
    <d v="2025-02-11T00:00:00"/>
    <x v="2"/>
    <x v="1"/>
    <n v="3"/>
    <x v="0"/>
    <x v="53"/>
    <x v="1"/>
    <x v="6"/>
    <x v="2"/>
  </r>
  <r>
    <x v="1019"/>
    <x v="8"/>
    <x v="11"/>
    <n v="22.8"/>
    <n v="205.20000000000002"/>
    <x v="39"/>
    <d v="2025-02-13T00:00:00"/>
    <x v="1"/>
    <x v="2"/>
    <n v="5"/>
    <x v="0"/>
    <x v="19"/>
    <x v="5"/>
    <x v="6"/>
    <x v="1"/>
  </r>
  <r>
    <x v="1020"/>
    <x v="2"/>
    <x v="2"/>
    <n v="171.1"/>
    <n v="513.29999999999995"/>
    <x v="40"/>
    <d v="2025-02-17T00:00:00"/>
    <x v="2"/>
    <x v="2"/>
    <n v="3"/>
    <x v="0"/>
    <x v="19"/>
    <x v="6"/>
    <x v="6"/>
    <x v="2"/>
  </r>
  <r>
    <x v="1021"/>
    <x v="8"/>
    <x v="0"/>
    <n v="28"/>
    <n v="28"/>
    <x v="40"/>
    <d v="2025-02-12T00:00:00"/>
    <x v="1"/>
    <x v="2"/>
    <n v="5"/>
    <x v="0"/>
    <x v="21"/>
    <x v="1"/>
    <x v="6"/>
    <x v="1"/>
  </r>
  <r>
    <x v="1022"/>
    <x v="6"/>
    <x v="3"/>
    <n v="50.2"/>
    <n v="351.40000000000003"/>
    <x v="40"/>
    <d v="2025-02-12T00:00:00"/>
    <x v="1"/>
    <x v="2"/>
    <n v="4"/>
    <x v="0"/>
    <x v="21"/>
    <x v="1"/>
    <x v="6"/>
    <x v="1"/>
  </r>
  <r>
    <x v="1023"/>
    <x v="6"/>
    <x v="1"/>
    <n v="56"/>
    <n v="112"/>
    <x v="40"/>
    <d v="2025-02-10T00:00:00"/>
    <x v="1"/>
    <x v="0"/>
    <n v="5"/>
    <x v="0"/>
    <x v="22"/>
    <x v="7"/>
    <x v="6"/>
    <x v="1"/>
  </r>
  <r>
    <x v="1024"/>
    <x v="1"/>
    <x v="1"/>
    <n v="38.299999999999997"/>
    <n v="76.599999999999994"/>
    <x v="40"/>
    <d v="2025-02-11T00:00:00"/>
    <x v="2"/>
    <x v="1"/>
    <n v="4"/>
    <x v="0"/>
    <x v="3"/>
    <x v="3"/>
    <x v="6"/>
    <x v="2"/>
  </r>
  <r>
    <x v="1025"/>
    <x v="0"/>
    <x v="9"/>
    <n v="22.3"/>
    <n v="111.5"/>
    <x v="40"/>
    <d v="2025-02-14T00:00:00"/>
    <x v="2"/>
    <x v="2"/>
    <n v="3"/>
    <x v="0"/>
    <x v="3"/>
    <x v="5"/>
    <x v="6"/>
    <x v="2"/>
  </r>
  <r>
    <x v="1026"/>
    <x v="0"/>
    <x v="2"/>
    <n v="22.3"/>
    <n v="66.900000000000006"/>
    <x v="40"/>
    <d v="2025-02-13T00:00:00"/>
    <x v="2"/>
    <x v="2"/>
    <n v="4"/>
    <x v="0"/>
    <x v="3"/>
    <x v="2"/>
    <x v="6"/>
    <x v="2"/>
  </r>
  <r>
    <x v="1027"/>
    <x v="1"/>
    <x v="0"/>
    <n v="32.9"/>
    <n v="32.9"/>
    <x v="40"/>
    <d v="2025-02-15T00:00:00"/>
    <x v="2"/>
    <x v="0"/>
    <n v="4"/>
    <x v="0"/>
    <x v="3"/>
    <x v="0"/>
    <x v="6"/>
    <x v="2"/>
  </r>
  <r>
    <x v="1028"/>
    <x v="10"/>
    <x v="2"/>
    <n v="31.9"/>
    <n v="95.699999999999989"/>
    <x v="40"/>
    <d v="2025-02-15T00:00:00"/>
    <x v="2"/>
    <x v="0"/>
    <n v="4"/>
    <x v="0"/>
    <x v="3"/>
    <x v="0"/>
    <x v="6"/>
    <x v="2"/>
  </r>
  <r>
    <x v="1029"/>
    <x v="6"/>
    <x v="1"/>
    <n v="94"/>
    <n v="188"/>
    <x v="40"/>
    <d v="2025-02-11T00:00:00"/>
    <x v="1"/>
    <x v="2"/>
    <n v="5"/>
    <x v="0"/>
    <x v="3"/>
    <x v="3"/>
    <x v="6"/>
    <x v="1"/>
  </r>
  <r>
    <x v="1030"/>
    <x v="10"/>
    <x v="1"/>
    <n v="30.7"/>
    <n v="61.4"/>
    <x v="40"/>
    <d v="2025-02-11T00:00:00"/>
    <x v="2"/>
    <x v="0"/>
    <n v="3"/>
    <x v="0"/>
    <x v="3"/>
    <x v="3"/>
    <x v="6"/>
    <x v="2"/>
  </r>
  <r>
    <x v="1031"/>
    <x v="5"/>
    <x v="9"/>
    <n v="90.5"/>
    <n v="452.5"/>
    <x v="40"/>
    <d v="2025-02-17T00:00:00"/>
    <x v="1"/>
    <x v="0"/>
    <n v="5"/>
    <x v="0"/>
    <x v="3"/>
    <x v="6"/>
    <x v="6"/>
    <x v="1"/>
  </r>
  <r>
    <x v="1032"/>
    <x v="8"/>
    <x v="9"/>
    <n v="25.3"/>
    <n v="126.5"/>
    <x v="40"/>
    <d v="2025-02-14T00:00:00"/>
    <x v="2"/>
    <x v="0"/>
    <n v="5"/>
    <x v="0"/>
    <x v="3"/>
    <x v="5"/>
    <x v="6"/>
    <x v="2"/>
  </r>
  <r>
    <x v="1033"/>
    <x v="6"/>
    <x v="2"/>
    <n v="58.1"/>
    <n v="174.3"/>
    <x v="40"/>
    <d v="2025-02-14T00:00:00"/>
    <x v="0"/>
    <x v="0"/>
    <n v="5"/>
    <x v="0"/>
    <x v="3"/>
    <x v="5"/>
    <x v="6"/>
    <x v="0"/>
  </r>
  <r>
    <x v="1034"/>
    <x v="2"/>
    <x v="2"/>
    <n v="74.900000000000006"/>
    <n v="224.70000000000002"/>
    <x v="40"/>
    <d v="2025-02-11T00:00:00"/>
    <x v="2"/>
    <x v="4"/>
    <n v="4"/>
    <x v="0"/>
    <x v="3"/>
    <x v="3"/>
    <x v="6"/>
    <x v="2"/>
  </r>
  <r>
    <x v="1035"/>
    <x v="4"/>
    <x v="1"/>
    <n v="32.5"/>
    <n v="65"/>
    <x v="40"/>
    <d v="2025-02-11T00:00:00"/>
    <x v="1"/>
    <x v="2"/>
    <n v="5"/>
    <x v="0"/>
    <x v="43"/>
    <x v="3"/>
    <x v="6"/>
    <x v="1"/>
  </r>
  <r>
    <x v="1036"/>
    <x v="4"/>
    <x v="9"/>
    <n v="62"/>
    <n v="310"/>
    <x v="40"/>
    <d v="2025-02-11T00:00:00"/>
    <x v="1"/>
    <x v="4"/>
    <n v="5"/>
    <x v="0"/>
    <x v="25"/>
    <x v="3"/>
    <x v="6"/>
    <x v="1"/>
  </r>
  <r>
    <x v="1037"/>
    <x v="13"/>
    <x v="13"/>
    <n v="28.9"/>
    <n v="173.39999999999998"/>
    <x v="40"/>
    <d v="2025-02-13T00:00:00"/>
    <x v="2"/>
    <x v="0"/>
    <n v="3"/>
    <x v="0"/>
    <x v="6"/>
    <x v="2"/>
    <x v="6"/>
    <x v="2"/>
  </r>
  <r>
    <x v="1038"/>
    <x v="6"/>
    <x v="8"/>
    <n v="42.8"/>
    <n v="342.4"/>
    <x v="40"/>
    <d v="2025-02-12T00:00:00"/>
    <x v="2"/>
    <x v="0"/>
    <n v="5"/>
    <x v="0"/>
    <x v="6"/>
    <x v="1"/>
    <x v="6"/>
    <x v="2"/>
  </r>
  <r>
    <x v="1039"/>
    <x v="8"/>
    <x v="8"/>
    <n v="39.4"/>
    <n v="315.2"/>
    <x v="40"/>
    <d v="2025-02-12T00:00:00"/>
    <x v="1"/>
    <x v="0"/>
    <n v="4"/>
    <x v="0"/>
    <x v="36"/>
    <x v="1"/>
    <x v="6"/>
    <x v="1"/>
  </r>
  <r>
    <x v="1040"/>
    <x v="18"/>
    <x v="2"/>
    <n v="66.400000000000006"/>
    <n v="199.20000000000002"/>
    <x v="40"/>
    <d v="2025-02-11T00:00:00"/>
    <x v="0"/>
    <x v="2"/>
    <n v="3"/>
    <x v="0"/>
    <x v="7"/>
    <x v="3"/>
    <x v="6"/>
    <x v="0"/>
  </r>
  <r>
    <x v="1041"/>
    <x v="17"/>
    <x v="12"/>
    <n v="35.9"/>
    <n v="143.6"/>
    <x v="40"/>
    <d v="2025-02-17T00:00:00"/>
    <x v="2"/>
    <x v="1"/>
    <n v="4"/>
    <x v="0"/>
    <x v="7"/>
    <x v="6"/>
    <x v="6"/>
    <x v="2"/>
  </r>
  <r>
    <x v="1042"/>
    <x v="0"/>
    <x v="12"/>
    <n v="26.9"/>
    <n v="107.6"/>
    <x v="40"/>
    <d v="2025-02-11T00:00:00"/>
    <x v="1"/>
    <x v="1"/>
    <n v="4"/>
    <x v="0"/>
    <x v="7"/>
    <x v="3"/>
    <x v="6"/>
    <x v="1"/>
  </r>
  <r>
    <x v="1043"/>
    <x v="2"/>
    <x v="0"/>
    <n v="55.1"/>
    <n v="55.1"/>
    <x v="40"/>
    <d v="2025-02-11T00:00:00"/>
    <x v="2"/>
    <x v="0"/>
    <n v="4"/>
    <x v="0"/>
    <x v="7"/>
    <x v="3"/>
    <x v="6"/>
    <x v="2"/>
  </r>
  <r>
    <x v="1044"/>
    <x v="4"/>
    <x v="1"/>
    <n v="23.9"/>
    <n v="47.8"/>
    <x v="40"/>
    <d v="2025-02-11T00:00:00"/>
    <x v="1"/>
    <x v="0"/>
    <n v="5"/>
    <x v="0"/>
    <x v="8"/>
    <x v="3"/>
    <x v="6"/>
    <x v="1"/>
  </r>
  <r>
    <x v="1045"/>
    <x v="9"/>
    <x v="15"/>
    <n v="21.1"/>
    <n v="274.3"/>
    <x v="40"/>
    <d v="2025-02-18T00:00:00"/>
    <x v="2"/>
    <x v="0"/>
    <n v="3"/>
    <x v="0"/>
    <x v="8"/>
    <x v="9"/>
    <x v="6"/>
    <x v="2"/>
  </r>
  <r>
    <x v="1046"/>
    <x v="8"/>
    <x v="9"/>
    <n v="33.799999999999997"/>
    <n v="169"/>
    <x v="40"/>
    <d v="2025-02-12T00:00:00"/>
    <x v="2"/>
    <x v="0"/>
    <n v="4"/>
    <x v="0"/>
    <x v="8"/>
    <x v="1"/>
    <x v="6"/>
    <x v="2"/>
  </r>
  <r>
    <x v="1047"/>
    <x v="2"/>
    <x v="12"/>
    <n v="56.1"/>
    <n v="224.4"/>
    <x v="40"/>
    <d v="2025-02-10T00:00:00"/>
    <x v="2"/>
    <x v="3"/>
    <n v="5"/>
    <x v="0"/>
    <x v="9"/>
    <x v="7"/>
    <x v="6"/>
    <x v="2"/>
  </r>
  <r>
    <x v="1048"/>
    <x v="3"/>
    <x v="0"/>
    <n v="58.5"/>
    <n v="58.5"/>
    <x v="41"/>
    <d v="2025-02-15T00:00:00"/>
    <x v="2"/>
    <x v="1"/>
    <n v="5"/>
    <x v="0"/>
    <x v="9"/>
    <x v="5"/>
    <x v="6"/>
    <x v="2"/>
  </r>
  <r>
    <x v="1049"/>
    <x v="6"/>
    <x v="0"/>
    <n v="84.2"/>
    <n v="84.2"/>
    <x v="41"/>
    <d v="2025-02-13T00:00:00"/>
    <x v="1"/>
    <x v="3"/>
    <n v="4"/>
    <x v="0"/>
    <x v="11"/>
    <x v="1"/>
    <x v="6"/>
    <x v="1"/>
  </r>
  <r>
    <x v="1050"/>
    <x v="11"/>
    <x v="12"/>
    <n v="52"/>
    <n v="208"/>
    <x v="41"/>
    <d v="2025-02-14T00:00:00"/>
    <x v="1"/>
    <x v="0"/>
    <n v="4"/>
    <x v="0"/>
    <x v="11"/>
    <x v="2"/>
    <x v="6"/>
    <x v="1"/>
  </r>
  <r>
    <x v="1051"/>
    <x v="4"/>
    <x v="9"/>
    <n v="31.5"/>
    <n v="157.5"/>
    <x v="41"/>
    <d v="2025-02-12T00:00:00"/>
    <x v="2"/>
    <x v="0"/>
    <n v="5"/>
    <x v="0"/>
    <x v="11"/>
    <x v="3"/>
    <x v="6"/>
    <x v="2"/>
  </r>
  <r>
    <x v="1052"/>
    <x v="16"/>
    <x v="2"/>
    <n v="46.2"/>
    <n v="138.60000000000002"/>
    <x v="41"/>
    <d v="2025-02-12T00:00:00"/>
    <x v="1"/>
    <x v="0"/>
    <n v="4"/>
    <x v="0"/>
    <x v="53"/>
    <x v="3"/>
    <x v="6"/>
    <x v="1"/>
  </r>
  <r>
    <x v="1053"/>
    <x v="2"/>
    <x v="13"/>
    <n v="135"/>
    <n v="810"/>
    <x v="41"/>
    <d v="2025-02-12T00:00:00"/>
    <x v="2"/>
    <x v="1"/>
    <n v="5"/>
    <x v="0"/>
    <x v="18"/>
    <x v="3"/>
    <x v="6"/>
    <x v="2"/>
  </r>
  <r>
    <x v="1054"/>
    <x v="12"/>
    <x v="2"/>
    <n v="92.2"/>
    <n v="276.60000000000002"/>
    <x v="41"/>
    <d v="2025-02-15T00:00:00"/>
    <x v="1"/>
    <x v="0"/>
    <n v="4"/>
    <x v="0"/>
    <x v="21"/>
    <x v="5"/>
    <x v="6"/>
    <x v="1"/>
  </r>
  <r>
    <x v="1055"/>
    <x v="8"/>
    <x v="0"/>
    <n v="36.6"/>
    <n v="36.6"/>
    <x v="41"/>
    <d v="2025-02-13T00:00:00"/>
    <x v="1"/>
    <x v="2"/>
    <n v="5"/>
    <x v="0"/>
    <x v="21"/>
    <x v="1"/>
    <x v="6"/>
    <x v="1"/>
  </r>
  <r>
    <x v="1056"/>
    <x v="9"/>
    <x v="1"/>
    <n v="50.6"/>
    <n v="101.2"/>
    <x v="41"/>
    <d v="2025-02-14T00:00:00"/>
    <x v="2"/>
    <x v="0"/>
    <n v="4"/>
    <x v="0"/>
    <x v="2"/>
    <x v="2"/>
    <x v="6"/>
    <x v="2"/>
  </r>
  <r>
    <x v="1057"/>
    <x v="18"/>
    <x v="3"/>
    <n v="56.7"/>
    <n v="396.90000000000003"/>
    <x v="41"/>
    <d v="2025-02-14T00:00:00"/>
    <x v="2"/>
    <x v="0"/>
    <n v="4"/>
    <x v="0"/>
    <x v="2"/>
    <x v="2"/>
    <x v="6"/>
    <x v="2"/>
  </r>
  <r>
    <x v="1058"/>
    <x v="9"/>
    <x v="15"/>
    <n v="22.9"/>
    <n v="297.7"/>
    <x v="41"/>
    <d v="2025-02-12T00:00:00"/>
    <x v="2"/>
    <x v="0"/>
    <n v="3"/>
    <x v="0"/>
    <x v="44"/>
    <x v="3"/>
    <x v="6"/>
    <x v="2"/>
  </r>
  <r>
    <x v="1059"/>
    <x v="15"/>
    <x v="10"/>
    <n v="53.6"/>
    <n v="1018.4"/>
    <x v="41"/>
    <d v="2025-02-12T00:00:00"/>
    <x v="1"/>
    <x v="0"/>
    <n v="4"/>
    <x v="0"/>
    <x v="22"/>
    <x v="3"/>
    <x v="6"/>
    <x v="1"/>
  </r>
  <r>
    <x v="1060"/>
    <x v="18"/>
    <x v="1"/>
    <n v="30.2"/>
    <n v="60.4"/>
    <x v="41"/>
    <d v="2025-02-13T00:00:00"/>
    <x v="0"/>
    <x v="2"/>
    <n v="5"/>
    <x v="0"/>
    <x v="3"/>
    <x v="1"/>
    <x v="6"/>
    <x v="0"/>
  </r>
  <r>
    <x v="1061"/>
    <x v="15"/>
    <x v="13"/>
    <n v="83.4"/>
    <n v="500.40000000000003"/>
    <x v="41"/>
    <d v="2025-02-12T00:00:00"/>
    <x v="1"/>
    <x v="1"/>
    <n v="5"/>
    <x v="0"/>
    <x v="3"/>
    <x v="3"/>
    <x v="6"/>
    <x v="1"/>
  </r>
  <r>
    <x v="1062"/>
    <x v="13"/>
    <x v="4"/>
    <n v="16.600000000000001"/>
    <n v="199.20000000000002"/>
    <x v="41"/>
    <d v="2025-02-13T00:00:00"/>
    <x v="1"/>
    <x v="1"/>
    <n v="4"/>
    <x v="0"/>
    <x v="3"/>
    <x v="1"/>
    <x v="6"/>
    <x v="1"/>
  </r>
  <r>
    <x v="1063"/>
    <x v="8"/>
    <x v="14"/>
    <n v="21.9"/>
    <n v="372.29999999999995"/>
    <x v="41"/>
    <d v="2025-02-13T00:00:00"/>
    <x v="2"/>
    <x v="4"/>
    <n v="3"/>
    <x v="0"/>
    <x v="3"/>
    <x v="1"/>
    <x v="6"/>
    <x v="2"/>
  </r>
  <r>
    <x v="1064"/>
    <x v="8"/>
    <x v="31"/>
    <n v="33.799999999999997"/>
    <n v="946.39999999999986"/>
    <x v="41"/>
    <d v="2025-02-13T00:00:00"/>
    <x v="1"/>
    <x v="2"/>
    <n v="2"/>
    <x v="0"/>
    <x v="3"/>
    <x v="1"/>
    <x v="6"/>
    <x v="1"/>
  </r>
  <r>
    <x v="1065"/>
    <x v="18"/>
    <x v="1"/>
    <n v="53.2"/>
    <n v="106.4"/>
    <x v="41"/>
    <d v="2025-02-11T00:00:00"/>
    <x v="1"/>
    <x v="1"/>
    <n v="4"/>
    <x v="0"/>
    <x v="3"/>
    <x v="7"/>
    <x v="6"/>
    <x v="1"/>
  </r>
  <r>
    <x v="1066"/>
    <x v="2"/>
    <x v="1"/>
    <n v="176.7"/>
    <n v="353.4"/>
    <x v="41"/>
    <d v="2025-02-14T00:00:00"/>
    <x v="2"/>
    <x v="2"/>
    <n v="4"/>
    <x v="0"/>
    <x v="3"/>
    <x v="2"/>
    <x v="6"/>
    <x v="2"/>
  </r>
  <r>
    <x v="1067"/>
    <x v="12"/>
    <x v="2"/>
    <n v="54"/>
    <n v="162"/>
    <x v="41"/>
    <d v="2025-02-14T00:00:00"/>
    <x v="1"/>
    <x v="0"/>
    <n v="3"/>
    <x v="0"/>
    <x v="3"/>
    <x v="2"/>
    <x v="6"/>
    <x v="1"/>
  </r>
  <r>
    <x v="1068"/>
    <x v="9"/>
    <x v="1"/>
    <n v="70.099999999999994"/>
    <n v="140.19999999999999"/>
    <x v="41"/>
    <d v="2025-02-19T00:00:00"/>
    <x v="2"/>
    <x v="3"/>
    <n v="5"/>
    <x v="0"/>
    <x v="3"/>
    <x v="9"/>
    <x v="6"/>
    <x v="2"/>
  </r>
  <r>
    <x v="1069"/>
    <x v="8"/>
    <x v="0"/>
    <n v="26.5"/>
    <n v="26.5"/>
    <x v="41"/>
    <d v="2025-02-13T00:00:00"/>
    <x v="2"/>
    <x v="1"/>
    <n v="4"/>
    <x v="0"/>
    <x v="3"/>
    <x v="1"/>
    <x v="6"/>
    <x v="2"/>
  </r>
  <r>
    <x v="1070"/>
    <x v="7"/>
    <x v="9"/>
    <n v="89"/>
    <n v="445"/>
    <x v="41"/>
    <d v="2025-02-13T00:00:00"/>
    <x v="1"/>
    <x v="2"/>
    <n v="2"/>
    <x v="0"/>
    <x v="3"/>
    <x v="1"/>
    <x v="6"/>
    <x v="1"/>
  </r>
  <r>
    <x v="1071"/>
    <x v="1"/>
    <x v="13"/>
    <n v="47"/>
    <n v="282"/>
    <x v="41"/>
    <d v="2025-02-14T00:00:00"/>
    <x v="2"/>
    <x v="3"/>
    <n v="4"/>
    <x v="0"/>
    <x v="24"/>
    <x v="2"/>
    <x v="6"/>
    <x v="2"/>
  </r>
  <r>
    <x v="1072"/>
    <x v="3"/>
    <x v="1"/>
    <n v="55.2"/>
    <n v="110.4"/>
    <x v="41"/>
    <d v="2025-02-14T00:00:00"/>
    <x v="1"/>
    <x v="1"/>
    <n v="3"/>
    <x v="0"/>
    <x v="6"/>
    <x v="2"/>
    <x v="6"/>
    <x v="1"/>
  </r>
  <r>
    <x v="1073"/>
    <x v="8"/>
    <x v="39"/>
    <n v="33.299999999999997"/>
    <n v="1398.6"/>
    <x v="41"/>
    <d v="2025-02-25T00:00:00"/>
    <x v="1"/>
    <x v="1"/>
    <n v="5"/>
    <x v="0"/>
    <x v="6"/>
    <x v="12"/>
    <x v="6"/>
    <x v="1"/>
  </r>
  <r>
    <x v="1074"/>
    <x v="2"/>
    <x v="12"/>
    <n v="110.9"/>
    <n v="443.6"/>
    <x v="42"/>
    <d v="2025-02-12T00:00:00"/>
    <x v="1"/>
    <x v="2"/>
    <n v="2"/>
    <x v="0"/>
    <x v="6"/>
    <x v="7"/>
    <x v="6"/>
    <x v="1"/>
  </r>
  <r>
    <x v="1075"/>
    <x v="2"/>
    <x v="13"/>
    <n v="67.3"/>
    <n v="403.79999999999995"/>
    <x v="42"/>
    <d v="2025-02-13T00:00:00"/>
    <x v="1"/>
    <x v="0"/>
    <n v="4"/>
    <x v="0"/>
    <x v="8"/>
    <x v="3"/>
    <x v="6"/>
    <x v="1"/>
  </r>
  <r>
    <x v="1076"/>
    <x v="6"/>
    <x v="2"/>
    <n v="69.7"/>
    <n v="209.10000000000002"/>
    <x v="42"/>
    <d v="2025-02-13T00:00:00"/>
    <x v="1"/>
    <x v="2"/>
    <n v="3"/>
    <x v="0"/>
    <x v="8"/>
    <x v="3"/>
    <x v="6"/>
    <x v="1"/>
  </r>
  <r>
    <x v="1077"/>
    <x v="5"/>
    <x v="0"/>
    <n v="39.1"/>
    <n v="39.1"/>
    <x v="42"/>
    <d v="2025-02-17T00:00:00"/>
    <x v="1"/>
    <x v="0"/>
    <n v="3"/>
    <x v="0"/>
    <x v="17"/>
    <x v="0"/>
    <x v="6"/>
    <x v="1"/>
  </r>
  <r>
    <x v="1078"/>
    <x v="2"/>
    <x v="2"/>
    <n v="208.6"/>
    <n v="625.79999999999995"/>
    <x v="42"/>
    <d v="2025-02-12T00:00:00"/>
    <x v="1"/>
    <x v="4"/>
    <n v="5"/>
    <x v="0"/>
    <x v="17"/>
    <x v="7"/>
    <x v="6"/>
    <x v="1"/>
  </r>
  <r>
    <x v="1079"/>
    <x v="15"/>
    <x v="2"/>
    <n v="27.8"/>
    <n v="83.4"/>
    <x v="42"/>
    <d v="2025-02-13T00:00:00"/>
    <x v="1"/>
    <x v="3"/>
    <n v="3"/>
    <x v="0"/>
    <x v="11"/>
    <x v="3"/>
    <x v="6"/>
    <x v="1"/>
  </r>
  <r>
    <x v="1080"/>
    <x v="10"/>
    <x v="9"/>
    <n v="29.4"/>
    <n v="147"/>
    <x v="42"/>
    <d v="2025-02-14T00:00:00"/>
    <x v="2"/>
    <x v="0"/>
    <n v="4"/>
    <x v="0"/>
    <x v="11"/>
    <x v="1"/>
    <x v="6"/>
    <x v="2"/>
  </r>
  <r>
    <x v="1081"/>
    <x v="9"/>
    <x v="1"/>
    <n v="29.2"/>
    <n v="58.4"/>
    <x v="42"/>
    <d v="2025-02-14T00:00:00"/>
    <x v="2"/>
    <x v="1"/>
    <n v="5"/>
    <x v="0"/>
    <x v="20"/>
    <x v="1"/>
    <x v="6"/>
    <x v="2"/>
  </r>
  <r>
    <x v="1082"/>
    <x v="10"/>
    <x v="9"/>
    <n v="26.5"/>
    <n v="132.5"/>
    <x v="42"/>
    <d v="2025-02-14T00:00:00"/>
    <x v="2"/>
    <x v="0"/>
    <n v="4"/>
    <x v="0"/>
    <x v="52"/>
    <x v="1"/>
    <x v="6"/>
    <x v="2"/>
  </r>
  <r>
    <x v="1083"/>
    <x v="5"/>
    <x v="0"/>
    <n v="30.3"/>
    <n v="30.3"/>
    <x v="42"/>
    <d v="2025-02-13T00:00:00"/>
    <x v="2"/>
    <x v="4"/>
    <n v="3"/>
    <x v="0"/>
    <x v="13"/>
    <x v="3"/>
    <x v="6"/>
    <x v="2"/>
  </r>
  <r>
    <x v="1084"/>
    <x v="16"/>
    <x v="4"/>
    <n v="39.700000000000003"/>
    <n v="476.40000000000003"/>
    <x v="42"/>
    <d v="2025-02-13T00:00:00"/>
    <x v="2"/>
    <x v="0"/>
    <n v="4"/>
    <x v="0"/>
    <x v="21"/>
    <x v="3"/>
    <x v="6"/>
    <x v="2"/>
  </r>
  <r>
    <x v="1085"/>
    <x v="7"/>
    <x v="7"/>
    <n v="58.9"/>
    <n v="589"/>
    <x v="42"/>
    <d v="2025-02-14T00:00:00"/>
    <x v="2"/>
    <x v="1"/>
    <n v="2"/>
    <x v="0"/>
    <x v="21"/>
    <x v="1"/>
    <x v="6"/>
    <x v="2"/>
  </r>
  <r>
    <x v="1086"/>
    <x v="2"/>
    <x v="1"/>
    <n v="174.1"/>
    <n v="348.2"/>
    <x v="42"/>
    <d v="2025-02-14T00:00:00"/>
    <x v="2"/>
    <x v="0"/>
    <n v="3"/>
    <x v="0"/>
    <x v="46"/>
    <x v="1"/>
    <x v="6"/>
    <x v="2"/>
  </r>
  <r>
    <x v="1087"/>
    <x v="6"/>
    <x v="1"/>
    <n v="70.8"/>
    <n v="141.6"/>
    <x v="42"/>
    <d v="2025-02-15T00:00:00"/>
    <x v="1"/>
    <x v="2"/>
    <n v="4"/>
    <x v="0"/>
    <x v="22"/>
    <x v="2"/>
    <x v="6"/>
    <x v="1"/>
  </r>
  <r>
    <x v="1088"/>
    <x v="7"/>
    <x v="1"/>
    <n v="57.4"/>
    <n v="114.8"/>
    <x v="42"/>
    <d v="2025-02-14T00:00:00"/>
    <x v="2"/>
    <x v="1"/>
    <n v="3"/>
    <x v="0"/>
    <x v="34"/>
    <x v="1"/>
    <x v="6"/>
    <x v="2"/>
  </r>
  <r>
    <x v="1089"/>
    <x v="0"/>
    <x v="1"/>
    <n v="28.5"/>
    <n v="57"/>
    <x v="42"/>
    <d v="2025-02-14T00:00:00"/>
    <x v="1"/>
    <x v="3"/>
    <n v="3"/>
    <x v="0"/>
    <x v="3"/>
    <x v="1"/>
    <x v="6"/>
    <x v="1"/>
  </r>
  <r>
    <x v="1090"/>
    <x v="2"/>
    <x v="28"/>
    <n v="106.6"/>
    <n v="2132"/>
    <x v="42"/>
    <d v="2025-02-13T00:00:00"/>
    <x v="0"/>
    <x v="1"/>
    <n v="2"/>
    <x v="0"/>
    <x v="3"/>
    <x v="3"/>
    <x v="6"/>
    <x v="0"/>
  </r>
  <r>
    <x v="1091"/>
    <x v="2"/>
    <x v="2"/>
    <n v="119.7"/>
    <n v="359.1"/>
    <x v="42"/>
    <d v="2025-02-13T00:00:00"/>
    <x v="2"/>
    <x v="1"/>
    <n v="2"/>
    <x v="0"/>
    <x v="3"/>
    <x v="3"/>
    <x v="6"/>
    <x v="2"/>
  </r>
  <r>
    <x v="1092"/>
    <x v="18"/>
    <x v="0"/>
    <n v="73.3"/>
    <n v="73.3"/>
    <x v="42"/>
    <d v="2025-02-17T00:00:00"/>
    <x v="2"/>
    <x v="0"/>
    <n v="5"/>
    <x v="0"/>
    <x v="3"/>
    <x v="0"/>
    <x v="6"/>
    <x v="2"/>
  </r>
  <r>
    <x v="1093"/>
    <x v="0"/>
    <x v="1"/>
    <n v="25.8"/>
    <n v="51.6"/>
    <x v="42"/>
    <d v="2025-02-26T00:00:00"/>
    <x v="1"/>
    <x v="2"/>
    <n v="4"/>
    <x v="0"/>
    <x v="3"/>
    <x v="12"/>
    <x v="6"/>
    <x v="1"/>
  </r>
  <r>
    <x v="1094"/>
    <x v="17"/>
    <x v="2"/>
    <n v="49.1"/>
    <n v="147.30000000000001"/>
    <x v="42"/>
    <d v="2025-02-14T00:00:00"/>
    <x v="2"/>
    <x v="0"/>
    <n v="4"/>
    <x v="0"/>
    <x v="24"/>
    <x v="1"/>
    <x v="6"/>
    <x v="2"/>
  </r>
  <r>
    <x v="1095"/>
    <x v="1"/>
    <x v="0"/>
    <n v="44.9"/>
    <n v="44.9"/>
    <x v="42"/>
    <d v="2025-02-15T00:00:00"/>
    <x v="2"/>
    <x v="3"/>
    <n v="5"/>
    <x v="0"/>
    <x v="6"/>
    <x v="2"/>
    <x v="6"/>
    <x v="2"/>
  </r>
  <r>
    <x v="1096"/>
    <x v="15"/>
    <x v="3"/>
    <n v="29.9"/>
    <n v="209.29999999999998"/>
    <x v="42"/>
    <d v="2025-02-13T00:00:00"/>
    <x v="2"/>
    <x v="0"/>
    <n v="4"/>
    <x v="0"/>
    <x v="6"/>
    <x v="3"/>
    <x v="6"/>
    <x v="2"/>
  </r>
  <r>
    <x v="1097"/>
    <x v="7"/>
    <x v="1"/>
    <n v="54.3"/>
    <n v="108.6"/>
    <x v="43"/>
    <d v="2025-02-14T00:00:00"/>
    <x v="1"/>
    <x v="3"/>
    <n v="4"/>
    <x v="0"/>
    <x v="36"/>
    <x v="3"/>
    <x v="6"/>
    <x v="1"/>
  </r>
  <r>
    <x v="1098"/>
    <x v="9"/>
    <x v="12"/>
    <n v="57"/>
    <n v="228"/>
    <x v="43"/>
    <d v="2025-02-15T00:00:00"/>
    <x v="2"/>
    <x v="0"/>
    <n v="4"/>
    <x v="0"/>
    <x v="8"/>
    <x v="1"/>
    <x v="6"/>
    <x v="2"/>
  </r>
  <r>
    <x v="1099"/>
    <x v="2"/>
    <x v="0"/>
    <n v="139.19999999999999"/>
    <n v="139.19999999999999"/>
    <x v="43"/>
    <d v="2025-02-14T00:00:00"/>
    <x v="2"/>
    <x v="3"/>
    <n v="5"/>
    <x v="0"/>
    <x v="8"/>
    <x v="3"/>
    <x v="6"/>
    <x v="2"/>
  </r>
  <r>
    <x v="1100"/>
    <x v="10"/>
    <x v="0"/>
    <n v="33"/>
    <n v="33"/>
    <x v="43"/>
    <d v="2025-02-16T00:00:00"/>
    <x v="2"/>
    <x v="0"/>
    <n v="5"/>
    <x v="0"/>
    <x v="8"/>
    <x v="2"/>
    <x v="6"/>
    <x v="2"/>
  </r>
  <r>
    <x v="1101"/>
    <x v="11"/>
    <x v="13"/>
    <n v="80.2"/>
    <n v="481.20000000000005"/>
    <x v="43"/>
    <d v="2025-02-15T00:00:00"/>
    <x v="1"/>
    <x v="1"/>
    <n v="2"/>
    <x v="0"/>
    <x v="8"/>
    <x v="1"/>
    <x v="6"/>
    <x v="1"/>
  </r>
  <r>
    <x v="1102"/>
    <x v="18"/>
    <x v="8"/>
    <n v="49"/>
    <n v="392"/>
    <x v="43"/>
    <d v="2025-02-14T00:00:00"/>
    <x v="0"/>
    <x v="2"/>
    <n v="3"/>
    <x v="0"/>
    <x v="9"/>
    <x v="3"/>
    <x v="6"/>
    <x v="0"/>
  </r>
  <r>
    <x v="1103"/>
    <x v="1"/>
    <x v="12"/>
    <n v="104.4"/>
    <n v="417.6"/>
    <x v="43"/>
    <d v="2025-02-13T00:00:00"/>
    <x v="2"/>
    <x v="0"/>
    <n v="4"/>
    <x v="0"/>
    <x v="9"/>
    <x v="7"/>
    <x v="6"/>
    <x v="2"/>
  </r>
  <r>
    <x v="1104"/>
    <x v="3"/>
    <x v="0"/>
    <n v="41.6"/>
    <n v="41.6"/>
    <x v="43"/>
    <d v="2025-02-16T00:00:00"/>
    <x v="1"/>
    <x v="3"/>
    <n v="4"/>
    <x v="0"/>
    <x v="11"/>
    <x v="2"/>
    <x v="6"/>
    <x v="1"/>
  </r>
  <r>
    <x v="1105"/>
    <x v="19"/>
    <x v="1"/>
    <n v="16.399999999999999"/>
    <n v="32.799999999999997"/>
    <x v="43"/>
    <d v="2025-02-14T00:00:00"/>
    <x v="3"/>
    <x v="0"/>
    <n v="5"/>
    <x v="0"/>
    <x v="11"/>
    <x v="3"/>
    <x v="6"/>
    <x v="3"/>
  </r>
  <r>
    <x v="1106"/>
    <x v="8"/>
    <x v="1"/>
    <n v="22"/>
    <n v="44"/>
    <x v="43"/>
    <d v="2025-02-14T00:00:00"/>
    <x v="1"/>
    <x v="2"/>
    <n v="5"/>
    <x v="0"/>
    <x v="53"/>
    <x v="3"/>
    <x v="6"/>
    <x v="1"/>
  </r>
  <r>
    <x v="1107"/>
    <x v="15"/>
    <x v="1"/>
    <n v="33.6"/>
    <n v="67.2"/>
    <x v="43"/>
    <d v="2025-02-18T00:00:00"/>
    <x v="2"/>
    <x v="0"/>
    <n v="4"/>
    <x v="0"/>
    <x v="21"/>
    <x v="0"/>
    <x v="6"/>
    <x v="2"/>
  </r>
  <r>
    <x v="1108"/>
    <x v="11"/>
    <x v="13"/>
    <n v="43"/>
    <n v="258"/>
    <x v="43"/>
    <d v="2025-02-14T00:00:00"/>
    <x v="2"/>
    <x v="2"/>
    <n v="4"/>
    <x v="0"/>
    <x v="21"/>
    <x v="3"/>
    <x v="6"/>
    <x v="2"/>
  </r>
  <r>
    <x v="1109"/>
    <x v="6"/>
    <x v="9"/>
    <n v="108.8"/>
    <n v="544"/>
    <x v="43"/>
    <d v="2025-02-16T00:00:00"/>
    <x v="2"/>
    <x v="4"/>
    <n v="5"/>
    <x v="0"/>
    <x v="21"/>
    <x v="2"/>
    <x v="6"/>
    <x v="2"/>
  </r>
  <r>
    <x v="1110"/>
    <x v="0"/>
    <x v="11"/>
    <n v="29.3"/>
    <n v="263.7"/>
    <x v="43"/>
    <d v="2025-02-15T00:00:00"/>
    <x v="1"/>
    <x v="4"/>
    <n v="5"/>
    <x v="0"/>
    <x v="21"/>
    <x v="1"/>
    <x v="6"/>
    <x v="1"/>
  </r>
  <r>
    <x v="1111"/>
    <x v="2"/>
    <x v="0"/>
    <n v="122.7"/>
    <n v="122.7"/>
    <x v="43"/>
    <d v="2025-02-16T00:00:00"/>
    <x v="3"/>
    <x v="0"/>
    <n v="5"/>
    <x v="0"/>
    <x v="1"/>
    <x v="2"/>
    <x v="6"/>
    <x v="3"/>
  </r>
  <r>
    <x v="1112"/>
    <x v="4"/>
    <x v="3"/>
    <n v="22.9"/>
    <n v="160.29999999999998"/>
    <x v="43"/>
    <d v="2025-02-14T00:00:00"/>
    <x v="2"/>
    <x v="0"/>
    <n v="4"/>
    <x v="0"/>
    <x v="42"/>
    <x v="3"/>
    <x v="6"/>
    <x v="2"/>
  </r>
  <r>
    <x v="1113"/>
    <x v="8"/>
    <x v="7"/>
    <n v="25.5"/>
    <n v="255"/>
    <x v="43"/>
    <d v="2025-02-20T00:00:00"/>
    <x v="2"/>
    <x v="0"/>
    <n v="4"/>
    <x v="0"/>
    <x v="33"/>
    <x v="6"/>
    <x v="6"/>
    <x v="2"/>
  </r>
  <r>
    <x v="1114"/>
    <x v="17"/>
    <x v="2"/>
    <n v="23.4"/>
    <n v="70.199999999999989"/>
    <x v="43"/>
    <d v="2025-02-17T00:00:00"/>
    <x v="2"/>
    <x v="0"/>
    <n v="5"/>
    <x v="0"/>
    <x v="3"/>
    <x v="5"/>
    <x v="6"/>
    <x v="2"/>
  </r>
  <r>
    <x v="1115"/>
    <x v="5"/>
    <x v="8"/>
    <n v="27.4"/>
    <n v="219.2"/>
    <x v="43"/>
    <d v="2025-02-16T00:00:00"/>
    <x v="2"/>
    <x v="2"/>
    <n v="4"/>
    <x v="0"/>
    <x v="3"/>
    <x v="2"/>
    <x v="6"/>
    <x v="2"/>
  </r>
  <r>
    <x v="1116"/>
    <x v="5"/>
    <x v="9"/>
    <n v="68.400000000000006"/>
    <n v="342"/>
    <x v="43"/>
    <d v="2025-02-14T00:00:00"/>
    <x v="2"/>
    <x v="0"/>
    <n v="4"/>
    <x v="0"/>
    <x v="3"/>
    <x v="3"/>
    <x v="6"/>
    <x v="2"/>
  </r>
  <r>
    <x v="1117"/>
    <x v="6"/>
    <x v="0"/>
    <n v="51.9"/>
    <n v="51.9"/>
    <x v="43"/>
    <d v="2025-02-13T00:00:00"/>
    <x v="2"/>
    <x v="0"/>
    <n v="4"/>
    <x v="0"/>
    <x v="3"/>
    <x v="7"/>
    <x v="6"/>
    <x v="2"/>
  </r>
  <r>
    <x v="1118"/>
    <x v="0"/>
    <x v="9"/>
    <n v="26.4"/>
    <n v="132"/>
    <x v="43"/>
    <d v="2025-02-16T00:00:00"/>
    <x v="2"/>
    <x v="0"/>
    <n v="5"/>
    <x v="0"/>
    <x v="3"/>
    <x v="2"/>
    <x v="6"/>
    <x v="2"/>
  </r>
  <r>
    <x v="1119"/>
    <x v="12"/>
    <x v="1"/>
    <n v="117"/>
    <n v="234"/>
    <x v="43"/>
    <d v="2025-02-14T00:00:00"/>
    <x v="2"/>
    <x v="1"/>
    <n v="3"/>
    <x v="0"/>
    <x v="3"/>
    <x v="3"/>
    <x v="6"/>
    <x v="2"/>
  </r>
  <r>
    <x v="1120"/>
    <x v="7"/>
    <x v="2"/>
    <n v="49.6"/>
    <n v="148.80000000000001"/>
    <x v="44"/>
    <d v="2025-02-16T00:00:00"/>
    <x v="2"/>
    <x v="0"/>
    <n v="4"/>
    <x v="0"/>
    <x v="3"/>
    <x v="1"/>
    <x v="6"/>
    <x v="2"/>
  </r>
  <r>
    <x v="1121"/>
    <x v="4"/>
    <x v="2"/>
    <n v="38"/>
    <n v="114"/>
    <x v="44"/>
    <d v="2025-02-17T00:00:00"/>
    <x v="1"/>
    <x v="2"/>
    <n v="2"/>
    <x v="0"/>
    <x v="3"/>
    <x v="2"/>
    <x v="6"/>
    <x v="1"/>
  </r>
  <r>
    <x v="1122"/>
    <x v="0"/>
    <x v="2"/>
    <n v="20.6"/>
    <n v="61.800000000000004"/>
    <x v="44"/>
    <d v="2025-02-16T00:00:00"/>
    <x v="2"/>
    <x v="4"/>
    <n v="5"/>
    <x v="0"/>
    <x v="3"/>
    <x v="1"/>
    <x v="6"/>
    <x v="2"/>
  </r>
  <r>
    <x v="1123"/>
    <x v="0"/>
    <x v="1"/>
    <n v="16"/>
    <n v="32"/>
    <x v="44"/>
    <d v="2025-02-15T00:00:00"/>
    <x v="1"/>
    <x v="1"/>
    <n v="3"/>
    <x v="0"/>
    <x v="49"/>
    <x v="3"/>
    <x v="6"/>
    <x v="1"/>
  </r>
  <r>
    <x v="1124"/>
    <x v="15"/>
    <x v="12"/>
    <n v="49.3"/>
    <n v="197.2"/>
    <x v="44"/>
    <d v="2025-02-15T00:00:00"/>
    <x v="2"/>
    <x v="2"/>
    <n v="4"/>
    <x v="0"/>
    <x v="23"/>
    <x v="3"/>
    <x v="6"/>
    <x v="2"/>
  </r>
  <r>
    <x v="1125"/>
    <x v="9"/>
    <x v="1"/>
    <n v="24.1"/>
    <n v="48.2"/>
    <x v="44"/>
    <d v="2025-02-18T00:00:00"/>
    <x v="2"/>
    <x v="0"/>
    <n v="4"/>
    <x v="0"/>
    <x v="6"/>
    <x v="5"/>
    <x v="6"/>
    <x v="2"/>
  </r>
  <r>
    <x v="1126"/>
    <x v="15"/>
    <x v="8"/>
    <n v="32.700000000000003"/>
    <n v="261.60000000000002"/>
    <x v="44"/>
    <d v="2025-02-15T00:00:00"/>
    <x v="2"/>
    <x v="1"/>
    <n v="4"/>
    <x v="0"/>
    <x v="6"/>
    <x v="3"/>
    <x v="6"/>
    <x v="2"/>
  </r>
  <r>
    <x v="1127"/>
    <x v="6"/>
    <x v="2"/>
    <n v="74.400000000000006"/>
    <n v="223.20000000000002"/>
    <x v="44"/>
    <d v="2025-02-15T00:00:00"/>
    <x v="2"/>
    <x v="3"/>
    <n v="5"/>
    <x v="0"/>
    <x v="8"/>
    <x v="3"/>
    <x v="6"/>
    <x v="2"/>
  </r>
  <r>
    <x v="1128"/>
    <x v="12"/>
    <x v="0"/>
    <n v="45.6"/>
    <n v="45.6"/>
    <x v="44"/>
    <d v="2025-02-18T00:00:00"/>
    <x v="2"/>
    <x v="4"/>
    <n v="4"/>
    <x v="0"/>
    <x v="8"/>
    <x v="5"/>
    <x v="6"/>
    <x v="2"/>
  </r>
  <r>
    <x v="1129"/>
    <x v="8"/>
    <x v="8"/>
    <n v="19.600000000000001"/>
    <n v="156.80000000000001"/>
    <x v="44"/>
    <d v="2025-02-27T00:00:00"/>
    <x v="2"/>
    <x v="0"/>
    <n v="4"/>
    <x v="0"/>
    <x v="8"/>
    <x v="10"/>
    <x v="6"/>
    <x v="2"/>
  </r>
  <r>
    <x v="1130"/>
    <x v="9"/>
    <x v="0"/>
    <n v="51.8"/>
    <n v="51.8"/>
    <x v="44"/>
    <d v="2025-02-15T00:00:00"/>
    <x v="2"/>
    <x v="1"/>
    <n v="4"/>
    <x v="0"/>
    <x v="8"/>
    <x v="3"/>
    <x v="6"/>
    <x v="2"/>
  </r>
  <r>
    <x v="1131"/>
    <x v="6"/>
    <x v="0"/>
    <n v="74.7"/>
    <n v="74.7"/>
    <x v="44"/>
    <d v="2025-02-15T00:00:00"/>
    <x v="1"/>
    <x v="0"/>
    <n v="3"/>
    <x v="0"/>
    <x v="8"/>
    <x v="3"/>
    <x v="6"/>
    <x v="1"/>
  </r>
  <r>
    <x v="1132"/>
    <x v="19"/>
    <x v="2"/>
    <n v="22.4"/>
    <n v="67.199999999999989"/>
    <x v="44"/>
    <d v="2025-02-15T00:00:00"/>
    <x v="2"/>
    <x v="1"/>
    <n v="5"/>
    <x v="0"/>
    <x v="9"/>
    <x v="3"/>
    <x v="6"/>
    <x v="2"/>
  </r>
  <r>
    <x v="1133"/>
    <x v="1"/>
    <x v="12"/>
    <n v="31.4"/>
    <n v="125.6"/>
    <x v="44"/>
    <d v="2025-02-15T00:00:00"/>
    <x v="2"/>
    <x v="1"/>
    <n v="4"/>
    <x v="0"/>
    <x v="9"/>
    <x v="3"/>
    <x v="6"/>
    <x v="2"/>
  </r>
  <r>
    <x v="1134"/>
    <x v="6"/>
    <x v="0"/>
    <n v="94"/>
    <n v="94"/>
    <x v="44"/>
    <d v="2025-02-14T00:00:00"/>
    <x v="2"/>
    <x v="1"/>
    <n v="5"/>
    <x v="0"/>
    <x v="10"/>
    <x v="7"/>
    <x v="6"/>
    <x v="2"/>
  </r>
  <r>
    <x v="1135"/>
    <x v="10"/>
    <x v="0"/>
    <n v="22.3"/>
    <n v="22.3"/>
    <x v="44"/>
    <d v="2025-02-15T00:00:00"/>
    <x v="1"/>
    <x v="4"/>
    <n v="4"/>
    <x v="0"/>
    <x v="20"/>
    <x v="3"/>
    <x v="6"/>
    <x v="1"/>
  </r>
  <r>
    <x v="1136"/>
    <x v="0"/>
    <x v="0"/>
    <n v="21.9"/>
    <n v="21.9"/>
    <x v="44"/>
    <d v="2025-02-17T00:00:00"/>
    <x v="2"/>
    <x v="2"/>
    <n v="4"/>
    <x v="0"/>
    <x v="21"/>
    <x v="2"/>
    <x v="6"/>
    <x v="2"/>
  </r>
  <r>
    <x v="1137"/>
    <x v="17"/>
    <x v="2"/>
    <n v="27"/>
    <n v="81"/>
    <x v="44"/>
    <d v="2025-02-16T00:00:00"/>
    <x v="2"/>
    <x v="4"/>
    <n v="5"/>
    <x v="0"/>
    <x v="2"/>
    <x v="1"/>
    <x v="6"/>
    <x v="2"/>
  </r>
  <r>
    <x v="1138"/>
    <x v="2"/>
    <x v="12"/>
    <n v="149.6"/>
    <n v="598.4"/>
    <x v="44"/>
    <d v="2025-02-14T00:00:00"/>
    <x v="2"/>
    <x v="4"/>
    <n v="4"/>
    <x v="0"/>
    <x v="22"/>
    <x v="7"/>
    <x v="6"/>
    <x v="2"/>
  </r>
  <r>
    <x v="1139"/>
    <x v="2"/>
    <x v="12"/>
    <n v="129.1"/>
    <n v="516.4"/>
    <x v="44"/>
    <d v="2025-02-24T00:00:00"/>
    <x v="1"/>
    <x v="0"/>
    <n v="3"/>
    <x v="0"/>
    <x v="3"/>
    <x v="14"/>
    <x v="6"/>
    <x v="1"/>
  </r>
  <r>
    <x v="1140"/>
    <x v="1"/>
    <x v="4"/>
    <n v="40.4"/>
    <n v="484.79999999999995"/>
    <x v="44"/>
    <d v="2025-02-15T00:00:00"/>
    <x v="1"/>
    <x v="1"/>
    <n v="3"/>
    <x v="0"/>
    <x v="3"/>
    <x v="3"/>
    <x v="6"/>
    <x v="1"/>
  </r>
  <r>
    <x v="1141"/>
    <x v="4"/>
    <x v="2"/>
    <n v="48.5"/>
    <n v="145.5"/>
    <x v="44"/>
    <d v="2025-02-16T00:00:00"/>
    <x v="2"/>
    <x v="0"/>
    <n v="2"/>
    <x v="0"/>
    <x v="3"/>
    <x v="1"/>
    <x v="6"/>
    <x v="2"/>
  </r>
  <r>
    <x v="1142"/>
    <x v="9"/>
    <x v="1"/>
    <n v="37.6"/>
    <n v="75.2"/>
    <x v="44"/>
    <d v="2025-02-16T00:00:00"/>
    <x v="2"/>
    <x v="1"/>
    <n v="5"/>
    <x v="0"/>
    <x v="3"/>
    <x v="1"/>
    <x v="6"/>
    <x v="2"/>
  </r>
  <r>
    <x v="1143"/>
    <x v="8"/>
    <x v="1"/>
    <n v="19.600000000000001"/>
    <n v="39.200000000000003"/>
    <x v="44"/>
    <d v="2025-02-15T00:00:00"/>
    <x v="1"/>
    <x v="3"/>
    <n v="2"/>
    <x v="0"/>
    <x v="43"/>
    <x v="3"/>
    <x v="6"/>
    <x v="1"/>
  </r>
  <r>
    <x v="1144"/>
    <x v="8"/>
    <x v="9"/>
    <n v="18.5"/>
    <n v="92.5"/>
    <x v="44"/>
    <d v="2025-02-15T00:00:00"/>
    <x v="2"/>
    <x v="2"/>
    <n v="3"/>
    <x v="0"/>
    <x v="6"/>
    <x v="3"/>
    <x v="6"/>
    <x v="2"/>
  </r>
  <r>
    <x v="1145"/>
    <x v="5"/>
    <x v="2"/>
    <n v="25.5"/>
    <n v="76.5"/>
    <x v="44"/>
    <d v="2025-02-16T00:00:00"/>
    <x v="2"/>
    <x v="4"/>
    <n v="3"/>
    <x v="0"/>
    <x v="6"/>
    <x v="1"/>
    <x v="6"/>
    <x v="2"/>
  </r>
  <r>
    <x v="1146"/>
    <x v="2"/>
    <x v="1"/>
    <n v="94.7"/>
    <n v="189.4"/>
    <x v="44"/>
    <d v="2025-02-15T00:00:00"/>
    <x v="2"/>
    <x v="2"/>
    <n v="4"/>
    <x v="0"/>
    <x v="36"/>
    <x v="3"/>
    <x v="6"/>
    <x v="2"/>
  </r>
  <r>
    <x v="1147"/>
    <x v="1"/>
    <x v="13"/>
    <n v="38.799999999999997"/>
    <n v="232.79999999999998"/>
    <x v="44"/>
    <d v="2025-02-19T00:00:00"/>
    <x v="2"/>
    <x v="2"/>
    <n v="5"/>
    <x v="0"/>
    <x v="8"/>
    <x v="0"/>
    <x v="6"/>
    <x v="2"/>
  </r>
  <r>
    <x v="1148"/>
    <x v="9"/>
    <x v="1"/>
    <n v="49.4"/>
    <n v="98.8"/>
    <x v="45"/>
    <d v="2025-02-23T00:00:00"/>
    <x v="1"/>
    <x v="4"/>
    <n v="3"/>
    <x v="0"/>
    <x v="8"/>
    <x v="9"/>
    <x v="6"/>
    <x v="1"/>
  </r>
  <r>
    <x v="1149"/>
    <x v="7"/>
    <x v="2"/>
    <n v="68"/>
    <n v="204"/>
    <x v="45"/>
    <d v="2025-02-18T00:00:00"/>
    <x v="1"/>
    <x v="0"/>
    <n v="5"/>
    <x v="0"/>
    <x v="8"/>
    <x v="2"/>
    <x v="6"/>
    <x v="1"/>
  </r>
  <r>
    <x v="1150"/>
    <x v="15"/>
    <x v="3"/>
    <n v="63.7"/>
    <n v="445.90000000000003"/>
    <x v="45"/>
    <d v="2025-02-16T00:00:00"/>
    <x v="2"/>
    <x v="2"/>
    <n v="5"/>
    <x v="0"/>
    <x v="8"/>
    <x v="3"/>
    <x v="6"/>
    <x v="2"/>
  </r>
  <r>
    <x v="1151"/>
    <x v="10"/>
    <x v="1"/>
    <n v="66.2"/>
    <n v="132.4"/>
    <x v="45"/>
    <d v="2025-02-16T00:00:00"/>
    <x v="2"/>
    <x v="4"/>
    <n v="5"/>
    <x v="0"/>
    <x v="17"/>
    <x v="3"/>
    <x v="6"/>
    <x v="2"/>
  </r>
  <r>
    <x v="1152"/>
    <x v="12"/>
    <x v="2"/>
    <n v="32.299999999999997"/>
    <n v="96.899999999999991"/>
    <x v="45"/>
    <d v="2025-02-16T00:00:00"/>
    <x v="3"/>
    <x v="2"/>
    <n v="3"/>
    <x v="0"/>
    <x v="9"/>
    <x v="3"/>
    <x v="6"/>
    <x v="3"/>
  </r>
  <r>
    <x v="1153"/>
    <x v="4"/>
    <x v="1"/>
    <n v="66.900000000000006"/>
    <n v="133.80000000000001"/>
    <x v="45"/>
    <d v="2025-02-18T00:00:00"/>
    <x v="1"/>
    <x v="1"/>
    <n v="4"/>
    <x v="0"/>
    <x v="11"/>
    <x v="2"/>
    <x v="6"/>
    <x v="1"/>
  </r>
  <r>
    <x v="1154"/>
    <x v="4"/>
    <x v="4"/>
    <n v="25.2"/>
    <n v="302.39999999999998"/>
    <x v="45"/>
    <d v="2025-02-19T00:00:00"/>
    <x v="2"/>
    <x v="0"/>
    <n v="3"/>
    <x v="0"/>
    <x v="11"/>
    <x v="5"/>
    <x v="6"/>
    <x v="2"/>
  </r>
  <r>
    <x v="1155"/>
    <x v="10"/>
    <x v="13"/>
    <n v="29.5"/>
    <n v="177"/>
    <x v="45"/>
    <d v="2025-02-16T00:00:00"/>
    <x v="1"/>
    <x v="2"/>
    <n v="4"/>
    <x v="0"/>
    <x v="11"/>
    <x v="3"/>
    <x v="6"/>
    <x v="1"/>
  </r>
  <r>
    <x v="1156"/>
    <x v="8"/>
    <x v="9"/>
    <n v="21.6"/>
    <n v="108"/>
    <x v="45"/>
    <d v="2025-02-17T00:00:00"/>
    <x v="2"/>
    <x v="0"/>
    <n v="5"/>
    <x v="0"/>
    <x v="32"/>
    <x v="1"/>
    <x v="6"/>
    <x v="2"/>
  </r>
  <r>
    <x v="1157"/>
    <x v="12"/>
    <x v="2"/>
    <n v="69"/>
    <n v="207"/>
    <x v="45"/>
    <d v="2025-02-16T00:00:00"/>
    <x v="2"/>
    <x v="0"/>
    <n v="4"/>
    <x v="0"/>
    <x v="18"/>
    <x v="3"/>
    <x v="6"/>
    <x v="2"/>
  </r>
  <r>
    <x v="1158"/>
    <x v="7"/>
    <x v="1"/>
    <n v="115"/>
    <n v="230"/>
    <x v="45"/>
    <d v="2025-02-19T00:00:00"/>
    <x v="1"/>
    <x v="0"/>
    <n v="5"/>
    <x v="0"/>
    <x v="18"/>
    <x v="5"/>
    <x v="6"/>
    <x v="1"/>
  </r>
  <r>
    <x v="1159"/>
    <x v="2"/>
    <x v="1"/>
    <n v="109.3"/>
    <n v="218.6"/>
    <x v="45"/>
    <d v="2025-02-17T00:00:00"/>
    <x v="0"/>
    <x v="3"/>
    <n v="3"/>
    <x v="0"/>
    <x v="19"/>
    <x v="1"/>
    <x v="6"/>
    <x v="0"/>
  </r>
  <r>
    <x v="1160"/>
    <x v="9"/>
    <x v="1"/>
    <n v="66.599999999999994"/>
    <n v="133.19999999999999"/>
    <x v="45"/>
    <d v="2025-02-18T00:00:00"/>
    <x v="0"/>
    <x v="4"/>
    <n v="3"/>
    <x v="0"/>
    <x v="19"/>
    <x v="2"/>
    <x v="6"/>
    <x v="0"/>
  </r>
  <r>
    <x v="1161"/>
    <x v="12"/>
    <x v="9"/>
    <n v="47.7"/>
    <n v="238.5"/>
    <x v="45"/>
    <d v="2025-02-16T00:00:00"/>
    <x v="1"/>
    <x v="3"/>
    <n v="5"/>
    <x v="0"/>
    <x v="21"/>
    <x v="3"/>
    <x v="6"/>
    <x v="1"/>
  </r>
  <r>
    <x v="1162"/>
    <x v="8"/>
    <x v="1"/>
    <n v="46"/>
    <n v="92"/>
    <x v="45"/>
    <d v="2025-02-16T00:00:00"/>
    <x v="2"/>
    <x v="4"/>
    <n v="2"/>
    <x v="0"/>
    <x v="22"/>
    <x v="3"/>
    <x v="6"/>
    <x v="2"/>
  </r>
  <r>
    <x v="1163"/>
    <x v="1"/>
    <x v="13"/>
    <n v="39.299999999999997"/>
    <n v="235.79999999999998"/>
    <x v="45"/>
    <d v="2025-02-17T00:00:00"/>
    <x v="1"/>
    <x v="3"/>
    <n v="5"/>
    <x v="0"/>
    <x v="3"/>
    <x v="1"/>
    <x v="6"/>
    <x v="1"/>
  </r>
  <r>
    <x v="1164"/>
    <x v="9"/>
    <x v="0"/>
    <n v="70.2"/>
    <n v="70.2"/>
    <x v="45"/>
    <d v="2025-02-16T00:00:00"/>
    <x v="2"/>
    <x v="0"/>
    <n v="2"/>
    <x v="0"/>
    <x v="3"/>
    <x v="3"/>
    <x v="6"/>
    <x v="2"/>
  </r>
  <r>
    <x v="1165"/>
    <x v="3"/>
    <x v="12"/>
    <n v="71.5"/>
    <n v="286"/>
    <x v="45"/>
    <d v="2025-02-15T00:00:00"/>
    <x v="2"/>
    <x v="1"/>
    <n v="5"/>
    <x v="0"/>
    <x v="3"/>
    <x v="7"/>
    <x v="6"/>
    <x v="2"/>
  </r>
  <r>
    <x v="1166"/>
    <x v="10"/>
    <x v="3"/>
    <n v="31"/>
    <n v="217"/>
    <x v="45"/>
    <d v="2025-02-22T00:00:00"/>
    <x v="2"/>
    <x v="3"/>
    <n v="5"/>
    <x v="0"/>
    <x v="3"/>
    <x v="6"/>
    <x v="6"/>
    <x v="2"/>
  </r>
  <r>
    <x v="1167"/>
    <x v="2"/>
    <x v="9"/>
    <n v="68.2"/>
    <n v="341"/>
    <x v="45"/>
    <d v="2025-02-20T00:00:00"/>
    <x v="2"/>
    <x v="0"/>
    <n v="5"/>
    <x v="0"/>
    <x v="3"/>
    <x v="0"/>
    <x v="6"/>
    <x v="2"/>
  </r>
  <r>
    <x v="1168"/>
    <x v="2"/>
    <x v="0"/>
    <n v="91.4"/>
    <n v="91.4"/>
    <x v="45"/>
    <d v="2025-02-19T00:00:00"/>
    <x v="2"/>
    <x v="1"/>
    <n v="5"/>
    <x v="0"/>
    <x v="6"/>
    <x v="5"/>
    <x v="6"/>
    <x v="2"/>
  </r>
  <r>
    <x v="1169"/>
    <x v="6"/>
    <x v="7"/>
    <n v="112.9"/>
    <n v="1129"/>
    <x v="45"/>
    <d v="2025-02-16T00:00:00"/>
    <x v="2"/>
    <x v="0"/>
    <n v="4"/>
    <x v="0"/>
    <x v="6"/>
    <x v="3"/>
    <x v="6"/>
    <x v="2"/>
  </r>
  <r>
    <x v="1170"/>
    <x v="17"/>
    <x v="11"/>
    <n v="33.700000000000003"/>
    <n v="303.3"/>
    <x v="45"/>
    <d v="2025-02-16T00:00:00"/>
    <x v="2"/>
    <x v="1"/>
    <n v="5"/>
    <x v="0"/>
    <x v="8"/>
    <x v="3"/>
    <x v="6"/>
    <x v="2"/>
  </r>
  <r>
    <x v="1171"/>
    <x v="15"/>
    <x v="7"/>
    <n v="35.299999999999997"/>
    <n v="353"/>
    <x v="45"/>
    <d v="2025-02-17T00:00:00"/>
    <x v="1"/>
    <x v="2"/>
    <n v="4"/>
    <x v="0"/>
    <x v="8"/>
    <x v="1"/>
    <x v="6"/>
    <x v="1"/>
  </r>
  <r>
    <x v="1172"/>
    <x v="18"/>
    <x v="2"/>
    <n v="45.6"/>
    <n v="136.80000000000001"/>
    <x v="45"/>
    <d v="2025-02-19T00:00:00"/>
    <x v="1"/>
    <x v="3"/>
    <n v="4"/>
    <x v="0"/>
    <x v="8"/>
    <x v="5"/>
    <x v="6"/>
    <x v="1"/>
  </r>
  <r>
    <x v="1173"/>
    <x v="7"/>
    <x v="3"/>
    <n v="47.1"/>
    <n v="329.7"/>
    <x v="45"/>
    <d v="2025-02-16T00:00:00"/>
    <x v="2"/>
    <x v="4"/>
    <n v="5"/>
    <x v="0"/>
    <x v="9"/>
    <x v="3"/>
    <x v="6"/>
    <x v="2"/>
  </r>
  <r>
    <x v="1174"/>
    <x v="8"/>
    <x v="9"/>
    <n v="16.2"/>
    <n v="81"/>
    <x v="45"/>
    <d v="2025-02-17T00:00:00"/>
    <x v="2"/>
    <x v="3"/>
    <n v="5"/>
    <x v="0"/>
    <x v="19"/>
    <x v="1"/>
    <x v="6"/>
    <x v="2"/>
  </r>
  <r>
    <x v="1175"/>
    <x v="1"/>
    <x v="1"/>
    <n v="159.69999999999999"/>
    <n v="319.39999999999998"/>
    <x v="46"/>
    <d v="2025-02-17T00:00:00"/>
    <x v="1"/>
    <x v="4"/>
    <n v="4"/>
    <x v="0"/>
    <x v="13"/>
    <x v="3"/>
    <x v="7"/>
    <x v="1"/>
  </r>
  <r>
    <x v="1176"/>
    <x v="8"/>
    <x v="12"/>
    <n v="19"/>
    <n v="76"/>
    <x v="46"/>
    <d v="2025-02-23T00:00:00"/>
    <x v="2"/>
    <x v="2"/>
    <n v="5"/>
    <x v="0"/>
    <x v="21"/>
    <x v="6"/>
    <x v="7"/>
    <x v="2"/>
  </r>
  <r>
    <x v="1177"/>
    <x v="6"/>
    <x v="13"/>
    <n v="91.1"/>
    <n v="546.59999999999991"/>
    <x v="46"/>
    <d v="2025-02-25T00:00:00"/>
    <x v="2"/>
    <x v="4"/>
    <n v="4"/>
    <x v="0"/>
    <x v="21"/>
    <x v="8"/>
    <x v="7"/>
    <x v="2"/>
  </r>
  <r>
    <x v="1178"/>
    <x v="2"/>
    <x v="9"/>
    <n v="94.1"/>
    <n v="470.5"/>
    <x v="46"/>
    <d v="2025-02-19T00:00:00"/>
    <x v="0"/>
    <x v="1"/>
    <n v="3"/>
    <x v="0"/>
    <x v="21"/>
    <x v="2"/>
    <x v="7"/>
    <x v="0"/>
  </r>
  <r>
    <x v="1179"/>
    <x v="9"/>
    <x v="11"/>
    <n v="21.1"/>
    <n v="189.9"/>
    <x v="46"/>
    <d v="2025-02-17T00:00:00"/>
    <x v="2"/>
    <x v="4"/>
    <n v="5"/>
    <x v="0"/>
    <x v="51"/>
    <x v="3"/>
    <x v="7"/>
    <x v="2"/>
  </r>
  <r>
    <x v="1180"/>
    <x v="8"/>
    <x v="3"/>
    <n v="15.3"/>
    <n v="107.10000000000001"/>
    <x v="46"/>
    <d v="2025-02-24T00:00:00"/>
    <x v="2"/>
    <x v="2"/>
    <n v="4"/>
    <x v="0"/>
    <x v="1"/>
    <x v="9"/>
    <x v="7"/>
    <x v="2"/>
  </r>
  <r>
    <x v="1181"/>
    <x v="15"/>
    <x v="12"/>
    <n v="21.3"/>
    <n v="85.2"/>
    <x v="46"/>
    <d v="2025-02-19T00:00:00"/>
    <x v="1"/>
    <x v="1"/>
    <n v="4"/>
    <x v="0"/>
    <x v="3"/>
    <x v="2"/>
    <x v="7"/>
    <x v="1"/>
  </r>
  <r>
    <x v="1182"/>
    <x v="0"/>
    <x v="1"/>
    <n v="23.2"/>
    <n v="46.4"/>
    <x v="46"/>
    <d v="2025-02-16T00:00:00"/>
    <x v="0"/>
    <x v="3"/>
    <n v="3"/>
    <x v="0"/>
    <x v="3"/>
    <x v="7"/>
    <x v="7"/>
    <x v="0"/>
  </r>
  <r>
    <x v="1183"/>
    <x v="4"/>
    <x v="2"/>
    <n v="25.7"/>
    <n v="77.099999999999994"/>
    <x v="46"/>
    <d v="2025-02-17T00:00:00"/>
    <x v="1"/>
    <x v="4"/>
    <n v="4"/>
    <x v="0"/>
    <x v="3"/>
    <x v="3"/>
    <x v="7"/>
    <x v="1"/>
  </r>
  <r>
    <x v="1184"/>
    <x v="0"/>
    <x v="11"/>
    <n v="31.6"/>
    <n v="284.40000000000003"/>
    <x v="46"/>
    <d v="2025-02-18T00:00:00"/>
    <x v="2"/>
    <x v="0"/>
    <n v="4"/>
    <x v="0"/>
    <x v="3"/>
    <x v="1"/>
    <x v="7"/>
    <x v="2"/>
  </r>
  <r>
    <x v="1185"/>
    <x v="6"/>
    <x v="0"/>
    <n v="64.2"/>
    <n v="64.2"/>
    <x v="46"/>
    <d v="2025-02-21T00:00:00"/>
    <x v="1"/>
    <x v="0"/>
    <n v="4"/>
    <x v="0"/>
    <x v="3"/>
    <x v="0"/>
    <x v="7"/>
    <x v="1"/>
  </r>
  <r>
    <x v="1186"/>
    <x v="8"/>
    <x v="1"/>
    <n v="55.8"/>
    <n v="111.6"/>
    <x v="46"/>
    <d v="2025-02-18T00:00:00"/>
    <x v="0"/>
    <x v="0"/>
    <n v="4"/>
    <x v="0"/>
    <x v="3"/>
    <x v="1"/>
    <x v="7"/>
    <x v="0"/>
  </r>
  <r>
    <x v="1187"/>
    <x v="8"/>
    <x v="1"/>
    <n v="28.1"/>
    <n v="56.2"/>
    <x v="46"/>
    <d v="2025-02-17T00:00:00"/>
    <x v="2"/>
    <x v="4"/>
    <n v="3"/>
    <x v="0"/>
    <x v="3"/>
    <x v="3"/>
    <x v="7"/>
    <x v="2"/>
  </r>
  <r>
    <x v="1188"/>
    <x v="0"/>
    <x v="1"/>
    <n v="11.6"/>
    <n v="23.2"/>
    <x v="46"/>
    <d v="2025-02-18T00:00:00"/>
    <x v="2"/>
    <x v="1"/>
    <n v="4"/>
    <x v="0"/>
    <x v="24"/>
    <x v="1"/>
    <x v="7"/>
    <x v="2"/>
  </r>
  <r>
    <x v="1189"/>
    <x v="5"/>
    <x v="2"/>
    <n v="50.4"/>
    <n v="151.19999999999999"/>
    <x v="46"/>
    <d v="2025-02-17T00:00:00"/>
    <x v="1"/>
    <x v="4"/>
    <n v="5"/>
    <x v="0"/>
    <x v="25"/>
    <x v="3"/>
    <x v="7"/>
    <x v="1"/>
  </r>
  <r>
    <x v="1190"/>
    <x v="6"/>
    <x v="13"/>
    <n v="48.3"/>
    <n v="289.79999999999995"/>
    <x v="46"/>
    <d v="2025-02-20T00:00:00"/>
    <x v="2"/>
    <x v="0"/>
    <n v="4"/>
    <x v="0"/>
    <x v="25"/>
    <x v="5"/>
    <x v="7"/>
    <x v="2"/>
  </r>
  <r>
    <x v="1191"/>
    <x v="17"/>
    <x v="3"/>
    <n v="32.200000000000003"/>
    <n v="225.40000000000003"/>
    <x v="46"/>
    <d v="2025-02-18T00:00:00"/>
    <x v="2"/>
    <x v="2"/>
    <n v="4"/>
    <x v="0"/>
    <x v="25"/>
    <x v="1"/>
    <x v="7"/>
    <x v="2"/>
  </r>
  <r>
    <x v="1192"/>
    <x v="7"/>
    <x v="31"/>
    <n v="48.5"/>
    <n v="1358"/>
    <x v="46"/>
    <d v="2025-02-17T00:00:00"/>
    <x v="1"/>
    <x v="0"/>
    <n v="4"/>
    <x v="0"/>
    <x v="5"/>
    <x v="3"/>
    <x v="7"/>
    <x v="1"/>
  </r>
  <r>
    <x v="1193"/>
    <x v="2"/>
    <x v="9"/>
    <n v="62"/>
    <n v="310"/>
    <x v="46"/>
    <d v="2025-02-19T00:00:00"/>
    <x v="2"/>
    <x v="1"/>
    <n v="4"/>
    <x v="0"/>
    <x v="6"/>
    <x v="2"/>
    <x v="7"/>
    <x v="2"/>
  </r>
  <r>
    <x v="1194"/>
    <x v="8"/>
    <x v="2"/>
    <n v="32.1"/>
    <n v="96.300000000000011"/>
    <x v="47"/>
    <d v="2025-02-19T00:00:00"/>
    <x v="1"/>
    <x v="0"/>
    <n v="4"/>
    <x v="0"/>
    <x v="6"/>
    <x v="1"/>
    <x v="7"/>
    <x v="1"/>
  </r>
  <r>
    <x v="1195"/>
    <x v="12"/>
    <x v="2"/>
    <n v="106.1"/>
    <n v="318.29999999999995"/>
    <x v="47"/>
    <d v="2025-02-19T00:00:00"/>
    <x v="1"/>
    <x v="0"/>
    <n v="3"/>
    <x v="0"/>
    <x v="7"/>
    <x v="1"/>
    <x v="7"/>
    <x v="1"/>
  </r>
  <r>
    <x v="1196"/>
    <x v="10"/>
    <x v="2"/>
    <n v="23.5"/>
    <n v="70.5"/>
    <x v="47"/>
    <d v="2025-02-20T00:00:00"/>
    <x v="1"/>
    <x v="0"/>
    <n v="2"/>
    <x v="0"/>
    <x v="7"/>
    <x v="2"/>
    <x v="7"/>
    <x v="1"/>
  </r>
  <r>
    <x v="1197"/>
    <x v="1"/>
    <x v="1"/>
    <n v="35.6"/>
    <n v="71.2"/>
    <x v="47"/>
    <d v="2025-02-22T00:00:00"/>
    <x v="1"/>
    <x v="4"/>
    <n v="4"/>
    <x v="0"/>
    <x v="8"/>
    <x v="0"/>
    <x v="7"/>
    <x v="1"/>
  </r>
  <r>
    <x v="1198"/>
    <x v="1"/>
    <x v="1"/>
    <n v="63.5"/>
    <n v="127"/>
    <x v="47"/>
    <d v="2025-02-17T00:00:00"/>
    <x v="2"/>
    <x v="1"/>
    <n v="5"/>
    <x v="0"/>
    <x v="8"/>
    <x v="7"/>
    <x v="7"/>
    <x v="2"/>
  </r>
  <r>
    <x v="1199"/>
    <x v="6"/>
    <x v="3"/>
    <n v="82.9"/>
    <n v="580.30000000000007"/>
    <x v="47"/>
    <d v="2025-02-22T00:00:00"/>
    <x v="2"/>
    <x v="4"/>
    <n v="4"/>
    <x v="0"/>
    <x v="9"/>
    <x v="0"/>
    <x v="7"/>
    <x v="2"/>
  </r>
  <r>
    <x v="1200"/>
    <x v="6"/>
    <x v="1"/>
    <n v="83.6"/>
    <n v="167.2"/>
    <x v="47"/>
    <d v="2025-02-22T00:00:00"/>
    <x v="2"/>
    <x v="0"/>
    <n v="4"/>
    <x v="0"/>
    <x v="11"/>
    <x v="0"/>
    <x v="7"/>
    <x v="2"/>
  </r>
  <r>
    <x v="1201"/>
    <x v="4"/>
    <x v="1"/>
    <n v="29.4"/>
    <n v="58.8"/>
    <x v="47"/>
    <d v="2025-02-17T00:00:00"/>
    <x v="2"/>
    <x v="0"/>
    <n v="3"/>
    <x v="0"/>
    <x v="30"/>
    <x v="7"/>
    <x v="7"/>
    <x v="2"/>
  </r>
  <r>
    <x v="1202"/>
    <x v="2"/>
    <x v="2"/>
    <n v="107.1"/>
    <n v="321.29999999999995"/>
    <x v="47"/>
    <d v="2025-02-21T00:00:00"/>
    <x v="2"/>
    <x v="2"/>
    <n v="4"/>
    <x v="0"/>
    <x v="20"/>
    <x v="5"/>
    <x v="7"/>
    <x v="2"/>
  </r>
  <r>
    <x v="1203"/>
    <x v="2"/>
    <x v="0"/>
    <n v="62.7"/>
    <n v="62.7"/>
    <x v="47"/>
    <d v="2025-02-21T00:00:00"/>
    <x v="1"/>
    <x v="1"/>
    <n v="4"/>
    <x v="0"/>
    <x v="21"/>
    <x v="5"/>
    <x v="7"/>
    <x v="1"/>
  </r>
  <r>
    <x v="1204"/>
    <x v="11"/>
    <x v="0"/>
    <n v="41.6"/>
    <n v="41.6"/>
    <x v="47"/>
    <d v="2025-02-18T00:00:00"/>
    <x v="1"/>
    <x v="0"/>
    <n v="3"/>
    <x v="0"/>
    <x v="1"/>
    <x v="3"/>
    <x v="7"/>
    <x v="1"/>
  </r>
  <r>
    <x v="1205"/>
    <x v="6"/>
    <x v="0"/>
    <n v="44.2"/>
    <n v="44.2"/>
    <x v="47"/>
    <d v="2025-02-18T00:00:00"/>
    <x v="3"/>
    <x v="0"/>
    <n v="3"/>
    <x v="0"/>
    <x v="1"/>
    <x v="3"/>
    <x v="7"/>
    <x v="3"/>
  </r>
  <r>
    <x v="1206"/>
    <x v="4"/>
    <x v="13"/>
    <n v="40.4"/>
    <n v="242.39999999999998"/>
    <x v="47"/>
    <d v="2025-03-02T00:00:00"/>
    <x v="2"/>
    <x v="2"/>
    <n v="4"/>
    <x v="0"/>
    <x v="22"/>
    <x v="10"/>
    <x v="7"/>
    <x v="2"/>
  </r>
  <r>
    <x v="1207"/>
    <x v="15"/>
    <x v="13"/>
    <n v="59.6"/>
    <n v="357.6"/>
    <x v="47"/>
    <d v="2025-02-18T00:00:00"/>
    <x v="2"/>
    <x v="4"/>
    <n v="4"/>
    <x v="0"/>
    <x v="34"/>
    <x v="3"/>
    <x v="7"/>
    <x v="2"/>
  </r>
  <r>
    <x v="1208"/>
    <x v="17"/>
    <x v="4"/>
    <n v="63.8"/>
    <n v="765.59999999999991"/>
    <x v="47"/>
    <d v="2025-02-18T00:00:00"/>
    <x v="1"/>
    <x v="1"/>
    <n v="4"/>
    <x v="0"/>
    <x v="3"/>
    <x v="3"/>
    <x v="7"/>
    <x v="1"/>
  </r>
  <r>
    <x v="1209"/>
    <x v="9"/>
    <x v="13"/>
    <n v="30.8"/>
    <n v="184.8"/>
    <x v="47"/>
    <d v="2025-02-19T00:00:00"/>
    <x v="1"/>
    <x v="4"/>
    <n v="4"/>
    <x v="0"/>
    <x v="3"/>
    <x v="1"/>
    <x v="7"/>
    <x v="1"/>
  </r>
  <r>
    <x v="1210"/>
    <x v="1"/>
    <x v="1"/>
    <n v="41.5"/>
    <n v="83"/>
    <x v="47"/>
    <d v="2025-02-20T00:00:00"/>
    <x v="3"/>
    <x v="0"/>
    <n v="4"/>
    <x v="0"/>
    <x v="3"/>
    <x v="2"/>
    <x v="7"/>
    <x v="3"/>
  </r>
  <r>
    <x v="1211"/>
    <x v="10"/>
    <x v="12"/>
    <n v="44.7"/>
    <n v="178.8"/>
    <x v="47"/>
    <d v="2025-02-19T00:00:00"/>
    <x v="2"/>
    <x v="2"/>
    <n v="3"/>
    <x v="0"/>
    <x v="3"/>
    <x v="1"/>
    <x v="7"/>
    <x v="2"/>
  </r>
  <r>
    <x v="1212"/>
    <x v="12"/>
    <x v="1"/>
    <n v="64.099999999999994"/>
    <n v="128.19999999999999"/>
    <x v="47"/>
    <d v="2025-02-21T00:00:00"/>
    <x v="2"/>
    <x v="1"/>
    <n v="2"/>
    <x v="0"/>
    <x v="3"/>
    <x v="5"/>
    <x v="7"/>
    <x v="2"/>
  </r>
  <r>
    <x v="1213"/>
    <x v="8"/>
    <x v="0"/>
    <n v="15.9"/>
    <n v="15.9"/>
    <x v="47"/>
    <d v="2025-02-20T00:00:00"/>
    <x v="0"/>
    <x v="1"/>
    <n v="4"/>
    <x v="0"/>
    <x v="3"/>
    <x v="2"/>
    <x v="7"/>
    <x v="0"/>
  </r>
  <r>
    <x v="1214"/>
    <x v="6"/>
    <x v="1"/>
    <n v="78.7"/>
    <n v="157.4"/>
    <x v="47"/>
    <d v="2025-02-17T00:00:00"/>
    <x v="2"/>
    <x v="2"/>
    <n v="3"/>
    <x v="0"/>
    <x v="3"/>
    <x v="7"/>
    <x v="7"/>
    <x v="2"/>
  </r>
  <r>
    <x v="1215"/>
    <x v="5"/>
    <x v="4"/>
    <n v="29.6"/>
    <n v="355.20000000000005"/>
    <x v="47"/>
    <d v="2025-02-21T00:00:00"/>
    <x v="1"/>
    <x v="2"/>
    <n v="2"/>
    <x v="0"/>
    <x v="3"/>
    <x v="5"/>
    <x v="7"/>
    <x v="1"/>
  </r>
  <r>
    <x v="1216"/>
    <x v="8"/>
    <x v="12"/>
    <n v="21.5"/>
    <n v="86"/>
    <x v="47"/>
    <d v="2025-02-20T00:00:00"/>
    <x v="1"/>
    <x v="1"/>
    <n v="4"/>
    <x v="0"/>
    <x v="3"/>
    <x v="2"/>
    <x v="7"/>
    <x v="1"/>
  </r>
  <r>
    <x v="1217"/>
    <x v="9"/>
    <x v="2"/>
    <n v="74.900000000000006"/>
    <n v="224.70000000000002"/>
    <x v="47"/>
    <d v="2025-02-26T00:00:00"/>
    <x v="1"/>
    <x v="3"/>
    <n v="3"/>
    <x v="0"/>
    <x v="3"/>
    <x v="8"/>
    <x v="7"/>
    <x v="1"/>
  </r>
  <r>
    <x v="1218"/>
    <x v="10"/>
    <x v="13"/>
    <n v="45"/>
    <n v="270"/>
    <x v="47"/>
    <d v="2025-02-22T00:00:00"/>
    <x v="2"/>
    <x v="2"/>
    <n v="4"/>
    <x v="0"/>
    <x v="3"/>
    <x v="0"/>
    <x v="7"/>
    <x v="2"/>
  </r>
  <r>
    <x v="1219"/>
    <x v="7"/>
    <x v="33"/>
    <n v="37.9"/>
    <n v="1288.5999999999999"/>
    <x v="47"/>
    <d v="2025-02-18T00:00:00"/>
    <x v="1"/>
    <x v="0"/>
    <n v="4"/>
    <x v="0"/>
    <x v="3"/>
    <x v="3"/>
    <x v="7"/>
    <x v="1"/>
  </r>
  <r>
    <x v="1220"/>
    <x v="6"/>
    <x v="2"/>
    <n v="56.6"/>
    <n v="169.8"/>
    <x v="47"/>
    <d v="2025-02-18T00:00:00"/>
    <x v="1"/>
    <x v="3"/>
    <n v="4"/>
    <x v="0"/>
    <x v="3"/>
    <x v="3"/>
    <x v="7"/>
    <x v="1"/>
  </r>
  <r>
    <x v="1221"/>
    <x v="3"/>
    <x v="15"/>
    <n v="84.5"/>
    <n v="1098.5"/>
    <x v="47"/>
    <d v="2025-02-20T00:00:00"/>
    <x v="2"/>
    <x v="1"/>
    <n v="2"/>
    <x v="0"/>
    <x v="3"/>
    <x v="2"/>
    <x v="7"/>
    <x v="2"/>
  </r>
  <r>
    <x v="1222"/>
    <x v="2"/>
    <x v="9"/>
    <n v="105.4"/>
    <n v="527"/>
    <x v="47"/>
    <d v="2025-02-19T00:00:00"/>
    <x v="2"/>
    <x v="1"/>
    <n v="3"/>
    <x v="0"/>
    <x v="3"/>
    <x v="1"/>
    <x v="7"/>
    <x v="2"/>
  </r>
  <r>
    <x v="1223"/>
    <x v="18"/>
    <x v="3"/>
    <n v="39.4"/>
    <n v="275.8"/>
    <x v="48"/>
    <d v="2025-02-18T00:00:00"/>
    <x v="1"/>
    <x v="1"/>
    <n v="4"/>
    <x v="0"/>
    <x v="37"/>
    <x v="7"/>
    <x v="7"/>
    <x v="1"/>
  </r>
  <r>
    <x v="1224"/>
    <x v="19"/>
    <x v="2"/>
    <n v="38"/>
    <n v="114"/>
    <x v="48"/>
    <d v="2025-02-21T00:00:00"/>
    <x v="1"/>
    <x v="4"/>
    <n v="3"/>
    <x v="0"/>
    <x v="6"/>
    <x v="2"/>
    <x v="7"/>
    <x v="1"/>
  </r>
  <r>
    <x v="1225"/>
    <x v="17"/>
    <x v="12"/>
    <n v="42.5"/>
    <n v="170"/>
    <x v="48"/>
    <d v="2025-02-20T00:00:00"/>
    <x v="0"/>
    <x v="0"/>
    <n v="4"/>
    <x v="0"/>
    <x v="6"/>
    <x v="1"/>
    <x v="7"/>
    <x v="0"/>
  </r>
  <r>
    <x v="1226"/>
    <x v="15"/>
    <x v="0"/>
    <n v="62.3"/>
    <n v="62.3"/>
    <x v="48"/>
    <d v="2025-02-27T00:00:00"/>
    <x v="1"/>
    <x v="0"/>
    <n v="5"/>
    <x v="0"/>
    <x v="6"/>
    <x v="8"/>
    <x v="7"/>
    <x v="1"/>
  </r>
  <r>
    <x v="1227"/>
    <x v="6"/>
    <x v="9"/>
    <n v="49.1"/>
    <n v="245.5"/>
    <x v="48"/>
    <d v="2025-02-20T00:00:00"/>
    <x v="2"/>
    <x v="1"/>
    <n v="5"/>
    <x v="0"/>
    <x v="7"/>
    <x v="1"/>
    <x v="7"/>
    <x v="2"/>
  </r>
  <r>
    <x v="1228"/>
    <x v="3"/>
    <x v="1"/>
    <n v="30.5"/>
    <n v="61"/>
    <x v="48"/>
    <d v="2025-02-21T00:00:00"/>
    <x v="1"/>
    <x v="0"/>
    <n v="5"/>
    <x v="0"/>
    <x v="8"/>
    <x v="2"/>
    <x v="7"/>
    <x v="1"/>
  </r>
  <r>
    <x v="1229"/>
    <x v="2"/>
    <x v="1"/>
    <n v="154.80000000000001"/>
    <n v="309.60000000000002"/>
    <x v="48"/>
    <d v="2025-02-21T00:00:00"/>
    <x v="2"/>
    <x v="1"/>
    <n v="2"/>
    <x v="0"/>
    <x v="8"/>
    <x v="2"/>
    <x v="7"/>
    <x v="2"/>
  </r>
  <r>
    <x v="1230"/>
    <x v="6"/>
    <x v="0"/>
    <n v="45"/>
    <n v="45"/>
    <x v="48"/>
    <d v="2025-02-22T00:00:00"/>
    <x v="1"/>
    <x v="3"/>
    <n v="3"/>
    <x v="0"/>
    <x v="8"/>
    <x v="5"/>
    <x v="7"/>
    <x v="1"/>
  </r>
  <r>
    <x v="1231"/>
    <x v="0"/>
    <x v="3"/>
    <n v="15.3"/>
    <n v="107.10000000000001"/>
    <x v="48"/>
    <d v="2025-02-19T00:00:00"/>
    <x v="1"/>
    <x v="0"/>
    <n v="5"/>
    <x v="0"/>
    <x v="8"/>
    <x v="3"/>
    <x v="7"/>
    <x v="1"/>
  </r>
  <r>
    <x v="1232"/>
    <x v="2"/>
    <x v="5"/>
    <n v="88.6"/>
    <n v="974.59999999999991"/>
    <x v="48"/>
    <d v="2025-02-21T00:00:00"/>
    <x v="2"/>
    <x v="0"/>
    <n v="2"/>
    <x v="0"/>
    <x v="17"/>
    <x v="2"/>
    <x v="7"/>
    <x v="2"/>
  </r>
  <r>
    <x v="1233"/>
    <x v="9"/>
    <x v="1"/>
    <n v="49.7"/>
    <n v="99.4"/>
    <x v="48"/>
    <d v="2025-02-20T00:00:00"/>
    <x v="3"/>
    <x v="4"/>
    <n v="4"/>
    <x v="0"/>
    <x v="10"/>
    <x v="1"/>
    <x v="7"/>
    <x v="3"/>
  </r>
  <r>
    <x v="1234"/>
    <x v="10"/>
    <x v="0"/>
    <n v="29"/>
    <n v="29"/>
    <x v="48"/>
    <d v="2025-02-19T00:00:00"/>
    <x v="1"/>
    <x v="0"/>
    <n v="4"/>
    <x v="0"/>
    <x v="11"/>
    <x v="3"/>
    <x v="7"/>
    <x v="1"/>
  </r>
  <r>
    <x v="1235"/>
    <x v="1"/>
    <x v="0"/>
    <n v="60.7"/>
    <n v="60.7"/>
    <x v="48"/>
    <d v="2025-02-19T00:00:00"/>
    <x v="3"/>
    <x v="0"/>
    <n v="3"/>
    <x v="0"/>
    <x v="11"/>
    <x v="3"/>
    <x v="7"/>
    <x v="3"/>
  </r>
  <r>
    <x v="1236"/>
    <x v="17"/>
    <x v="12"/>
    <n v="87.4"/>
    <n v="349.6"/>
    <x v="48"/>
    <d v="2025-02-20T00:00:00"/>
    <x v="0"/>
    <x v="0"/>
    <n v="4"/>
    <x v="0"/>
    <x v="11"/>
    <x v="1"/>
    <x v="7"/>
    <x v="0"/>
  </r>
  <r>
    <x v="1237"/>
    <x v="4"/>
    <x v="3"/>
    <n v="44.5"/>
    <n v="311.5"/>
    <x v="48"/>
    <d v="2025-02-22T00:00:00"/>
    <x v="2"/>
    <x v="2"/>
    <n v="5"/>
    <x v="0"/>
    <x v="19"/>
    <x v="5"/>
    <x v="7"/>
    <x v="2"/>
  </r>
  <r>
    <x v="1238"/>
    <x v="2"/>
    <x v="0"/>
    <n v="141"/>
    <n v="141"/>
    <x v="48"/>
    <d v="2025-02-19T00:00:00"/>
    <x v="1"/>
    <x v="4"/>
    <n v="5"/>
    <x v="0"/>
    <x v="19"/>
    <x v="3"/>
    <x v="7"/>
    <x v="1"/>
  </r>
  <r>
    <x v="1239"/>
    <x v="0"/>
    <x v="2"/>
    <n v="16.7"/>
    <n v="50.099999999999994"/>
    <x v="48"/>
    <d v="2025-02-26T00:00:00"/>
    <x v="2"/>
    <x v="0"/>
    <n v="4"/>
    <x v="0"/>
    <x v="20"/>
    <x v="9"/>
    <x v="7"/>
    <x v="2"/>
  </r>
  <r>
    <x v="1240"/>
    <x v="1"/>
    <x v="1"/>
    <n v="77.5"/>
    <n v="155"/>
    <x v="48"/>
    <d v="2025-02-19T00:00:00"/>
    <x v="0"/>
    <x v="2"/>
    <n v="5"/>
    <x v="0"/>
    <x v="13"/>
    <x v="3"/>
    <x v="7"/>
    <x v="0"/>
  </r>
  <r>
    <x v="1241"/>
    <x v="2"/>
    <x v="1"/>
    <n v="163"/>
    <n v="326"/>
    <x v="48"/>
    <d v="2025-02-24T00:00:00"/>
    <x v="2"/>
    <x v="4"/>
    <n v="4"/>
    <x v="0"/>
    <x v="21"/>
    <x v="4"/>
    <x v="7"/>
    <x v="2"/>
  </r>
  <r>
    <x v="1242"/>
    <x v="4"/>
    <x v="11"/>
    <n v="21.4"/>
    <n v="192.6"/>
    <x v="48"/>
    <d v="2025-02-21T00:00:00"/>
    <x v="2"/>
    <x v="0"/>
    <n v="4"/>
    <x v="0"/>
    <x v="51"/>
    <x v="2"/>
    <x v="7"/>
    <x v="2"/>
  </r>
  <r>
    <x v="1243"/>
    <x v="10"/>
    <x v="5"/>
    <n v="31"/>
    <n v="341"/>
    <x v="48"/>
    <d v="2025-02-20T00:00:00"/>
    <x v="2"/>
    <x v="3"/>
    <n v="5"/>
    <x v="0"/>
    <x v="1"/>
    <x v="1"/>
    <x v="7"/>
    <x v="2"/>
  </r>
  <r>
    <x v="1244"/>
    <x v="7"/>
    <x v="1"/>
    <n v="34.299999999999997"/>
    <n v="68.599999999999994"/>
    <x v="48"/>
    <d v="2025-02-20T00:00:00"/>
    <x v="2"/>
    <x v="0"/>
    <n v="1"/>
    <x v="0"/>
    <x v="1"/>
    <x v="1"/>
    <x v="7"/>
    <x v="2"/>
  </r>
  <r>
    <x v="1245"/>
    <x v="17"/>
    <x v="9"/>
    <n v="48.2"/>
    <n v="241"/>
    <x v="48"/>
    <d v="2025-02-19T00:00:00"/>
    <x v="1"/>
    <x v="1"/>
    <n v="3"/>
    <x v="0"/>
    <x v="2"/>
    <x v="3"/>
    <x v="7"/>
    <x v="1"/>
  </r>
  <r>
    <x v="1246"/>
    <x v="10"/>
    <x v="0"/>
    <n v="51.4"/>
    <n v="51.4"/>
    <x v="48"/>
    <d v="2025-02-19T00:00:00"/>
    <x v="1"/>
    <x v="0"/>
    <n v="4"/>
    <x v="0"/>
    <x v="3"/>
    <x v="3"/>
    <x v="7"/>
    <x v="1"/>
  </r>
  <r>
    <x v="1247"/>
    <x v="2"/>
    <x v="9"/>
    <n v="117.2"/>
    <n v="586"/>
    <x v="48"/>
    <d v="2025-02-21T00:00:00"/>
    <x v="2"/>
    <x v="4"/>
    <n v="2"/>
    <x v="0"/>
    <x v="3"/>
    <x v="2"/>
    <x v="7"/>
    <x v="2"/>
  </r>
  <r>
    <x v="1248"/>
    <x v="8"/>
    <x v="0"/>
    <n v="38.1"/>
    <n v="38.1"/>
    <x v="48"/>
    <d v="2025-02-18T00:00:00"/>
    <x v="1"/>
    <x v="4"/>
    <n v="3"/>
    <x v="0"/>
    <x v="3"/>
    <x v="7"/>
    <x v="7"/>
    <x v="1"/>
  </r>
  <r>
    <x v="1249"/>
    <x v="0"/>
    <x v="1"/>
    <n v="44.1"/>
    <n v="88.2"/>
    <x v="48"/>
    <d v="2025-02-20T00:00:00"/>
    <x v="2"/>
    <x v="2"/>
    <n v="4"/>
    <x v="0"/>
    <x v="3"/>
    <x v="1"/>
    <x v="7"/>
    <x v="2"/>
  </r>
  <r>
    <x v="1250"/>
    <x v="15"/>
    <x v="12"/>
    <n v="80.5"/>
    <n v="322"/>
    <x v="48"/>
    <d v="2025-02-23T00:00:00"/>
    <x v="1"/>
    <x v="0"/>
    <n v="4"/>
    <x v="0"/>
    <x v="3"/>
    <x v="0"/>
    <x v="7"/>
    <x v="1"/>
  </r>
  <r>
    <x v="1251"/>
    <x v="18"/>
    <x v="12"/>
    <n v="33.6"/>
    <n v="134.4"/>
    <x v="48"/>
    <d v="2025-02-23T00:00:00"/>
    <x v="0"/>
    <x v="0"/>
    <n v="5"/>
    <x v="0"/>
    <x v="3"/>
    <x v="0"/>
    <x v="7"/>
    <x v="0"/>
  </r>
  <r>
    <x v="1252"/>
    <x v="9"/>
    <x v="11"/>
    <n v="41.8"/>
    <n v="376.2"/>
    <x v="48"/>
    <d v="2025-02-19T00:00:00"/>
    <x v="2"/>
    <x v="0"/>
    <n v="3"/>
    <x v="0"/>
    <x v="3"/>
    <x v="3"/>
    <x v="7"/>
    <x v="2"/>
  </r>
  <r>
    <x v="1253"/>
    <x v="1"/>
    <x v="1"/>
    <n v="106.2"/>
    <n v="212.4"/>
    <x v="48"/>
    <d v="2025-02-18T00:00:00"/>
    <x v="2"/>
    <x v="4"/>
    <n v="5"/>
    <x v="0"/>
    <x v="3"/>
    <x v="7"/>
    <x v="7"/>
    <x v="2"/>
  </r>
  <r>
    <x v="1254"/>
    <x v="1"/>
    <x v="1"/>
    <n v="52.6"/>
    <n v="105.2"/>
    <x v="48"/>
    <d v="2025-02-19T00:00:00"/>
    <x v="2"/>
    <x v="0"/>
    <n v="5"/>
    <x v="0"/>
    <x v="5"/>
    <x v="3"/>
    <x v="7"/>
    <x v="2"/>
  </r>
  <r>
    <x v="1255"/>
    <x v="11"/>
    <x v="3"/>
    <n v="68.5"/>
    <n v="479.5"/>
    <x v="48"/>
    <d v="2025-02-19T00:00:00"/>
    <x v="2"/>
    <x v="1"/>
    <n v="4"/>
    <x v="0"/>
    <x v="5"/>
    <x v="3"/>
    <x v="7"/>
    <x v="2"/>
  </r>
  <r>
    <x v="1256"/>
    <x v="1"/>
    <x v="1"/>
    <n v="55.6"/>
    <n v="111.2"/>
    <x v="48"/>
    <d v="2025-02-20T00:00:00"/>
    <x v="1"/>
    <x v="1"/>
    <n v="5"/>
    <x v="0"/>
    <x v="6"/>
    <x v="1"/>
    <x v="7"/>
    <x v="1"/>
  </r>
  <r>
    <x v="1257"/>
    <x v="2"/>
    <x v="2"/>
    <n v="134.9"/>
    <n v="404.70000000000005"/>
    <x v="48"/>
    <d v="2025-02-19T00:00:00"/>
    <x v="1"/>
    <x v="1"/>
    <n v="3"/>
    <x v="0"/>
    <x v="6"/>
    <x v="3"/>
    <x v="7"/>
    <x v="1"/>
  </r>
  <r>
    <x v="1258"/>
    <x v="10"/>
    <x v="9"/>
    <n v="42.6"/>
    <n v="213"/>
    <x v="48"/>
    <d v="2025-02-19T00:00:00"/>
    <x v="1"/>
    <x v="0"/>
    <n v="4"/>
    <x v="0"/>
    <x v="6"/>
    <x v="3"/>
    <x v="7"/>
    <x v="1"/>
  </r>
  <r>
    <x v="1259"/>
    <x v="7"/>
    <x v="9"/>
    <n v="60.6"/>
    <n v="303"/>
    <x v="48"/>
    <d v="2025-02-20T00:00:00"/>
    <x v="1"/>
    <x v="4"/>
    <n v="4"/>
    <x v="0"/>
    <x v="6"/>
    <x v="1"/>
    <x v="7"/>
    <x v="1"/>
  </r>
  <r>
    <x v="1260"/>
    <x v="8"/>
    <x v="1"/>
    <n v="43.5"/>
    <n v="87"/>
    <x v="48"/>
    <d v="2025-02-19T00:00:00"/>
    <x v="1"/>
    <x v="4"/>
    <n v="4"/>
    <x v="0"/>
    <x v="7"/>
    <x v="3"/>
    <x v="7"/>
    <x v="1"/>
  </r>
  <r>
    <x v="1261"/>
    <x v="2"/>
    <x v="1"/>
    <n v="187.1"/>
    <n v="374.2"/>
    <x v="48"/>
    <d v="2025-02-19T00:00:00"/>
    <x v="1"/>
    <x v="1"/>
    <n v="5"/>
    <x v="0"/>
    <x v="8"/>
    <x v="3"/>
    <x v="7"/>
    <x v="1"/>
  </r>
  <r>
    <x v="1262"/>
    <x v="9"/>
    <x v="2"/>
    <n v="32"/>
    <n v="96"/>
    <x v="48"/>
    <d v="2025-02-20T00:00:00"/>
    <x v="1"/>
    <x v="0"/>
    <n v="4"/>
    <x v="0"/>
    <x v="8"/>
    <x v="1"/>
    <x v="7"/>
    <x v="1"/>
  </r>
  <r>
    <x v="1263"/>
    <x v="9"/>
    <x v="1"/>
    <n v="110.8"/>
    <n v="221.6"/>
    <x v="48"/>
    <d v="2025-02-18T00:00:00"/>
    <x v="1"/>
    <x v="0"/>
    <n v="5"/>
    <x v="0"/>
    <x v="8"/>
    <x v="7"/>
    <x v="7"/>
    <x v="1"/>
  </r>
  <r>
    <x v="1264"/>
    <x v="10"/>
    <x v="15"/>
    <n v="36.1"/>
    <n v="469.3"/>
    <x v="48"/>
    <d v="2025-02-21T00:00:00"/>
    <x v="2"/>
    <x v="0"/>
    <n v="3"/>
    <x v="0"/>
    <x v="8"/>
    <x v="2"/>
    <x v="7"/>
    <x v="2"/>
  </r>
  <r>
    <x v="1265"/>
    <x v="0"/>
    <x v="0"/>
    <n v="24.1"/>
    <n v="24.1"/>
    <x v="48"/>
    <d v="2025-02-20T00:00:00"/>
    <x v="2"/>
    <x v="4"/>
    <n v="5"/>
    <x v="0"/>
    <x v="8"/>
    <x v="1"/>
    <x v="7"/>
    <x v="2"/>
  </r>
  <r>
    <x v="1266"/>
    <x v="19"/>
    <x v="2"/>
    <n v="30.5"/>
    <n v="91.5"/>
    <x v="48"/>
    <d v="2025-02-20T00:00:00"/>
    <x v="1"/>
    <x v="1"/>
    <n v="4"/>
    <x v="0"/>
    <x v="8"/>
    <x v="1"/>
    <x v="7"/>
    <x v="1"/>
  </r>
  <r>
    <x v="1267"/>
    <x v="18"/>
    <x v="13"/>
    <n v="68.3"/>
    <n v="409.79999999999995"/>
    <x v="48"/>
    <d v="2025-02-21T00:00:00"/>
    <x v="1"/>
    <x v="0"/>
    <n v="4"/>
    <x v="0"/>
    <x v="8"/>
    <x v="2"/>
    <x v="7"/>
    <x v="1"/>
  </r>
  <r>
    <x v="1268"/>
    <x v="7"/>
    <x v="2"/>
    <n v="43.3"/>
    <n v="129.89999999999998"/>
    <x v="48"/>
    <d v="2025-02-22T00:00:00"/>
    <x v="2"/>
    <x v="0"/>
    <n v="4"/>
    <x v="0"/>
    <x v="17"/>
    <x v="5"/>
    <x v="7"/>
    <x v="2"/>
  </r>
  <r>
    <x v="1269"/>
    <x v="3"/>
    <x v="0"/>
    <n v="101.7"/>
    <n v="101.7"/>
    <x v="48"/>
    <d v="2025-02-21T00:00:00"/>
    <x v="2"/>
    <x v="0"/>
    <n v="3"/>
    <x v="0"/>
    <x v="17"/>
    <x v="2"/>
    <x v="7"/>
    <x v="2"/>
  </r>
  <r>
    <x v="1270"/>
    <x v="11"/>
    <x v="1"/>
    <n v="54.2"/>
    <n v="108.4"/>
    <x v="48"/>
    <d v="2025-02-19T00:00:00"/>
    <x v="2"/>
    <x v="0"/>
    <n v="3"/>
    <x v="0"/>
    <x v="17"/>
    <x v="3"/>
    <x v="7"/>
    <x v="2"/>
  </r>
  <r>
    <x v="1271"/>
    <x v="16"/>
    <x v="1"/>
    <n v="51"/>
    <n v="102"/>
    <x v="48"/>
    <d v="2025-02-18T00:00:00"/>
    <x v="1"/>
    <x v="1"/>
    <n v="4"/>
    <x v="0"/>
    <x v="26"/>
    <x v="7"/>
    <x v="7"/>
    <x v="1"/>
  </r>
  <r>
    <x v="1272"/>
    <x v="4"/>
    <x v="1"/>
    <n v="23.1"/>
    <n v="46.2"/>
    <x v="48"/>
    <d v="2025-02-21T00:00:00"/>
    <x v="1"/>
    <x v="1"/>
    <n v="4"/>
    <x v="0"/>
    <x v="10"/>
    <x v="2"/>
    <x v="7"/>
    <x v="1"/>
  </r>
  <r>
    <x v="1273"/>
    <x v="12"/>
    <x v="13"/>
    <n v="60.1"/>
    <n v="360.6"/>
    <x v="48"/>
    <d v="2025-02-18T00:00:00"/>
    <x v="2"/>
    <x v="3"/>
    <n v="4"/>
    <x v="0"/>
    <x v="11"/>
    <x v="7"/>
    <x v="7"/>
    <x v="2"/>
  </r>
  <r>
    <x v="1274"/>
    <x v="2"/>
    <x v="3"/>
    <n v="87.5"/>
    <n v="612.5"/>
    <x v="48"/>
    <d v="2025-02-20T00:00:00"/>
    <x v="2"/>
    <x v="0"/>
    <n v="3"/>
    <x v="0"/>
    <x v="11"/>
    <x v="1"/>
    <x v="7"/>
    <x v="2"/>
  </r>
  <r>
    <x v="1275"/>
    <x v="1"/>
    <x v="2"/>
    <n v="51"/>
    <n v="153"/>
    <x v="48"/>
    <d v="2025-02-19T00:00:00"/>
    <x v="2"/>
    <x v="1"/>
    <n v="4"/>
    <x v="0"/>
    <x v="11"/>
    <x v="3"/>
    <x v="7"/>
    <x v="2"/>
  </r>
  <r>
    <x v="1276"/>
    <x v="8"/>
    <x v="12"/>
    <n v="19.2"/>
    <n v="76.8"/>
    <x v="48"/>
    <d v="2025-02-20T00:00:00"/>
    <x v="2"/>
    <x v="0"/>
    <n v="4"/>
    <x v="0"/>
    <x v="11"/>
    <x v="1"/>
    <x v="7"/>
    <x v="2"/>
  </r>
  <r>
    <x v="1277"/>
    <x v="5"/>
    <x v="8"/>
    <n v="26.5"/>
    <n v="212"/>
    <x v="48"/>
    <d v="2025-02-19T00:00:00"/>
    <x v="0"/>
    <x v="3"/>
    <n v="5"/>
    <x v="0"/>
    <x v="11"/>
    <x v="3"/>
    <x v="7"/>
    <x v="0"/>
  </r>
  <r>
    <x v="1278"/>
    <x v="2"/>
    <x v="1"/>
    <n v="220.3"/>
    <n v="440.6"/>
    <x v="48"/>
    <d v="2025-02-19T00:00:00"/>
    <x v="2"/>
    <x v="1"/>
    <n v="2"/>
    <x v="0"/>
    <x v="53"/>
    <x v="3"/>
    <x v="7"/>
    <x v="2"/>
  </r>
  <r>
    <x v="1279"/>
    <x v="8"/>
    <x v="2"/>
    <n v="45.7"/>
    <n v="137.10000000000002"/>
    <x v="48"/>
    <d v="2025-02-19T00:00:00"/>
    <x v="2"/>
    <x v="4"/>
    <n v="4"/>
    <x v="0"/>
    <x v="30"/>
    <x v="3"/>
    <x v="7"/>
    <x v="2"/>
  </r>
  <r>
    <x v="1280"/>
    <x v="5"/>
    <x v="9"/>
    <n v="47.1"/>
    <n v="235.5"/>
    <x v="48"/>
    <d v="2025-02-22T00:00:00"/>
    <x v="2"/>
    <x v="3"/>
    <n v="4"/>
    <x v="0"/>
    <x v="13"/>
    <x v="5"/>
    <x v="7"/>
    <x v="2"/>
  </r>
  <r>
    <x v="1281"/>
    <x v="1"/>
    <x v="9"/>
    <n v="81.7"/>
    <n v="408.5"/>
    <x v="48"/>
    <d v="2025-02-19T00:00:00"/>
    <x v="2"/>
    <x v="0"/>
    <n v="5"/>
    <x v="0"/>
    <x v="21"/>
    <x v="3"/>
    <x v="7"/>
    <x v="2"/>
  </r>
  <r>
    <x v="1282"/>
    <x v="6"/>
    <x v="7"/>
    <n v="97.8"/>
    <n v="978"/>
    <x v="48"/>
    <d v="2025-02-18T00:00:00"/>
    <x v="1"/>
    <x v="1"/>
    <n v="3"/>
    <x v="0"/>
    <x v="21"/>
    <x v="7"/>
    <x v="7"/>
    <x v="1"/>
  </r>
  <r>
    <x v="1283"/>
    <x v="6"/>
    <x v="2"/>
    <n v="42.4"/>
    <n v="127.19999999999999"/>
    <x v="48"/>
    <d v="2025-02-19T00:00:00"/>
    <x v="2"/>
    <x v="0"/>
    <n v="5"/>
    <x v="0"/>
    <x v="54"/>
    <x v="3"/>
    <x v="7"/>
    <x v="2"/>
  </r>
  <r>
    <x v="1284"/>
    <x v="2"/>
    <x v="7"/>
    <n v="74.5"/>
    <n v="745"/>
    <x v="48"/>
    <d v="2025-02-19T00:00:00"/>
    <x v="1"/>
    <x v="2"/>
    <n v="3"/>
    <x v="0"/>
    <x v="1"/>
    <x v="3"/>
    <x v="7"/>
    <x v="1"/>
  </r>
  <r>
    <x v="1285"/>
    <x v="17"/>
    <x v="13"/>
    <n v="47.4"/>
    <n v="284.39999999999998"/>
    <x v="48"/>
    <d v="2025-02-19T00:00:00"/>
    <x v="1"/>
    <x v="1"/>
    <n v="4"/>
    <x v="0"/>
    <x v="1"/>
    <x v="3"/>
    <x v="7"/>
    <x v="1"/>
  </r>
  <r>
    <x v="1286"/>
    <x v="14"/>
    <x v="2"/>
    <n v="17.3"/>
    <n v="51.900000000000006"/>
    <x v="49"/>
    <d v="2025-02-22T00:00:00"/>
    <x v="1"/>
    <x v="2"/>
    <n v="5"/>
    <x v="0"/>
    <x v="1"/>
    <x v="2"/>
    <x v="7"/>
    <x v="1"/>
  </r>
  <r>
    <x v="1287"/>
    <x v="12"/>
    <x v="12"/>
    <n v="77.900000000000006"/>
    <n v="311.60000000000002"/>
    <x v="49"/>
    <d v="2025-02-20T00:00:00"/>
    <x v="1"/>
    <x v="1"/>
    <n v="4"/>
    <x v="0"/>
    <x v="2"/>
    <x v="3"/>
    <x v="7"/>
    <x v="1"/>
  </r>
  <r>
    <x v="1288"/>
    <x v="8"/>
    <x v="0"/>
    <n v="29.1"/>
    <n v="29.1"/>
    <x v="49"/>
    <d v="2025-02-22T00:00:00"/>
    <x v="1"/>
    <x v="0"/>
    <n v="5"/>
    <x v="0"/>
    <x v="50"/>
    <x v="2"/>
    <x v="7"/>
    <x v="1"/>
  </r>
  <r>
    <x v="1289"/>
    <x v="8"/>
    <x v="0"/>
    <n v="49"/>
    <n v="49"/>
    <x v="49"/>
    <d v="2025-02-20T00:00:00"/>
    <x v="1"/>
    <x v="1"/>
    <n v="4"/>
    <x v="0"/>
    <x v="3"/>
    <x v="3"/>
    <x v="7"/>
    <x v="1"/>
  </r>
  <r>
    <x v="1290"/>
    <x v="8"/>
    <x v="13"/>
    <n v="21.1"/>
    <n v="126.60000000000001"/>
    <x v="49"/>
    <d v="2025-02-26T00:00:00"/>
    <x v="1"/>
    <x v="0"/>
    <n v="5"/>
    <x v="0"/>
    <x v="3"/>
    <x v="6"/>
    <x v="7"/>
    <x v="1"/>
  </r>
  <r>
    <x v="1291"/>
    <x v="4"/>
    <x v="10"/>
    <n v="36.9"/>
    <n v="701.1"/>
    <x v="49"/>
    <d v="2025-02-19T00:00:00"/>
    <x v="2"/>
    <x v="0"/>
    <n v="4"/>
    <x v="0"/>
    <x v="3"/>
    <x v="7"/>
    <x v="7"/>
    <x v="2"/>
  </r>
  <r>
    <x v="1292"/>
    <x v="1"/>
    <x v="7"/>
    <n v="92.6"/>
    <n v="926"/>
    <x v="49"/>
    <d v="2025-02-24T00:00:00"/>
    <x v="1"/>
    <x v="4"/>
    <n v="5"/>
    <x v="0"/>
    <x v="3"/>
    <x v="0"/>
    <x v="7"/>
    <x v="1"/>
  </r>
  <r>
    <x v="1293"/>
    <x v="10"/>
    <x v="1"/>
    <n v="38"/>
    <n v="76"/>
    <x v="49"/>
    <d v="2025-02-20T00:00:00"/>
    <x v="1"/>
    <x v="1"/>
    <n v="3"/>
    <x v="0"/>
    <x v="3"/>
    <x v="3"/>
    <x v="7"/>
    <x v="1"/>
  </r>
  <r>
    <x v="1294"/>
    <x v="5"/>
    <x v="2"/>
    <n v="54.8"/>
    <n v="164.39999999999998"/>
    <x v="49"/>
    <d v="2025-02-23T00:00:00"/>
    <x v="0"/>
    <x v="0"/>
    <n v="3"/>
    <x v="0"/>
    <x v="3"/>
    <x v="5"/>
    <x v="7"/>
    <x v="0"/>
  </r>
  <r>
    <x v="1295"/>
    <x v="10"/>
    <x v="4"/>
    <n v="56.8"/>
    <n v="681.59999999999991"/>
    <x v="49"/>
    <d v="2025-02-21T00:00:00"/>
    <x v="1"/>
    <x v="1"/>
    <n v="4"/>
    <x v="0"/>
    <x v="3"/>
    <x v="1"/>
    <x v="7"/>
    <x v="1"/>
  </r>
  <r>
    <x v="1296"/>
    <x v="11"/>
    <x v="40"/>
    <n v="47.2"/>
    <n v="1557.6000000000001"/>
    <x v="49"/>
    <d v="2025-02-22T00:00:00"/>
    <x v="2"/>
    <x v="1"/>
    <n v="4"/>
    <x v="0"/>
    <x v="3"/>
    <x v="2"/>
    <x v="7"/>
    <x v="2"/>
  </r>
  <r>
    <x v="1297"/>
    <x v="7"/>
    <x v="13"/>
    <n v="45.1"/>
    <n v="270.60000000000002"/>
    <x v="49"/>
    <d v="2025-02-20T00:00:00"/>
    <x v="2"/>
    <x v="2"/>
    <n v="4"/>
    <x v="0"/>
    <x v="43"/>
    <x v="3"/>
    <x v="7"/>
    <x v="2"/>
  </r>
  <r>
    <x v="1298"/>
    <x v="4"/>
    <x v="4"/>
    <n v="25.2"/>
    <n v="302.39999999999998"/>
    <x v="49"/>
    <d v="2025-02-24T00:00:00"/>
    <x v="2"/>
    <x v="2"/>
    <n v="4"/>
    <x v="0"/>
    <x v="16"/>
    <x v="0"/>
    <x v="7"/>
    <x v="2"/>
  </r>
  <r>
    <x v="1299"/>
    <x v="8"/>
    <x v="0"/>
    <n v="22"/>
    <n v="22"/>
    <x v="49"/>
    <d v="2025-02-20T00:00:00"/>
    <x v="2"/>
    <x v="0"/>
    <n v="4"/>
    <x v="0"/>
    <x v="5"/>
    <x v="3"/>
    <x v="7"/>
    <x v="2"/>
  </r>
  <r>
    <x v="1300"/>
    <x v="6"/>
    <x v="1"/>
    <n v="42.2"/>
    <n v="84.4"/>
    <x v="49"/>
    <d v="2025-02-20T00:00:00"/>
    <x v="2"/>
    <x v="1"/>
    <n v="3"/>
    <x v="0"/>
    <x v="23"/>
    <x v="3"/>
    <x v="7"/>
    <x v="2"/>
  </r>
  <r>
    <x v="1301"/>
    <x v="13"/>
    <x v="2"/>
    <n v="20.5"/>
    <n v="61.5"/>
    <x v="49"/>
    <d v="2025-02-20T00:00:00"/>
    <x v="1"/>
    <x v="0"/>
    <n v="3"/>
    <x v="0"/>
    <x v="6"/>
    <x v="3"/>
    <x v="7"/>
    <x v="1"/>
  </r>
  <r>
    <x v="1302"/>
    <x v="2"/>
    <x v="0"/>
    <n v="190.4"/>
    <n v="190.4"/>
    <x v="49"/>
    <d v="2025-02-24T00:00:00"/>
    <x v="1"/>
    <x v="1"/>
    <n v="2"/>
    <x v="0"/>
    <x v="6"/>
    <x v="0"/>
    <x v="7"/>
    <x v="1"/>
  </r>
  <r>
    <x v="1303"/>
    <x v="2"/>
    <x v="0"/>
    <n v="121.9"/>
    <n v="121.9"/>
    <x v="49"/>
    <d v="2025-02-21T00:00:00"/>
    <x v="2"/>
    <x v="1"/>
    <n v="5"/>
    <x v="0"/>
    <x v="6"/>
    <x v="1"/>
    <x v="7"/>
    <x v="2"/>
  </r>
  <r>
    <x v="1304"/>
    <x v="2"/>
    <x v="13"/>
    <n v="149.19999999999999"/>
    <n v="895.19999999999993"/>
    <x v="49"/>
    <d v="2025-02-20T00:00:00"/>
    <x v="2"/>
    <x v="2"/>
    <n v="5"/>
    <x v="0"/>
    <x v="7"/>
    <x v="3"/>
    <x v="7"/>
    <x v="2"/>
  </r>
  <r>
    <x v="1305"/>
    <x v="2"/>
    <x v="0"/>
    <n v="54.1"/>
    <n v="54.1"/>
    <x v="49"/>
    <d v="2025-02-28T00:00:00"/>
    <x v="2"/>
    <x v="2"/>
    <n v="5"/>
    <x v="0"/>
    <x v="7"/>
    <x v="8"/>
    <x v="7"/>
    <x v="2"/>
  </r>
  <r>
    <x v="1306"/>
    <x v="5"/>
    <x v="1"/>
    <n v="27.4"/>
    <n v="54.8"/>
    <x v="49"/>
    <d v="2025-02-21T00:00:00"/>
    <x v="1"/>
    <x v="1"/>
    <n v="4"/>
    <x v="0"/>
    <x v="8"/>
    <x v="1"/>
    <x v="7"/>
    <x v="1"/>
  </r>
  <r>
    <x v="1307"/>
    <x v="0"/>
    <x v="15"/>
    <n v="30.4"/>
    <n v="395.2"/>
    <x v="49"/>
    <d v="2025-02-20T00:00:00"/>
    <x v="2"/>
    <x v="0"/>
    <n v="5"/>
    <x v="0"/>
    <x v="8"/>
    <x v="3"/>
    <x v="7"/>
    <x v="2"/>
  </r>
  <r>
    <x v="1308"/>
    <x v="12"/>
    <x v="2"/>
    <n v="46.2"/>
    <n v="138.60000000000002"/>
    <x v="49"/>
    <d v="2025-02-21T00:00:00"/>
    <x v="1"/>
    <x v="2"/>
    <n v="3"/>
    <x v="0"/>
    <x v="17"/>
    <x v="1"/>
    <x v="7"/>
    <x v="1"/>
  </r>
  <r>
    <x v="1309"/>
    <x v="7"/>
    <x v="8"/>
    <n v="78.599999999999994"/>
    <n v="628.79999999999995"/>
    <x v="49"/>
    <d v="2025-02-23T00:00:00"/>
    <x v="1"/>
    <x v="3"/>
    <n v="4"/>
    <x v="0"/>
    <x v="17"/>
    <x v="5"/>
    <x v="7"/>
    <x v="1"/>
  </r>
  <r>
    <x v="1310"/>
    <x v="17"/>
    <x v="7"/>
    <n v="25.9"/>
    <n v="259"/>
    <x v="49"/>
    <d v="2025-02-25T00:00:00"/>
    <x v="1"/>
    <x v="4"/>
    <n v="4"/>
    <x v="0"/>
    <x v="9"/>
    <x v="4"/>
    <x v="7"/>
    <x v="1"/>
  </r>
  <r>
    <x v="1311"/>
    <x v="6"/>
    <x v="0"/>
    <n v="134.80000000000001"/>
    <n v="134.80000000000001"/>
    <x v="49"/>
    <d v="2025-02-21T00:00:00"/>
    <x v="1"/>
    <x v="2"/>
    <n v="5"/>
    <x v="0"/>
    <x v="9"/>
    <x v="1"/>
    <x v="7"/>
    <x v="1"/>
  </r>
  <r>
    <x v="1312"/>
    <x v="15"/>
    <x v="9"/>
    <n v="43.1"/>
    <n v="215.5"/>
    <x v="49"/>
    <d v="2025-02-21T00:00:00"/>
    <x v="2"/>
    <x v="0"/>
    <n v="4"/>
    <x v="0"/>
    <x v="11"/>
    <x v="1"/>
    <x v="7"/>
    <x v="2"/>
  </r>
  <r>
    <x v="1313"/>
    <x v="2"/>
    <x v="1"/>
    <n v="215.6"/>
    <n v="431.2"/>
    <x v="49"/>
    <d v="2025-02-20T00:00:00"/>
    <x v="2"/>
    <x v="2"/>
    <n v="4"/>
    <x v="0"/>
    <x v="18"/>
    <x v="3"/>
    <x v="7"/>
    <x v="2"/>
  </r>
  <r>
    <x v="1314"/>
    <x v="6"/>
    <x v="1"/>
    <n v="80.7"/>
    <n v="161.4"/>
    <x v="49"/>
    <d v="2025-02-22T00:00:00"/>
    <x v="2"/>
    <x v="3"/>
    <n v="4"/>
    <x v="0"/>
    <x v="18"/>
    <x v="2"/>
    <x v="7"/>
    <x v="2"/>
  </r>
  <r>
    <x v="1315"/>
    <x v="10"/>
    <x v="3"/>
    <n v="20.6"/>
    <n v="144.20000000000002"/>
    <x v="49"/>
    <d v="2025-02-24T00:00:00"/>
    <x v="0"/>
    <x v="2"/>
    <n v="3"/>
    <x v="0"/>
    <x v="19"/>
    <x v="0"/>
    <x v="7"/>
    <x v="0"/>
  </r>
  <r>
    <x v="1316"/>
    <x v="12"/>
    <x v="2"/>
    <n v="37.1"/>
    <n v="111.30000000000001"/>
    <x v="49"/>
    <d v="2025-02-20T00:00:00"/>
    <x v="2"/>
    <x v="0"/>
    <n v="4"/>
    <x v="0"/>
    <x v="52"/>
    <x v="3"/>
    <x v="7"/>
    <x v="2"/>
  </r>
  <r>
    <x v="1317"/>
    <x v="12"/>
    <x v="0"/>
    <n v="104.8"/>
    <n v="104.8"/>
    <x v="50"/>
    <d v="2025-02-22T00:00:00"/>
    <x v="2"/>
    <x v="0"/>
    <n v="4"/>
    <x v="0"/>
    <x v="13"/>
    <x v="1"/>
    <x v="7"/>
    <x v="2"/>
  </r>
  <r>
    <x v="1318"/>
    <x v="8"/>
    <x v="1"/>
    <n v="59"/>
    <n v="118"/>
    <x v="50"/>
    <d v="2025-02-21T00:00:00"/>
    <x v="1"/>
    <x v="1"/>
    <n v="4"/>
    <x v="0"/>
    <x v="21"/>
    <x v="3"/>
    <x v="7"/>
    <x v="1"/>
  </r>
  <r>
    <x v="1319"/>
    <x v="8"/>
    <x v="1"/>
    <n v="32.299999999999997"/>
    <n v="64.599999999999994"/>
    <x v="50"/>
    <d v="2025-02-21T00:00:00"/>
    <x v="1"/>
    <x v="0"/>
    <n v="5"/>
    <x v="0"/>
    <x v="21"/>
    <x v="3"/>
    <x v="7"/>
    <x v="1"/>
  </r>
  <r>
    <x v="1320"/>
    <x v="8"/>
    <x v="12"/>
    <n v="28.9"/>
    <n v="115.6"/>
    <x v="50"/>
    <d v="2025-02-27T00:00:00"/>
    <x v="1"/>
    <x v="0"/>
    <n v="4"/>
    <x v="0"/>
    <x v="1"/>
    <x v="6"/>
    <x v="7"/>
    <x v="1"/>
  </r>
  <r>
    <x v="1321"/>
    <x v="0"/>
    <x v="1"/>
    <n v="29.6"/>
    <n v="59.2"/>
    <x v="50"/>
    <d v="2025-02-22T00:00:00"/>
    <x v="1"/>
    <x v="0"/>
    <n v="4"/>
    <x v="0"/>
    <x v="1"/>
    <x v="1"/>
    <x v="7"/>
    <x v="1"/>
  </r>
  <r>
    <x v="1322"/>
    <x v="0"/>
    <x v="9"/>
    <n v="29.4"/>
    <n v="147"/>
    <x v="50"/>
    <d v="2025-02-23T00:00:00"/>
    <x v="2"/>
    <x v="0"/>
    <n v="4"/>
    <x v="0"/>
    <x v="1"/>
    <x v="2"/>
    <x v="7"/>
    <x v="2"/>
  </r>
  <r>
    <x v="1323"/>
    <x v="1"/>
    <x v="1"/>
    <n v="40.6"/>
    <n v="81.2"/>
    <x v="50"/>
    <d v="2025-02-21T00:00:00"/>
    <x v="1"/>
    <x v="0"/>
    <n v="2"/>
    <x v="0"/>
    <x v="2"/>
    <x v="3"/>
    <x v="7"/>
    <x v="1"/>
  </r>
  <r>
    <x v="1324"/>
    <x v="0"/>
    <x v="2"/>
    <n v="32.5"/>
    <n v="97.5"/>
    <x v="50"/>
    <d v="2025-02-21T00:00:00"/>
    <x v="1"/>
    <x v="3"/>
    <n v="5"/>
    <x v="0"/>
    <x v="22"/>
    <x v="3"/>
    <x v="7"/>
    <x v="1"/>
  </r>
  <r>
    <x v="1325"/>
    <x v="15"/>
    <x v="0"/>
    <n v="26.2"/>
    <n v="26.2"/>
    <x v="50"/>
    <d v="2025-02-22T00:00:00"/>
    <x v="1"/>
    <x v="2"/>
    <n v="4"/>
    <x v="0"/>
    <x v="55"/>
    <x v="1"/>
    <x v="7"/>
    <x v="1"/>
  </r>
  <r>
    <x v="1326"/>
    <x v="10"/>
    <x v="17"/>
    <n v="44"/>
    <n v="1320"/>
    <x v="50"/>
    <d v="2025-02-26T00:00:00"/>
    <x v="1"/>
    <x v="4"/>
    <n v="4"/>
    <x v="0"/>
    <x v="3"/>
    <x v="4"/>
    <x v="7"/>
    <x v="1"/>
  </r>
  <r>
    <x v="1327"/>
    <x v="7"/>
    <x v="12"/>
    <n v="65.599999999999994"/>
    <n v="262.39999999999998"/>
    <x v="50"/>
    <d v="2025-02-21T00:00:00"/>
    <x v="2"/>
    <x v="1"/>
    <n v="3"/>
    <x v="0"/>
    <x v="3"/>
    <x v="3"/>
    <x v="7"/>
    <x v="2"/>
  </r>
  <r>
    <x v="1328"/>
    <x v="5"/>
    <x v="4"/>
    <n v="32.6"/>
    <n v="391.20000000000005"/>
    <x v="50"/>
    <d v="2025-02-21T00:00:00"/>
    <x v="1"/>
    <x v="4"/>
    <n v="4"/>
    <x v="0"/>
    <x v="3"/>
    <x v="3"/>
    <x v="7"/>
    <x v="1"/>
  </r>
  <r>
    <x v="1329"/>
    <x v="16"/>
    <x v="1"/>
    <n v="88.7"/>
    <n v="177.4"/>
    <x v="50"/>
    <d v="2025-02-21T00:00:00"/>
    <x v="0"/>
    <x v="3"/>
    <n v="5"/>
    <x v="0"/>
    <x v="3"/>
    <x v="3"/>
    <x v="7"/>
    <x v="0"/>
  </r>
  <r>
    <x v="1330"/>
    <x v="4"/>
    <x v="1"/>
    <n v="21.3"/>
    <n v="42.6"/>
    <x v="50"/>
    <d v="2025-02-21T00:00:00"/>
    <x v="1"/>
    <x v="0"/>
    <n v="4"/>
    <x v="0"/>
    <x v="3"/>
    <x v="3"/>
    <x v="7"/>
    <x v="1"/>
  </r>
  <r>
    <x v="1331"/>
    <x v="4"/>
    <x v="13"/>
    <n v="50.6"/>
    <n v="303.60000000000002"/>
    <x v="50"/>
    <d v="2025-02-24T00:00:00"/>
    <x v="2"/>
    <x v="2"/>
    <n v="4"/>
    <x v="0"/>
    <x v="3"/>
    <x v="5"/>
    <x v="7"/>
    <x v="2"/>
  </r>
  <r>
    <x v="1332"/>
    <x v="9"/>
    <x v="38"/>
    <n v="86.9"/>
    <n v="1824.9"/>
    <x v="50"/>
    <d v="2025-02-23T00:00:00"/>
    <x v="2"/>
    <x v="0"/>
    <n v="3"/>
    <x v="0"/>
    <x v="3"/>
    <x v="2"/>
    <x v="7"/>
    <x v="2"/>
  </r>
  <r>
    <x v="1333"/>
    <x v="11"/>
    <x v="2"/>
    <n v="31.8"/>
    <n v="95.4"/>
    <x v="50"/>
    <d v="2025-02-22T00:00:00"/>
    <x v="1"/>
    <x v="0"/>
    <n v="5"/>
    <x v="0"/>
    <x v="3"/>
    <x v="1"/>
    <x v="7"/>
    <x v="1"/>
  </r>
  <r>
    <x v="1334"/>
    <x v="8"/>
    <x v="0"/>
    <n v="19"/>
    <n v="19"/>
    <x v="50"/>
    <d v="2025-02-21T00:00:00"/>
    <x v="2"/>
    <x v="0"/>
    <n v="5"/>
    <x v="0"/>
    <x v="3"/>
    <x v="3"/>
    <x v="7"/>
    <x v="2"/>
  </r>
  <r>
    <x v="1335"/>
    <x v="5"/>
    <x v="0"/>
    <n v="54.5"/>
    <n v="54.5"/>
    <x v="50"/>
    <d v="2025-02-22T00:00:00"/>
    <x v="1"/>
    <x v="0"/>
    <n v="4"/>
    <x v="0"/>
    <x v="3"/>
    <x v="1"/>
    <x v="7"/>
    <x v="1"/>
  </r>
  <r>
    <x v="1336"/>
    <x v="9"/>
    <x v="9"/>
    <n v="68.900000000000006"/>
    <n v="344.5"/>
    <x v="50"/>
    <d v="2025-02-22T00:00:00"/>
    <x v="1"/>
    <x v="4"/>
    <n v="3"/>
    <x v="0"/>
    <x v="3"/>
    <x v="1"/>
    <x v="7"/>
    <x v="1"/>
  </r>
  <r>
    <x v="1337"/>
    <x v="6"/>
    <x v="2"/>
    <n v="84"/>
    <n v="252"/>
    <x v="50"/>
    <d v="2025-02-21T00:00:00"/>
    <x v="1"/>
    <x v="1"/>
    <n v="2"/>
    <x v="0"/>
    <x v="16"/>
    <x v="3"/>
    <x v="7"/>
    <x v="1"/>
  </r>
  <r>
    <x v="1338"/>
    <x v="15"/>
    <x v="8"/>
    <n v="23.1"/>
    <n v="184.8"/>
    <x v="50"/>
    <d v="2025-02-25T00:00:00"/>
    <x v="1"/>
    <x v="0"/>
    <n v="5"/>
    <x v="0"/>
    <x v="23"/>
    <x v="0"/>
    <x v="7"/>
    <x v="1"/>
  </r>
  <r>
    <x v="1339"/>
    <x v="7"/>
    <x v="1"/>
    <n v="62.4"/>
    <n v="124.8"/>
    <x v="50"/>
    <d v="2025-02-21T00:00:00"/>
    <x v="2"/>
    <x v="0"/>
    <n v="3"/>
    <x v="0"/>
    <x v="6"/>
    <x v="3"/>
    <x v="7"/>
    <x v="2"/>
  </r>
  <r>
    <x v="1340"/>
    <x v="6"/>
    <x v="4"/>
    <n v="40.700000000000003"/>
    <n v="488.40000000000003"/>
    <x v="50"/>
    <d v="2025-02-22T00:00:00"/>
    <x v="1"/>
    <x v="1"/>
    <n v="5"/>
    <x v="0"/>
    <x v="6"/>
    <x v="1"/>
    <x v="7"/>
    <x v="1"/>
  </r>
  <r>
    <x v="1341"/>
    <x v="6"/>
    <x v="0"/>
    <n v="49.6"/>
    <n v="49.6"/>
    <x v="50"/>
    <d v="2025-02-23T00:00:00"/>
    <x v="1"/>
    <x v="2"/>
    <n v="4"/>
    <x v="0"/>
    <x v="7"/>
    <x v="2"/>
    <x v="7"/>
    <x v="1"/>
  </r>
  <r>
    <x v="1342"/>
    <x v="7"/>
    <x v="41"/>
    <n v="66.599999999999994"/>
    <n v="2996.9999999999995"/>
    <x v="50"/>
    <d v="2025-02-23T00:00:00"/>
    <x v="1"/>
    <x v="2"/>
    <n v="4"/>
    <x v="0"/>
    <x v="8"/>
    <x v="2"/>
    <x v="7"/>
    <x v="1"/>
  </r>
  <r>
    <x v="1343"/>
    <x v="8"/>
    <x v="2"/>
    <n v="26.4"/>
    <n v="79.199999999999989"/>
    <x v="50"/>
    <d v="2025-02-21T00:00:00"/>
    <x v="2"/>
    <x v="1"/>
    <n v="3"/>
    <x v="0"/>
    <x v="8"/>
    <x v="3"/>
    <x v="7"/>
    <x v="2"/>
  </r>
  <r>
    <x v="1344"/>
    <x v="0"/>
    <x v="1"/>
    <n v="17.2"/>
    <n v="34.4"/>
    <x v="50"/>
    <d v="2025-02-23T00:00:00"/>
    <x v="1"/>
    <x v="2"/>
    <n v="3"/>
    <x v="0"/>
    <x v="8"/>
    <x v="2"/>
    <x v="7"/>
    <x v="1"/>
  </r>
  <r>
    <x v="1345"/>
    <x v="5"/>
    <x v="8"/>
    <n v="58.1"/>
    <n v="464.8"/>
    <x v="50"/>
    <d v="2025-02-23T00:00:00"/>
    <x v="2"/>
    <x v="4"/>
    <n v="4"/>
    <x v="0"/>
    <x v="8"/>
    <x v="2"/>
    <x v="7"/>
    <x v="2"/>
  </r>
  <r>
    <x v="1346"/>
    <x v="15"/>
    <x v="12"/>
    <n v="31.5"/>
    <n v="126"/>
    <x v="50"/>
    <d v="2025-02-23T00:00:00"/>
    <x v="2"/>
    <x v="4"/>
    <n v="2"/>
    <x v="0"/>
    <x v="8"/>
    <x v="2"/>
    <x v="7"/>
    <x v="2"/>
  </r>
  <r>
    <x v="1347"/>
    <x v="0"/>
    <x v="0"/>
    <n v="27.1"/>
    <n v="27.1"/>
    <x v="50"/>
    <d v="2025-02-22T00:00:00"/>
    <x v="2"/>
    <x v="0"/>
    <n v="3"/>
    <x v="0"/>
    <x v="17"/>
    <x v="1"/>
    <x v="7"/>
    <x v="2"/>
  </r>
  <r>
    <x v="1348"/>
    <x v="18"/>
    <x v="12"/>
    <n v="28.5"/>
    <n v="114"/>
    <x v="50"/>
    <d v="2025-02-22T00:00:00"/>
    <x v="1"/>
    <x v="1"/>
    <n v="5"/>
    <x v="0"/>
    <x v="9"/>
    <x v="1"/>
    <x v="7"/>
    <x v="1"/>
  </r>
  <r>
    <x v="1349"/>
    <x v="10"/>
    <x v="0"/>
    <n v="40.5"/>
    <n v="40.5"/>
    <x v="51"/>
    <d v="2025-02-23T00:00:00"/>
    <x v="3"/>
    <x v="2"/>
    <n v="4"/>
    <x v="0"/>
    <x v="9"/>
    <x v="1"/>
    <x v="7"/>
    <x v="3"/>
  </r>
  <r>
    <x v="1350"/>
    <x v="2"/>
    <x v="2"/>
    <n v="77.900000000000006"/>
    <n v="233.70000000000002"/>
    <x v="51"/>
    <d v="2025-02-25T00:00:00"/>
    <x v="2"/>
    <x v="1"/>
    <n v="5"/>
    <x v="0"/>
    <x v="19"/>
    <x v="5"/>
    <x v="7"/>
    <x v="2"/>
  </r>
  <r>
    <x v="1351"/>
    <x v="18"/>
    <x v="12"/>
    <n v="37.1"/>
    <n v="148.4"/>
    <x v="51"/>
    <d v="2025-02-23T00:00:00"/>
    <x v="1"/>
    <x v="4"/>
    <n v="5"/>
    <x v="0"/>
    <x v="19"/>
    <x v="1"/>
    <x v="7"/>
    <x v="1"/>
  </r>
  <r>
    <x v="1352"/>
    <x v="16"/>
    <x v="2"/>
    <n v="51.6"/>
    <n v="154.80000000000001"/>
    <x v="51"/>
    <d v="2025-03-01T00:00:00"/>
    <x v="2"/>
    <x v="0"/>
    <n v="2"/>
    <x v="0"/>
    <x v="19"/>
    <x v="9"/>
    <x v="7"/>
    <x v="2"/>
  </r>
  <r>
    <x v="1353"/>
    <x v="7"/>
    <x v="2"/>
    <n v="98"/>
    <n v="294"/>
    <x v="51"/>
    <d v="2025-02-22T00:00:00"/>
    <x v="1"/>
    <x v="1"/>
    <n v="3"/>
    <x v="0"/>
    <x v="19"/>
    <x v="3"/>
    <x v="7"/>
    <x v="1"/>
  </r>
  <r>
    <x v="1354"/>
    <x v="6"/>
    <x v="3"/>
    <n v="41.4"/>
    <n v="289.8"/>
    <x v="51"/>
    <d v="2025-02-22T00:00:00"/>
    <x v="1"/>
    <x v="1"/>
    <n v="4"/>
    <x v="0"/>
    <x v="20"/>
    <x v="3"/>
    <x v="7"/>
    <x v="1"/>
  </r>
  <r>
    <x v="1355"/>
    <x v="11"/>
    <x v="8"/>
    <n v="34"/>
    <n v="272"/>
    <x v="51"/>
    <d v="2025-02-26T00:00:00"/>
    <x v="2"/>
    <x v="0"/>
    <n v="5"/>
    <x v="0"/>
    <x v="52"/>
    <x v="0"/>
    <x v="7"/>
    <x v="2"/>
  </r>
  <r>
    <x v="1356"/>
    <x v="6"/>
    <x v="0"/>
    <n v="66.3"/>
    <n v="66.3"/>
    <x v="51"/>
    <d v="2025-02-22T00:00:00"/>
    <x v="2"/>
    <x v="1"/>
    <n v="4"/>
    <x v="0"/>
    <x v="13"/>
    <x v="3"/>
    <x v="7"/>
    <x v="2"/>
  </r>
  <r>
    <x v="1357"/>
    <x v="7"/>
    <x v="0"/>
    <n v="33.5"/>
    <n v="33.5"/>
    <x v="51"/>
    <d v="2025-02-25T00:00:00"/>
    <x v="1"/>
    <x v="2"/>
    <n v="4"/>
    <x v="0"/>
    <x v="13"/>
    <x v="5"/>
    <x v="7"/>
    <x v="1"/>
  </r>
  <r>
    <x v="1358"/>
    <x v="12"/>
    <x v="1"/>
    <n v="70.8"/>
    <n v="141.6"/>
    <x v="51"/>
    <d v="2025-02-22T00:00:00"/>
    <x v="0"/>
    <x v="0"/>
    <n v="4"/>
    <x v="0"/>
    <x v="28"/>
    <x v="3"/>
    <x v="7"/>
    <x v="0"/>
  </r>
  <r>
    <x v="1359"/>
    <x v="6"/>
    <x v="1"/>
    <n v="127.6"/>
    <n v="255.2"/>
    <x v="51"/>
    <d v="2025-02-22T00:00:00"/>
    <x v="1"/>
    <x v="0"/>
    <n v="4"/>
    <x v="0"/>
    <x v="21"/>
    <x v="3"/>
    <x v="7"/>
    <x v="1"/>
  </r>
  <r>
    <x v="1360"/>
    <x v="6"/>
    <x v="2"/>
    <n v="95.9"/>
    <n v="287.70000000000005"/>
    <x v="51"/>
    <d v="2025-02-22T00:00:00"/>
    <x v="2"/>
    <x v="1"/>
    <n v="3"/>
    <x v="0"/>
    <x v="21"/>
    <x v="3"/>
    <x v="7"/>
    <x v="2"/>
  </r>
  <r>
    <x v="1361"/>
    <x v="2"/>
    <x v="1"/>
    <n v="78.099999999999994"/>
    <n v="156.19999999999999"/>
    <x v="51"/>
    <d v="2025-02-22T00:00:00"/>
    <x v="1"/>
    <x v="0"/>
    <n v="4"/>
    <x v="0"/>
    <x v="1"/>
    <x v="3"/>
    <x v="7"/>
    <x v="1"/>
  </r>
  <r>
    <x v="1362"/>
    <x v="13"/>
    <x v="1"/>
    <n v="43.2"/>
    <n v="86.4"/>
    <x v="51"/>
    <d v="2025-02-22T00:00:00"/>
    <x v="0"/>
    <x v="1"/>
    <n v="3"/>
    <x v="0"/>
    <x v="1"/>
    <x v="3"/>
    <x v="7"/>
    <x v="0"/>
  </r>
  <r>
    <x v="1363"/>
    <x v="8"/>
    <x v="12"/>
    <n v="28.4"/>
    <n v="113.6"/>
    <x v="51"/>
    <d v="2025-02-27T00:00:00"/>
    <x v="1"/>
    <x v="2"/>
    <n v="4"/>
    <x v="0"/>
    <x v="3"/>
    <x v="4"/>
    <x v="7"/>
    <x v="1"/>
  </r>
  <r>
    <x v="1364"/>
    <x v="2"/>
    <x v="1"/>
    <n v="81.7"/>
    <n v="163.4"/>
    <x v="51"/>
    <d v="2025-02-21T00:00:00"/>
    <x v="1"/>
    <x v="0"/>
    <n v="4"/>
    <x v="0"/>
    <x v="3"/>
    <x v="7"/>
    <x v="7"/>
    <x v="1"/>
  </r>
  <r>
    <x v="1365"/>
    <x v="18"/>
    <x v="1"/>
    <n v="56.7"/>
    <n v="113.4"/>
    <x v="51"/>
    <d v="2025-02-23T00:00:00"/>
    <x v="0"/>
    <x v="0"/>
    <n v="5"/>
    <x v="0"/>
    <x v="3"/>
    <x v="1"/>
    <x v="7"/>
    <x v="0"/>
  </r>
  <r>
    <x v="1366"/>
    <x v="3"/>
    <x v="12"/>
    <n v="66.5"/>
    <n v="266"/>
    <x v="51"/>
    <d v="2025-02-21T00:00:00"/>
    <x v="2"/>
    <x v="0"/>
    <n v="5"/>
    <x v="0"/>
    <x v="3"/>
    <x v="7"/>
    <x v="7"/>
    <x v="2"/>
  </r>
  <r>
    <x v="1367"/>
    <x v="1"/>
    <x v="1"/>
    <n v="105.3"/>
    <n v="210.6"/>
    <x v="51"/>
    <d v="2025-02-25T00:00:00"/>
    <x v="1"/>
    <x v="0"/>
    <n v="3"/>
    <x v="0"/>
    <x v="3"/>
    <x v="5"/>
    <x v="7"/>
    <x v="1"/>
  </r>
  <r>
    <x v="1368"/>
    <x v="10"/>
    <x v="9"/>
    <n v="33.799999999999997"/>
    <n v="169"/>
    <x v="51"/>
    <d v="2025-02-26T00:00:00"/>
    <x v="1"/>
    <x v="0"/>
    <n v="4"/>
    <x v="0"/>
    <x v="3"/>
    <x v="0"/>
    <x v="7"/>
    <x v="1"/>
  </r>
  <r>
    <x v="1369"/>
    <x v="6"/>
    <x v="2"/>
    <n v="63.4"/>
    <n v="190.2"/>
    <x v="51"/>
    <d v="2025-02-26T00:00:00"/>
    <x v="1"/>
    <x v="3"/>
    <n v="3"/>
    <x v="0"/>
    <x v="24"/>
    <x v="0"/>
    <x v="7"/>
    <x v="1"/>
  </r>
  <r>
    <x v="1370"/>
    <x v="6"/>
    <x v="2"/>
    <n v="49"/>
    <n v="147"/>
    <x v="51"/>
    <d v="2025-02-25T00:00:00"/>
    <x v="1"/>
    <x v="3"/>
    <n v="4"/>
    <x v="0"/>
    <x v="49"/>
    <x v="5"/>
    <x v="7"/>
    <x v="1"/>
  </r>
  <r>
    <x v="1371"/>
    <x v="1"/>
    <x v="1"/>
    <n v="40"/>
    <n v="80"/>
    <x v="51"/>
    <d v="2025-02-22T00:00:00"/>
    <x v="2"/>
    <x v="4"/>
    <n v="3"/>
    <x v="0"/>
    <x v="23"/>
    <x v="3"/>
    <x v="7"/>
    <x v="2"/>
  </r>
  <r>
    <x v="1372"/>
    <x v="6"/>
    <x v="12"/>
    <n v="86.3"/>
    <n v="345.2"/>
    <x v="51"/>
    <d v="2025-02-22T00:00:00"/>
    <x v="3"/>
    <x v="0"/>
    <n v="4"/>
    <x v="0"/>
    <x v="6"/>
    <x v="3"/>
    <x v="7"/>
    <x v="3"/>
  </r>
  <r>
    <x v="1373"/>
    <x v="6"/>
    <x v="0"/>
    <n v="51.6"/>
    <n v="51.6"/>
    <x v="51"/>
    <d v="2025-02-23T00:00:00"/>
    <x v="2"/>
    <x v="2"/>
    <n v="5"/>
    <x v="0"/>
    <x v="6"/>
    <x v="1"/>
    <x v="7"/>
    <x v="2"/>
  </r>
  <r>
    <x v="1374"/>
    <x v="10"/>
    <x v="2"/>
    <n v="26.7"/>
    <n v="80.099999999999994"/>
    <x v="51"/>
    <d v="2025-02-26T00:00:00"/>
    <x v="2"/>
    <x v="2"/>
    <n v="3"/>
    <x v="0"/>
    <x v="6"/>
    <x v="0"/>
    <x v="7"/>
    <x v="2"/>
  </r>
  <r>
    <x v="1375"/>
    <x v="18"/>
    <x v="1"/>
    <n v="68.099999999999994"/>
    <n v="136.19999999999999"/>
    <x v="51"/>
    <d v="2025-02-22T00:00:00"/>
    <x v="1"/>
    <x v="0"/>
    <n v="3"/>
    <x v="0"/>
    <x v="6"/>
    <x v="3"/>
    <x v="7"/>
    <x v="1"/>
  </r>
  <r>
    <x v="1376"/>
    <x v="1"/>
    <x v="0"/>
    <n v="81.7"/>
    <n v="81.7"/>
    <x v="51"/>
    <d v="2025-02-22T00:00:00"/>
    <x v="1"/>
    <x v="0"/>
    <n v="4"/>
    <x v="0"/>
    <x v="7"/>
    <x v="3"/>
    <x v="7"/>
    <x v="1"/>
  </r>
  <r>
    <x v="1377"/>
    <x v="18"/>
    <x v="7"/>
    <n v="25.1"/>
    <n v="251"/>
    <x v="51"/>
    <d v="2025-02-24T00:00:00"/>
    <x v="1"/>
    <x v="3"/>
    <n v="3"/>
    <x v="0"/>
    <x v="8"/>
    <x v="2"/>
    <x v="7"/>
    <x v="1"/>
  </r>
  <r>
    <x v="1378"/>
    <x v="8"/>
    <x v="0"/>
    <n v="20.2"/>
    <n v="20.2"/>
    <x v="51"/>
    <d v="2025-02-25T00:00:00"/>
    <x v="2"/>
    <x v="0"/>
    <n v="4"/>
    <x v="0"/>
    <x v="8"/>
    <x v="5"/>
    <x v="7"/>
    <x v="2"/>
  </r>
  <r>
    <x v="1379"/>
    <x v="8"/>
    <x v="2"/>
    <n v="15.4"/>
    <n v="46.2"/>
    <x v="51"/>
    <d v="2025-02-22T00:00:00"/>
    <x v="1"/>
    <x v="1"/>
    <n v="5"/>
    <x v="0"/>
    <x v="8"/>
    <x v="3"/>
    <x v="7"/>
    <x v="1"/>
  </r>
  <r>
    <x v="1380"/>
    <x v="10"/>
    <x v="0"/>
    <n v="59.2"/>
    <n v="59.2"/>
    <x v="51"/>
    <d v="2025-02-22T00:00:00"/>
    <x v="1"/>
    <x v="2"/>
    <n v="5"/>
    <x v="0"/>
    <x v="17"/>
    <x v="3"/>
    <x v="7"/>
    <x v="1"/>
  </r>
  <r>
    <x v="1381"/>
    <x v="0"/>
    <x v="0"/>
    <n v="46.7"/>
    <n v="46.7"/>
    <x v="51"/>
    <d v="2025-02-26T00:00:00"/>
    <x v="1"/>
    <x v="0"/>
    <n v="4"/>
    <x v="0"/>
    <x v="17"/>
    <x v="0"/>
    <x v="7"/>
    <x v="1"/>
  </r>
  <r>
    <x v="1382"/>
    <x v="6"/>
    <x v="20"/>
    <n v="41.6"/>
    <n v="624"/>
    <x v="51"/>
    <d v="2025-02-23T00:00:00"/>
    <x v="1"/>
    <x v="1"/>
    <n v="4"/>
    <x v="0"/>
    <x v="26"/>
    <x v="1"/>
    <x v="7"/>
    <x v="1"/>
  </r>
  <r>
    <x v="1383"/>
    <x v="8"/>
    <x v="1"/>
    <n v="19.2"/>
    <n v="38.4"/>
    <x v="51"/>
    <d v="2025-02-24T00:00:00"/>
    <x v="1"/>
    <x v="4"/>
    <n v="5"/>
    <x v="0"/>
    <x v="9"/>
    <x v="2"/>
    <x v="7"/>
    <x v="1"/>
  </r>
  <r>
    <x v="1384"/>
    <x v="17"/>
    <x v="3"/>
    <n v="41.8"/>
    <n v="292.59999999999997"/>
    <x v="51"/>
    <d v="2025-02-23T00:00:00"/>
    <x v="2"/>
    <x v="2"/>
    <n v="4"/>
    <x v="0"/>
    <x v="11"/>
    <x v="1"/>
    <x v="7"/>
    <x v="2"/>
  </r>
  <r>
    <x v="1385"/>
    <x v="8"/>
    <x v="13"/>
    <n v="37.4"/>
    <n v="224.39999999999998"/>
    <x v="51"/>
    <d v="2025-02-23T00:00:00"/>
    <x v="1"/>
    <x v="0"/>
    <n v="5"/>
    <x v="0"/>
    <x v="11"/>
    <x v="1"/>
    <x v="7"/>
    <x v="1"/>
  </r>
  <r>
    <x v="1386"/>
    <x v="10"/>
    <x v="2"/>
    <n v="60.2"/>
    <n v="180.60000000000002"/>
    <x v="51"/>
    <d v="2025-02-24T00:00:00"/>
    <x v="1"/>
    <x v="4"/>
    <n v="3"/>
    <x v="0"/>
    <x v="38"/>
    <x v="2"/>
    <x v="7"/>
    <x v="1"/>
  </r>
  <r>
    <x v="1387"/>
    <x v="9"/>
    <x v="1"/>
    <n v="91.5"/>
    <n v="183"/>
    <x v="52"/>
    <d v="2025-02-23T00:00:00"/>
    <x v="1"/>
    <x v="0"/>
    <n v="4"/>
    <x v="0"/>
    <x v="13"/>
    <x v="3"/>
    <x v="7"/>
    <x v="1"/>
  </r>
  <r>
    <x v="1388"/>
    <x v="3"/>
    <x v="9"/>
    <n v="55.7"/>
    <n v="278.5"/>
    <x v="52"/>
    <d v="2025-02-24T00:00:00"/>
    <x v="0"/>
    <x v="1"/>
    <n v="5"/>
    <x v="0"/>
    <x v="21"/>
    <x v="1"/>
    <x v="7"/>
    <x v="0"/>
  </r>
  <r>
    <x v="1389"/>
    <x v="7"/>
    <x v="1"/>
    <n v="76.7"/>
    <n v="153.4"/>
    <x v="52"/>
    <d v="2025-02-24T00:00:00"/>
    <x v="1"/>
    <x v="0"/>
    <n v="3"/>
    <x v="0"/>
    <x v="21"/>
    <x v="1"/>
    <x v="7"/>
    <x v="1"/>
  </r>
  <r>
    <x v="1390"/>
    <x v="8"/>
    <x v="38"/>
    <n v="28.2"/>
    <n v="592.19999999999993"/>
    <x v="52"/>
    <d v="2025-02-27T00:00:00"/>
    <x v="1"/>
    <x v="2"/>
    <n v="4"/>
    <x v="0"/>
    <x v="1"/>
    <x v="0"/>
    <x v="7"/>
    <x v="1"/>
  </r>
  <r>
    <x v="1391"/>
    <x v="7"/>
    <x v="9"/>
    <n v="93.2"/>
    <n v="466"/>
    <x v="52"/>
    <d v="2025-02-24T00:00:00"/>
    <x v="2"/>
    <x v="4"/>
    <n v="5"/>
    <x v="0"/>
    <x v="1"/>
    <x v="1"/>
    <x v="7"/>
    <x v="2"/>
  </r>
  <r>
    <x v="1392"/>
    <x v="17"/>
    <x v="0"/>
    <n v="33.299999999999997"/>
    <n v="33.299999999999997"/>
    <x v="52"/>
    <d v="2025-02-23T00:00:00"/>
    <x v="1"/>
    <x v="4"/>
    <n v="4"/>
    <x v="0"/>
    <x v="2"/>
    <x v="3"/>
    <x v="7"/>
    <x v="1"/>
  </r>
  <r>
    <x v="1393"/>
    <x v="10"/>
    <x v="1"/>
    <n v="39.1"/>
    <n v="78.2"/>
    <x v="52"/>
    <d v="2025-02-25T00:00:00"/>
    <x v="1"/>
    <x v="0"/>
    <n v="4"/>
    <x v="0"/>
    <x v="44"/>
    <x v="2"/>
    <x v="7"/>
    <x v="1"/>
  </r>
  <r>
    <x v="1394"/>
    <x v="7"/>
    <x v="4"/>
    <n v="45.3"/>
    <n v="543.59999999999991"/>
    <x v="52"/>
    <d v="2025-02-23T00:00:00"/>
    <x v="1"/>
    <x v="2"/>
    <n v="4"/>
    <x v="0"/>
    <x v="33"/>
    <x v="3"/>
    <x v="7"/>
    <x v="1"/>
  </r>
  <r>
    <x v="1395"/>
    <x v="9"/>
    <x v="3"/>
    <n v="33.9"/>
    <n v="237.29999999999998"/>
    <x v="52"/>
    <d v="2025-02-23T00:00:00"/>
    <x v="1"/>
    <x v="4"/>
    <n v="4"/>
    <x v="0"/>
    <x v="33"/>
    <x v="3"/>
    <x v="7"/>
    <x v="1"/>
  </r>
  <r>
    <x v="1396"/>
    <x v="8"/>
    <x v="2"/>
    <n v="19"/>
    <n v="57"/>
    <x v="52"/>
    <d v="2025-02-23T00:00:00"/>
    <x v="1"/>
    <x v="0"/>
    <n v="5"/>
    <x v="0"/>
    <x v="15"/>
    <x v="3"/>
    <x v="7"/>
    <x v="1"/>
  </r>
  <r>
    <x v="1397"/>
    <x v="4"/>
    <x v="0"/>
    <n v="41.9"/>
    <n v="41.9"/>
    <x v="52"/>
    <d v="2025-02-25T00:00:00"/>
    <x v="2"/>
    <x v="2"/>
    <n v="4"/>
    <x v="0"/>
    <x v="22"/>
    <x v="2"/>
    <x v="7"/>
    <x v="2"/>
  </r>
  <r>
    <x v="1398"/>
    <x v="1"/>
    <x v="12"/>
    <n v="37.5"/>
    <n v="150"/>
    <x v="52"/>
    <d v="2025-02-22T00:00:00"/>
    <x v="2"/>
    <x v="0"/>
    <n v="4"/>
    <x v="0"/>
    <x v="3"/>
    <x v="7"/>
    <x v="7"/>
    <x v="2"/>
  </r>
  <r>
    <x v="1399"/>
    <x v="0"/>
    <x v="1"/>
    <n v="40.799999999999997"/>
    <n v="81.599999999999994"/>
    <x v="52"/>
    <d v="2025-02-25T00:00:00"/>
    <x v="1"/>
    <x v="0"/>
    <n v="4"/>
    <x v="0"/>
    <x v="3"/>
    <x v="2"/>
    <x v="7"/>
    <x v="1"/>
  </r>
  <r>
    <x v="1400"/>
    <x v="0"/>
    <x v="12"/>
    <n v="23.1"/>
    <n v="92.4"/>
    <x v="52"/>
    <d v="2025-02-23T00:00:00"/>
    <x v="2"/>
    <x v="4"/>
    <n v="4"/>
    <x v="0"/>
    <x v="3"/>
    <x v="3"/>
    <x v="7"/>
    <x v="2"/>
  </r>
  <r>
    <x v="1401"/>
    <x v="8"/>
    <x v="9"/>
    <n v="39.299999999999997"/>
    <n v="196.5"/>
    <x v="52"/>
    <d v="2025-02-23T00:00:00"/>
    <x v="2"/>
    <x v="0"/>
    <n v="4"/>
    <x v="0"/>
    <x v="3"/>
    <x v="3"/>
    <x v="7"/>
    <x v="2"/>
  </r>
  <r>
    <x v="1402"/>
    <x v="2"/>
    <x v="12"/>
    <n v="85.2"/>
    <n v="340.8"/>
    <x v="52"/>
    <d v="2025-02-27T00:00:00"/>
    <x v="1"/>
    <x v="2"/>
    <n v="4"/>
    <x v="0"/>
    <x v="3"/>
    <x v="0"/>
    <x v="7"/>
    <x v="1"/>
  </r>
  <r>
    <x v="1403"/>
    <x v="8"/>
    <x v="13"/>
    <n v="16"/>
    <n v="96"/>
    <x v="52"/>
    <d v="2025-02-25T00:00:00"/>
    <x v="1"/>
    <x v="1"/>
    <n v="4"/>
    <x v="0"/>
    <x v="3"/>
    <x v="2"/>
    <x v="7"/>
    <x v="1"/>
  </r>
  <r>
    <x v="1404"/>
    <x v="1"/>
    <x v="1"/>
    <n v="33.799999999999997"/>
    <n v="67.599999999999994"/>
    <x v="52"/>
    <d v="2025-02-26T00:00:00"/>
    <x v="2"/>
    <x v="1"/>
    <n v="4"/>
    <x v="0"/>
    <x v="3"/>
    <x v="5"/>
    <x v="7"/>
    <x v="2"/>
  </r>
  <r>
    <x v="1405"/>
    <x v="3"/>
    <x v="0"/>
    <n v="70"/>
    <n v="70"/>
    <x v="52"/>
    <d v="2025-02-23T00:00:00"/>
    <x v="2"/>
    <x v="0"/>
    <n v="4"/>
    <x v="0"/>
    <x v="3"/>
    <x v="3"/>
    <x v="7"/>
    <x v="2"/>
  </r>
  <r>
    <x v="1406"/>
    <x v="9"/>
    <x v="0"/>
    <n v="88"/>
    <n v="88"/>
    <x v="52"/>
    <d v="2025-02-27T00:00:00"/>
    <x v="2"/>
    <x v="3"/>
    <n v="4"/>
    <x v="0"/>
    <x v="3"/>
    <x v="0"/>
    <x v="7"/>
    <x v="2"/>
  </r>
  <r>
    <x v="1407"/>
    <x v="2"/>
    <x v="2"/>
    <n v="74.099999999999994"/>
    <n v="222.29999999999998"/>
    <x v="52"/>
    <d v="2025-02-22T00:00:00"/>
    <x v="1"/>
    <x v="4"/>
    <n v="3"/>
    <x v="0"/>
    <x v="3"/>
    <x v="7"/>
    <x v="7"/>
    <x v="1"/>
  </r>
  <r>
    <x v="1408"/>
    <x v="2"/>
    <x v="0"/>
    <n v="161.9"/>
    <n v="161.9"/>
    <x v="52"/>
    <d v="2025-02-24T00:00:00"/>
    <x v="1"/>
    <x v="2"/>
    <n v="4"/>
    <x v="0"/>
    <x v="3"/>
    <x v="1"/>
    <x v="7"/>
    <x v="1"/>
  </r>
  <r>
    <x v="1409"/>
    <x v="4"/>
    <x v="1"/>
    <n v="44"/>
    <n v="88"/>
    <x v="52"/>
    <d v="2025-02-23T00:00:00"/>
    <x v="3"/>
    <x v="4"/>
    <n v="3"/>
    <x v="0"/>
    <x v="3"/>
    <x v="3"/>
    <x v="7"/>
    <x v="3"/>
  </r>
  <r>
    <x v="1410"/>
    <x v="11"/>
    <x v="0"/>
    <n v="32.1"/>
    <n v="32.1"/>
    <x v="52"/>
    <d v="2025-02-22T00:00:00"/>
    <x v="2"/>
    <x v="3"/>
    <n v="1"/>
    <x v="0"/>
    <x v="3"/>
    <x v="7"/>
    <x v="7"/>
    <x v="2"/>
  </r>
  <r>
    <x v="1411"/>
    <x v="2"/>
    <x v="12"/>
    <n v="104.8"/>
    <n v="419.2"/>
    <x v="53"/>
    <d v="2025-02-25T00:00:00"/>
    <x v="3"/>
    <x v="0"/>
    <n v="4"/>
    <x v="0"/>
    <x v="3"/>
    <x v="1"/>
    <x v="8"/>
    <x v="3"/>
  </r>
  <r>
    <x v="1412"/>
    <x v="9"/>
    <x v="13"/>
    <n v="67.400000000000006"/>
    <n v="404.40000000000003"/>
    <x v="53"/>
    <d v="2025-02-24T00:00:00"/>
    <x v="2"/>
    <x v="3"/>
    <n v="4"/>
    <x v="0"/>
    <x v="3"/>
    <x v="3"/>
    <x v="8"/>
    <x v="2"/>
  </r>
  <r>
    <x v="1413"/>
    <x v="6"/>
    <x v="1"/>
    <n v="115.2"/>
    <n v="230.4"/>
    <x v="53"/>
    <d v="2025-02-24T00:00:00"/>
    <x v="2"/>
    <x v="1"/>
    <n v="4"/>
    <x v="0"/>
    <x v="4"/>
    <x v="3"/>
    <x v="8"/>
    <x v="2"/>
  </r>
  <r>
    <x v="1414"/>
    <x v="8"/>
    <x v="19"/>
    <n v="15.5"/>
    <n v="449.5"/>
    <x v="53"/>
    <d v="2025-02-25T00:00:00"/>
    <x v="2"/>
    <x v="0"/>
    <n v="3"/>
    <x v="0"/>
    <x v="23"/>
    <x v="1"/>
    <x v="8"/>
    <x v="2"/>
  </r>
  <r>
    <x v="1415"/>
    <x v="6"/>
    <x v="5"/>
    <n v="66.400000000000006"/>
    <n v="730.40000000000009"/>
    <x v="53"/>
    <d v="2025-02-25T00:00:00"/>
    <x v="2"/>
    <x v="0"/>
    <n v="4"/>
    <x v="0"/>
    <x v="6"/>
    <x v="1"/>
    <x v="8"/>
    <x v="2"/>
  </r>
  <r>
    <x v="1416"/>
    <x v="9"/>
    <x v="4"/>
    <n v="68.099999999999994"/>
    <n v="817.19999999999993"/>
    <x v="53"/>
    <d v="2025-02-24T00:00:00"/>
    <x v="2"/>
    <x v="2"/>
    <n v="4"/>
    <x v="0"/>
    <x v="8"/>
    <x v="3"/>
    <x v="8"/>
    <x v="2"/>
  </r>
  <r>
    <x v="1417"/>
    <x v="8"/>
    <x v="9"/>
    <n v="32.5"/>
    <n v="162.5"/>
    <x v="53"/>
    <d v="2025-02-27T00:00:00"/>
    <x v="1"/>
    <x v="2"/>
    <n v="3"/>
    <x v="0"/>
    <x v="8"/>
    <x v="5"/>
    <x v="8"/>
    <x v="1"/>
  </r>
  <r>
    <x v="1418"/>
    <x v="15"/>
    <x v="2"/>
    <n v="61.2"/>
    <n v="183.60000000000002"/>
    <x v="53"/>
    <d v="2025-02-25T00:00:00"/>
    <x v="2"/>
    <x v="1"/>
    <n v="3"/>
    <x v="0"/>
    <x v="8"/>
    <x v="1"/>
    <x v="8"/>
    <x v="2"/>
  </r>
  <r>
    <x v="1419"/>
    <x v="9"/>
    <x v="1"/>
    <n v="54.2"/>
    <n v="108.4"/>
    <x v="53"/>
    <d v="2025-02-24T00:00:00"/>
    <x v="2"/>
    <x v="1"/>
    <n v="4"/>
    <x v="0"/>
    <x v="8"/>
    <x v="3"/>
    <x v="8"/>
    <x v="2"/>
  </r>
  <r>
    <x v="1420"/>
    <x v="11"/>
    <x v="8"/>
    <n v="28.7"/>
    <n v="229.6"/>
    <x v="53"/>
    <d v="2025-02-25T00:00:00"/>
    <x v="1"/>
    <x v="1"/>
    <n v="4"/>
    <x v="0"/>
    <x v="9"/>
    <x v="1"/>
    <x v="8"/>
    <x v="1"/>
  </r>
  <r>
    <x v="1421"/>
    <x v="12"/>
    <x v="13"/>
    <n v="38.200000000000003"/>
    <n v="229.20000000000002"/>
    <x v="53"/>
    <d v="2025-02-27T00:00:00"/>
    <x v="2"/>
    <x v="0"/>
    <n v="3"/>
    <x v="0"/>
    <x v="9"/>
    <x v="5"/>
    <x v="8"/>
    <x v="2"/>
  </r>
  <r>
    <x v="1422"/>
    <x v="8"/>
    <x v="4"/>
    <n v="17.600000000000001"/>
    <n v="211.20000000000002"/>
    <x v="53"/>
    <d v="2025-02-24T00:00:00"/>
    <x v="2"/>
    <x v="2"/>
    <n v="3"/>
    <x v="0"/>
    <x v="9"/>
    <x v="3"/>
    <x v="8"/>
    <x v="2"/>
  </r>
  <r>
    <x v="1423"/>
    <x v="10"/>
    <x v="2"/>
    <n v="74.599999999999994"/>
    <n v="223.79999999999998"/>
    <x v="53"/>
    <d v="2025-02-23T00:00:00"/>
    <x v="2"/>
    <x v="2"/>
    <n v="4"/>
    <x v="0"/>
    <x v="11"/>
    <x v="7"/>
    <x v="8"/>
    <x v="2"/>
  </r>
  <r>
    <x v="1424"/>
    <x v="16"/>
    <x v="20"/>
    <n v="72.599999999999994"/>
    <n v="1089"/>
    <x v="53"/>
    <d v="2025-02-23T00:00:00"/>
    <x v="0"/>
    <x v="1"/>
    <n v="3"/>
    <x v="0"/>
    <x v="11"/>
    <x v="7"/>
    <x v="8"/>
    <x v="0"/>
  </r>
  <r>
    <x v="1425"/>
    <x v="7"/>
    <x v="0"/>
    <n v="62.3"/>
    <n v="62.3"/>
    <x v="53"/>
    <d v="2025-02-24T00:00:00"/>
    <x v="2"/>
    <x v="1"/>
    <n v="4"/>
    <x v="0"/>
    <x v="11"/>
    <x v="3"/>
    <x v="8"/>
    <x v="2"/>
  </r>
  <r>
    <x v="1426"/>
    <x v="3"/>
    <x v="2"/>
    <n v="33.799999999999997"/>
    <n v="101.39999999999999"/>
    <x v="53"/>
    <d v="2025-02-25T00:00:00"/>
    <x v="1"/>
    <x v="0"/>
    <n v="5"/>
    <x v="0"/>
    <x v="20"/>
    <x v="1"/>
    <x v="8"/>
    <x v="1"/>
  </r>
  <r>
    <x v="1427"/>
    <x v="9"/>
    <x v="0"/>
    <n v="85.7"/>
    <n v="85.7"/>
    <x v="53"/>
    <d v="2025-02-26T00:00:00"/>
    <x v="1"/>
    <x v="3"/>
    <n v="3"/>
    <x v="0"/>
    <x v="21"/>
    <x v="2"/>
    <x v="8"/>
    <x v="1"/>
  </r>
  <r>
    <x v="1428"/>
    <x v="6"/>
    <x v="1"/>
    <n v="92.1"/>
    <n v="184.2"/>
    <x v="53"/>
    <d v="2025-02-25T00:00:00"/>
    <x v="1"/>
    <x v="1"/>
    <n v="4"/>
    <x v="0"/>
    <x v="21"/>
    <x v="1"/>
    <x v="8"/>
    <x v="1"/>
  </r>
  <r>
    <x v="1429"/>
    <x v="16"/>
    <x v="2"/>
    <n v="65.099999999999994"/>
    <n v="195.29999999999998"/>
    <x v="53"/>
    <d v="2025-02-26T00:00:00"/>
    <x v="1"/>
    <x v="0"/>
    <n v="4"/>
    <x v="0"/>
    <x v="1"/>
    <x v="2"/>
    <x v="8"/>
    <x v="1"/>
  </r>
  <r>
    <x v="1430"/>
    <x v="9"/>
    <x v="3"/>
    <n v="20.3"/>
    <n v="142.1"/>
    <x v="53"/>
    <d v="2025-02-24T00:00:00"/>
    <x v="2"/>
    <x v="2"/>
    <n v="5"/>
    <x v="0"/>
    <x v="2"/>
    <x v="3"/>
    <x v="8"/>
    <x v="2"/>
  </r>
  <r>
    <x v="1431"/>
    <x v="19"/>
    <x v="1"/>
    <n v="29.8"/>
    <n v="59.6"/>
    <x v="53"/>
    <d v="2025-02-25T00:00:00"/>
    <x v="2"/>
    <x v="1"/>
    <n v="5"/>
    <x v="0"/>
    <x v="34"/>
    <x v="1"/>
    <x v="8"/>
    <x v="2"/>
  </r>
  <r>
    <x v="1432"/>
    <x v="0"/>
    <x v="1"/>
    <n v="24.2"/>
    <n v="48.4"/>
    <x v="53"/>
    <d v="2025-02-25T00:00:00"/>
    <x v="2"/>
    <x v="3"/>
    <n v="5"/>
    <x v="0"/>
    <x v="3"/>
    <x v="1"/>
    <x v="8"/>
    <x v="2"/>
  </r>
  <r>
    <x v="1433"/>
    <x v="3"/>
    <x v="0"/>
    <n v="57.3"/>
    <n v="57.3"/>
    <x v="53"/>
    <d v="2025-02-25T00:00:00"/>
    <x v="1"/>
    <x v="0"/>
    <n v="4"/>
    <x v="0"/>
    <x v="3"/>
    <x v="1"/>
    <x v="8"/>
    <x v="1"/>
  </r>
  <r>
    <x v="1434"/>
    <x v="2"/>
    <x v="0"/>
    <n v="108.9"/>
    <n v="108.9"/>
    <x v="53"/>
    <d v="2025-02-25T00:00:00"/>
    <x v="2"/>
    <x v="1"/>
    <n v="4"/>
    <x v="0"/>
    <x v="3"/>
    <x v="1"/>
    <x v="8"/>
    <x v="2"/>
  </r>
  <r>
    <x v="1435"/>
    <x v="7"/>
    <x v="9"/>
    <n v="50.7"/>
    <n v="253.5"/>
    <x v="53"/>
    <d v="2025-02-24T00:00:00"/>
    <x v="2"/>
    <x v="0"/>
    <n v="4"/>
    <x v="0"/>
    <x v="3"/>
    <x v="3"/>
    <x v="8"/>
    <x v="2"/>
  </r>
  <r>
    <x v="1436"/>
    <x v="7"/>
    <x v="11"/>
    <n v="66.099999999999994"/>
    <n v="594.9"/>
    <x v="53"/>
    <d v="2025-03-09T00:00:00"/>
    <x v="2"/>
    <x v="1"/>
    <n v="4"/>
    <x v="0"/>
    <x v="3"/>
    <x v="12"/>
    <x v="8"/>
    <x v="2"/>
  </r>
  <r>
    <x v="1437"/>
    <x v="12"/>
    <x v="9"/>
    <n v="36.700000000000003"/>
    <n v="183.5"/>
    <x v="53"/>
    <d v="2025-02-27T00:00:00"/>
    <x v="2"/>
    <x v="4"/>
    <n v="4"/>
    <x v="0"/>
    <x v="3"/>
    <x v="5"/>
    <x v="8"/>
    <x v="2"/>
  </r>
  <r>
    <x v="1438"/>
    <x v="8"/>
    <x v="14"/>
    <n v="19.3"/>
    <n v="328.1"/>
    <x v="53"/>
    <d v="2025-02-25T00:00:00"/>
    <x v="1"/>
    <x v="0"/>
    <n v="4"/>
    <x v="0"/>
    <x v="43"/>
    <x v="1"/>
    <x v="8"/>
    <x v="1"/>
  </r>
  <r>
    <x v="1439"/>
    <x v="8"/>
    <x v="12"/>
    <n v="20.7"/>
    <n v="82.8"/>
    <x v="53"/>
    <d v="2025-02-24T00:00:00"/>
    <x v="1"/>
    <x v="1"/>
    <n v="5"/>
    <x v="0"/>
    <x v="6"/>
    <x v="3"/>
    <x v="8"/>
    <x v="1"/>
  </r>
  <r>
    <x v="1440"/>
    <x v="5"/>
    <x v="2"/>
    <n v="54.7"/>
    <n v="164.10000000000002"/>
    <x v="53"/>
    <d v="2025-02-23T00:00:00"/>
    <x v="3"/>
    <x v="1"/>
    <n v="2"/>
    <x v="0"/>
    <x v="6"/>
    <x v="7"/>
    <x v="8"/>
    <x v="3"/>
  </r>
  <r>
    <x v="1441"/>
    <x v="4"/>
    <x v="1"/>
    <n v="19.8"/>
    <n v="39.6"/>
    <x v="53"/>
    <d v="2025-02-27T00:00:00"/>
    <x v="2"/>
    <x v="4"/>
    <n v="3"/>
    <x v="0"/>
    <x v="8"/>
    <x v="5"/>
    <x v="8"/>
    <x v="2"/>
  </r>
  <r>
    <x v="1442"/>
    <x v="7"/>
    <x v="0"/>
    <n v="41.1"/>
    <n v="41.1"/>
    <x v="53"/>
    <d v="2025-02-25T00:00:00"/>
    <x v="2"/>
    <x v="0"/>
    <n v="5"/>
    <x v="0"/>
    <x v="8"/>
    <x v="1"/>
    <x v="8"/>
    <x v="2"/>
  </r>
  <r>
    <x v="1443"/>
    <x v="11"/>
    <x v="8"/>
    <n v="43.5"/>
    <n v="348"/>
    <x v="53"/>
    <d v="2025-02-27T00:00:00"/>
    <x v="2"/>
    <x v="3"/>
    <n v="4"/>
    <x v="0"/>
    <x v="8"/>
    <x v="5"/>
    <x v="8"/>
    <x v="2"/>
  </r>
  <r>
    <x v="1444"/>
    <x v="8"/>
    <x v="21"/>
    <n v="19"/>
    <n v="266"/>
    <x v="53"/>
    <d v="2025-02-24T00:00:00"/>
    <x v="1"/>
    <x v="0"/>
    <n v="4"/>
    <x v="0"/>
    <x v="26"/>
    <x v="3"/>
    <x v="8"/>
    <x v="1"/>
  </r>
  <r>
    <x v="1445"/>
    <x v="2"/>
    <x v="12"/>
    <n v="51.4"/>
    <n v="205.6"/>
    <x v="53"/>
    <d v="2025-02-23T00:00:00"/>
    <x v="2"/>
    <x v="0"/>
    <n v="4"/>
    <x v="0"/>
    <x v="26"/>
    <x v="7"/>
    <x v="8"/>
    <x v="2"/>
  </r>
  <r>
    <x v="1446"/>
    <x v="10"/>
    <x v="1"/>
    <n v="39.799999999999997"/>
    <n v="79.599999999999994"/>
    <x v="53"/>
    <d v="2025-02-26T00:00:00"/>
    <x v="1"/>
    <x v="3"/>
    <n v="3"/>
    <x v="0"/>
    <x v="13"/>
    <x v="2"/>
    <x v="8"/>
    <x v="1"/>
  </r>
  <r>
    <x v="1447"/>
    <x v="6"/>
    <x v="9"/>
    <n v="61"/>
    <n v="305"/>
    <x v="53"/>
    <d v="2025-02-24T00:00:00"/>
    <x v="0"/>
    <x v="0"/>
    <n v="5"/>
    <x v="0"/>
    <x v="21"/>
    <x v="3"/>
    <x v="8"/>
    <x v="0"/>
  </r>
  <r>
    <x v="1448"/>
    <x v="8"/>
    <x v="5"/>
    <n v="15.1"/>
    <n v="166.1"/>
    <x v="54"/>
    <d v="2025-03-01T00:00:00"/>
    <x v="1"/>
    <x v="3"/>
    <n v="5"/>
    <x v="0"/>
    <x v="2"/>
    <x v="0"/>
    <x v="8"/>
    <x v="1"/>
  </r>
  <r>
    <x v="1449"/>
    <x v="1"/>
    <x v="3"/>
    <n v="71.3"/>
    <n v="499.09999999999997"/>
    <x v="54"/>
    <d v="2025-02-25T00:00:00"/>
    <x v="1"/>
    <x v="4"/>
    <n v="4"/>
    <x v="0"/>
    <x v="3"/>
    <x v="3"/>
    <x v="8"/>
    <x v="1"/>
  </r>
  <r>
    <x v="1450"/>
    <x v="10"/>
    <x v="0"/>
    <n v="25.8"/>
    <n v="25.8"/>
    <x v="54"/>
    <d v="2025-02-26T00:00:00"/>
    <x v="2"/>
    <x v="0"/>
    <n v="5"/>
    <x v="0"/>
    <x v="3"/>
    <x v="1"/>
    <x v="8"/>
    <x v="2"/>
  </r>
  <r>
    <x v="1451"/>
    <x v="8"/>
    <x v="9"/>
    <n v="39.6"/>
    <n v="198"/>
    <x v="54"/>
    <d v="2025-02-26T00:00:00"/>
    <x v="1"/>
    <x v="1"/>
    <n v="5"/>
    <x v="0"/>
    <x v="3"/>
    <x v="1"/>
    <x v="8"/>
    <x v="1"/>
  </r>
  <r>
    <x v="1452"/>
    <x v="5"/>
    <x v="1"/>
    <n v="64"/>
    <n v="128"/>
    <x v="54"/>
    <d v="2025-02-24T00:00:00"/>
    <x v="1"/>
    <x v="1"/>
    <n v="3"/>
    <x v="0"/>
    <x v="3"/>
    <x v="7"/>
    <x v="8"/>
    <x v="1"/>
  </r>
  <r>
    <x v="1453"/>
    <x v="8"/>
    <x v="1"/>
    <n v="30.6"/>
    <n v="61.2"/>
    <x v="54"/>
    <d v="2025-02-27T00:00:00"/>
    <x v="1"/>
    <x v="0"/>
    <n v="5"/>
    <x v="0"/>
    <x v="3"/>
    <x v="2"/>
    <x v="8"/>
    <x v="1"/>
  </r>
  <r>
    <x v="1454"/>
    <x v="8"/>
    <x v="1"/>
    <n v="21.3"/>
    <n v="42.6"/>
    <x v="54"/>
    <d v="2025-02-25T00:00:00"/>
    <x v="1"/>
    <x v="0"/>
    <n v="3"/>
    <x v="0"/>
    <x v="3"/>
    <x v="3"/>
    <x v="8"/>
    <x v="1"/>
  </r>
  <r>
    <x v="1455"/>
    <x v="7"/>
    <x v="0"/>
    <n v="40.799999999999997"/>
    <n v="40.799999999999997"/>
    <x v="54"/>
    <d v="2025-02-26T00:00:00"/>
    <x v="2"/>
    <x v="4"/>
    <n v="4"/>
    <x v="0"/>
    <x v="3"/>
    <x v="1"/>
    <x v="8"/>
    <x v="2"/>
  </r>
  <r>
    <x v="1456"/>
    <x v="9"/>
    <x v="12"/>
    <n v="27.7"/>
    <n v="110.8"/>
    <x v="54"/>
    <d v="2025-02-25T00:00:00"/>
    <x v="2"/>
    <x v="0"/>
    <n v="3"/>
    <x v="0"/>
    <x v="3"/>
    <x v="3"/>
    <x v="8"/>
    <x v="2"/>
  </r>
  <r>
    <x v="1457"/>
    <x v="6"/>
    <x v="1"/>
    <n v="64.599999999999994"/>
    <n v="129.19999999999999"/>
    <x v="54"/>
    <d v="2025-02-25T00:00:00"/>
    <x v="1"/>
    <x v="0"/>
    <n v="3"/>
    <x v="0"/>
    <x v="3"/>
    <x v="3"/>
    <x v="8"/>
    <x v="1"/>
  </r>
  <r>
    <x v="1458"/>
    <x v="6"/>
    <x v="27"/>
    <n v="91.1"/>
    <n v="1457.6"/>
    <x v="54"/>
    <d v="2025-02-25T00:00:00"/>
    <x v="2"/>
    <x v="1"/>
    <n v="5"/>
    <x v="0"/>
    <x v="3"/>
    <x v="3"/>
    <x v="8"/>
    <x v="2"/>
  </r>
  <r>
    <x v="1459"/>
    <x v="1"/>
    <x v="0"/>
    <n v="39.5"/>
    <n v="39.5"/>
    <x v="54"/>
    <d v="2025-03-04T00:00:00"/>
    <x v="2"/>
    <x v="0"/>
    <n v="4"/>
    <x v="0"/>
    <x v="3"/>
    <x v="9"/>
    <x v="8"/>
    <x v="2"/>
  </r>
  <r>
    <x v="1460"/>
    <x v="9"/>
    <x v="1"/>
    <n v="21.8"/>
    <n v="43.6"/>
    <x v="54"/>
    <d v="2025-02-28T00:00:00"/>
    <x v="1"/>
    <x v="4"/>
    <n v="5"/>
    <x v="0"/>
    <x v="3"/>
    <x v="5"/>
    <x v="8"/>
    <x v="1"/>
  </r>
  <r>
    <x v="1461"/>
    <x v="8"/>
    <x v="1"/>
    <n v="51"/>
    <n v="102"/>
    <x v="54"/>
    <d v="2025-02-27T00:00:00"/>
    <x v="1"/>
    <x v="3"/>
    <n v="5"/>
    <x v="0"/>
    <x v="3"/>
    <x v="2"/>
    <x v="8"/>
    <x v="1"/>
  </r>
  <r>
    <x v="1462"/>
    <x v="2"/>
    <x v="0"/>
    <n v="92.6"/>
    <n v="92.6"/>
    <x v="54"/>
    <d v="2025-02-27T00:00:00"/>
    <x v="2"/>
    <x v="0"/>
    <n v="5"/>
    <x v="0"/>
    <x v="35"/>
    <x v="2"/>
    <x v="8"/>
    <x v="2"/>
  </r>
  <r>
    <x v="1463"/>
    <x v="9"/>
    <x v="1"/>
    <n v="31.1"/>
    <n v="62.2"/>
    <x v="54"/>
    <d v="2025-03-01T00:00:00"/>
    <x v="0"/>
    <x v="1"/>
    <n v="1"/>
    <x v="0"/>
    <x v="23"/>
    <x v="0"/>
    <x v="8"/>
    <x v="0"/>
  </r>
  <r>
    <x v="1464"/>
    <x v="5"/>
    <x v="2"/>
    <n v="56.4"/>
    <n v="169.2"/>
    <x v="54"/>
    <d v="2025-02-25T00:00:00"/>
    <x v="0"/>
    <x v="1"/>
    <n v="4"/>
    <x v="0"/>
    <x v="6"/>
    <x v="3"/>
    <x v="8"/>
    <x v="0"/>
  </r>
  <r>
    <x v="1465"/>
    <x v="9"/>
    <x v="0"/>
    <n v="41.9"/>
    <n v="41.9"/>
    <x v="54"/>
    <d v="2025-02-24T00:00:00"/>
    <x v="1"/>
    <x v="1"/>
    <n v="4"/>
    <x v="0"/>
    <x v="6"/>
    <x v="7"/>
    <x v="8"/>
    <x v="1"/>
  </r>
  <r>
    <x v="1466"/>
    <x v="10"/>
    <x v="3"/>
    <n v="45.9"/>
    <n v="321.3"/>
    <x v="54"/>
    <d v="2025-02-25T00:00:00"/>
    <x v="1"/>
    <x v="3"/>
    <n v="5"/>
    <x v="0"/>
    <x v="8"/>
    <x v="3"/>
    <x v="8"/>
    <x v="1"/>
  </r>
  <r>
    <x v="1467"/>
    <x v="14"/>
    <x v="11"/>
    <n v="24.4"/>
    <n v="219.6"/>
    <x v="54"/>
    <d v="2025-02-28T00:00:00"/>
    <x v="1"/>
    <x v="3"/>
    <n v="5"/>
    <x v="0"/>
    <x v="8"/>
    <x v="5"/>
    <x v="8"/>
    <x v="1"/>
  </r>
  <r>
    <x v="1468"/>
    <x v="8"/>
    <x v="0"/>
    <n v="18.2"/>
    <n v="18.2"/>
    <x v="54"/>
    <d v="2025-02-25T00:00:00"/>
    <x v="2"/>
    <x v="2"/>
    <n v="5"/>
    <x v="0"/>
    <x v="8"/>
    <x v="3"/>
    <x v="8"/>
    <x v="2"/>
  </r>
  <r>
    <x v="1469"/>
    <x v="8"/>
    <x v="12"/>
    <n v="51.2"/>
    <n v="204.8"/>
    <x v="54"/>
    <d v="2025-02-25T00:00:00"/>
    <x v="2"/>
    <x v="0"/>
    <n v="4"/>
    <x v="0"/>
    <x v="8"/>
    <x v="3"/>
    <x v="8"/>
    <x v="2"/>
  </r>
  <r>
    <x v="1470"/>
    <x v="6"/>
    <x v="0"/>
    <n v="59.7"/>
    <n v="59.7"/>
    <x v="54"/>
    <d v="2025-02-27T00:00:00"/>
    <x v="1"/>
    <x v="0"/>
    <n v="5"/>
    <x v="0"/>
    <x v="8"/>
    <x v="2"/>
    <x v="8"/>
    <x v="1"/>
  </r>
  <r>
    <x v="1471"/>
    <x v="4"/>
    <x v="1"/>
    <n v="33.6"/>
    <n v="67.2"/>
    <x v="54"/>
    <d v="2025-02-26T00:00:00"/>
    <x v="2"/>
    <x v="0"/>
    <n v="4"/>
    <x v="0"/>
    <x v="17"/>
    <x v="1"/>
    <x v="8"/>
    <x v="2"/>
  </r>
  <r>
    <x v="1472"/>
    <x v="12"/>
    <x v="0"/>
    <n v="90.4"/>
    <n v="90.4"/>
    <x v="54"/>
    <d v="2025-02-28T00:00:00"/>
    <x v="1"/>
    <x v="1"/>
    <n v="5"/>
    <x v="0"/>
    <x v="10"/>
    <x v="5"/>
    <x v="8"/>
    <x v="1"/>
  </r>
  <r>
    <x v="1473"/>
    <x v="11"/>
    <x v="2"/>
    <n v="70.3"/>
    <n v="210.89999999999998"/>
    <x v="54"/>
    <d v="2025-02-24T00:00:00"/>
    <x v="1"/>
    <x v="1"/>
    <n v="5"/>
    <x v="0"/>
    <x v="11"/>
    <x v="7"/>
    <x v="8"/>
    <x v="1"/>
  </r>
  <r>
    <x v="1474"/>
    <x v="4"/>
    <x v="1"/>
    <n v="20.5"/>
    <n v="41"/>
    <x v="54"/>
    <d v="2025-02-27T00:00:00"/>
    <x v="2"/>
    <x v="0"/>
    <n v="3"/>
    <x v="0"/>
    <x v="11"/>
    <x v="2"/>
    <x v="8"/>
    <x v="2"/>
  </r>
  <r>
    <x v="1475"/>
    <x v="5"/>
    <x v="5"/>
    <n v="37.6"/>
    <n v="413.6"/>
    <x v="54"/>
    <d v="2025-02-25T00:00:00"/>
    <x v="1"/>
    <x v="0"/>
    <n v="4"/>
    <x v="0"/>
    <x v="38"/>
    <x v="3"/>
    <x v="8"/>
    <x v="1"/>
  </r>
  <r>
    <x v="1476"/>
    <x v="5"/>
    <x v="12"/>
    <n v="61.5"/>
    <n v="246"/>
    <x v="54"/>
    <d v="2025-03-03T00:00:00"/>
    <x v="2"/>
    <x v="1"/>
    <n v="2"/>
    <x v="0"/>
    <x v="13"/>
    <x v="6"/>
    <x v="8"/>
    <x v="2"/>
  </r>
  <r>
    <x v="1477"/>
    <x v="9"/>
    <x v="0"/>
    <n v="33.5"/>
    <n v="33.5"/>
    <x v="55"/>
    <d v="2025-03-01T00:00:00"/>
    <x v="1"/>
    <x v="4"/>
    <n v="3"/>
    <x v="0"/>
    <x v="21"/>
    <x v="5"/>
    <x v="8"/>
    <x v="1"/>
  </r>
  <r>
    <x v="1478"/>
    <x v="4"/>
    <x v="2"/>
    <n v="29.3"/>
    <n v="87.9"/>
    <x v="55"/>
    <d v="2025-02-27T00:00:00"/>
    <x v="2"/>
    <x v="1"/>
    <n v="5"/>
    <x v="0"/>
    <x v="1"/>
    <x v="1"/>
    <x v="8"/>
    <x v="2"/>
  </r>
  <r>
    <x v="1479"/>
    <x v="2"/>
    <x v="1"/>
    <n v="125.9"/>
    <n v="251.8"/>
    <x v="55"/>
    <d v="2025-03-02T00:00:00"/>
    <x v="2"/>
    <x v="4"/>
    <n v="3"/>
    <x v="0"/>
    <x v="1"/>
    <x v="0"/>
    <x v="8"/>
    <x v="2"/>
  </r>
  <r>
    <x v="1480"/>
    <x v="5"/>
    <x v="9"/>
    <n v="29.3"/>
    <n v="146.5"/>
    <x v="55"/>
    <d v="2025-02-25T00:00:00"/>
    <x v="1"/>
    <x v="2"/>
    <n v="4"/>
    <x v="0"/>
    <x v="44"/>
    <x v="7"/>
    <x v="8"/>
    <x v="1"/>
  </r>
  <r>
    <x v="1481"/>
    <x v="9"/>
    <x v="0"/>
    <n v="37.799999999999997"/>
    <n v="37.799999999999997"/>
    <x v="55"/>
    <d v="2025-02-28T00:00:00"/>
    <x v="2"/>
    <x v="0"/>
    <n v="5"/>
    <x v="0"/>
    <x v="3"/>
    <x v="2"/>
    <x v="8"/>
    <x v="2"/>
  </r>
  <r>
    <x v="1482"/>
    <x v="0"/>
    <x v="12"/>
    <n v="31.7"/>
    <n v="126.8"/>
    <x v="55"/>
    <d v="2025-02-26T00:00:00"/>
    <x v="1"/>
    <x v="2"/>
    <n v="5"/>
    <x v="0"/>
    <x v="3"/>
    <x v="3"/>
    <x v="8"/>
    <x v="1"/>
  </r>
  <r>
    <x v="1483"/>
    <x v="8"/>
    <x v="9"/>
    <n v="26.3"/>
    <n v="131.5"/>
    <x v="55"/>
    <d v="2025-02-26T00:00:00"/>
    <x v="2"/>
    <x v="3"/>
    <n v="5"/>
    <x v="0"/>
    <x v="3"/>
    <x v="3"/>
    <x v="8"/>
    <x v="2"/>
  </r>
  <r>
    <x v="1484"/>
    <x v="8"/>
    <x v="2"/>
    <n v="23.1"/>
    <n v="69.300000000000011"/>
    <x v="55"/>
    <d v="2025-02-26T00:00:00"/>
    <x v="3"/>
    <x v="2"/>
    <n v="3"/>
    <x v="0"/>
    <x v="3"/>
    <x v="3"/>
    <x v="8"/>
    <x v="3"/>
  </r>
  <r>
    <x v="1485"/>
    <x v="4"/>
    <x v="0"/>
    <n v="22.3"/>
    <n v="22.3"/>
    <x v="55"/>
    <d v="2025-02-27T00:00:00"/>
    <x v="2"/>
    <x v="2"/>
    <n v="4"/>
    <x v="0"/>
    <x v="3"/>
    <x v="1"/>
    <x v="8"/>
    <x v="2"/>
  </r>
  <r>
    <x v="1486"/>
    <x v="12"/>
    <x v="1"/>
    <n v="99.5"/>
    <n v="199"/>
    <x v="55"/>
    <d v="2025-02-27T00:00:00"/>
    <x v="2"/>
    <x v="2"/>
    <n v="4"/>
    <x v="0"/>
    <x v="3"/>
    <x v="1"/>
    <x v="8"/>
    <x v="2"/>
  </r>
  <r>
    <x v="1487"/>
    <x v="12"/>
    <x v="12"/>
    <n v="47.4"/>
    <n v="189.6"/>
    <x v="55"/>
    <d v="2025-02-28T00:00:00"/>
    <x v="2"/>
    <x v="1"/>
    <n v="4"/>
    <x v="0"/>
    <x v="3"/>
    <x v="2"/>
    <x v="8"/>
    <x v="2"/>
  </r>
  <r>
    <x v="1488"/>
    <x v="0"/>
    <x v="5"/>
    <n v="37.5"/>
    <n v="412.5"/>
    <x v="55"/>
    <d v="2025-02-27T00:00:00"/>
    <x v="2"/>
    <x v="0"/>
    <n v="1"/>
    <x v="0"/>
    <x v="3"/>
    <x v="1"/>
    <x v="8"/>
    <x v="2"/>
  </r>
  <r>
    <x v="1489"/>
    <x v="10"/>
    <x v="0"/>
    <n v="45.1"/>
    <n v="45.1"/>
    <x v="55"/>
    <d v="2025-03-02T00:00:00"/>
    <x v="1"/>
    <x v="3"/>
    <n v="5"/>
    <x v="0"/>
    <x v="24"/>
    <x v="0"/>
    <x v="8"/>
    <x v="1"/>
  </r>
  <r>
    <x v="1490"/>
    <x v="5"/>
    <x v="7"/>
    <n v="34.4"/>
    <n v="344"/>
    <x v="55"/>
    <d v="2025-02-28T00:00:00"/>
    <x v="1"/>
    <x v="2"/>
    <n v="4"/>
    <x v="0"/>
    <x v="16"/>
    <x v="2"/>
    <x v="8"/>
    <x v="1"/>
  </r>
  <r>
    <x v="1491"/>
    <x v="4"/>
    <x v="1"/>
    <n v="38"/>
    <n v="76"/>
    <x v="55"/>
    <d v="2025-02-27T00:00:00"/>
    <x v="2"/>
    <x v="1"/>
    <n v="4"/>
    <x v="0"/>
    <x v="5"/>
    <x v="1"/>
    <x v="8"/>
    <x v="2"/>
  </r>
  <r>
    <x v="1492"/>
    <x v="3"/>
    <x v="21"/>
    <n v="32.4"/>
    <n v="453.59999999999997"/>
    <x v="55"/>
    <d v="2025-02-28T00:00:00"/>
    <x v="1"/>
    <x v="4"/>
    <n v="4"/>
    <x v="0"/>
    <x v="6"/>
    <x v="2"/>
    <x v="8"/>
    <x v="1"/>
  </r>
  <r>
    <x v="1493"/>
    <x v="6"/>
    <x v="2"/>
    <n v="40.9"/>
    <n v="122.69999999999999"/>
    <x v="55"/>
    <d v="2025-02-25T00:00:00"/>
    <x v="0"/>
    <x v="1"/>
    <n v="4"/>
    <x v="0"/>
    <x v="8"/>
    <x v="7"/>
    <x v="8"/>
    <x v="0"/>
  </r>
  <r>
    <x v="1494"/>
    <x v="7"/>
    <x v="3"/>
    <n v="76.2"/>
    <n v="533.4"/>
    <x v="55"/>
    <d v="2025-02-27T00:00:00"/>
    <x v="2"/>
    <x v="2"/>
    <n v="3"/>
    <x v="0"/>
    <x v="8"/>
    <x v="1"/>
    <x v="8"/>
    <x v="2"/>
  </r>
  <r>
    <x v="1495"/>
    <x v="2"/>
    <x v="0"/>
    <n v="85.6"/>
    <n v="85.6"/>
    <x v="55"/>
    <d v="2025-02-27T00:00:00"/>
    <x v="1"/>
    <x v="2"/>
    <n v="4"/>
    <x v="0"/>
    <x v="8"/>
    <x v="1"/>
    <x v="8"/>
    <x v="1"/>
  </r>
  <r>
    <x v="1496"/>
    <x v="4"/>
    <x v="12"/>
    <n v="25"/>
    <n v="100"/>
    <x v="55"/>
    <d v="2025-02-27T00:00:00"/>
    <x v="2"/>
    <x v="2"/>
    <n v="5"/>
    <x v="0"/>
    <x v="8"/>
    <x v="1"/>
    <x v="8"/>
    <x v="2"/>
  </r>
  <r>
    <x v="1497"/>
    <x v="2"/>
    <x v="9"/>
    <n v="150.69999999999999"/>
    <n v="753.5"/>
    <x v="55"/>
    <d v="2025-02-26T00:00:00"/>
    <x v="0"/>
    <x v="0"/>
    <n v="5"/>
    <x v="0"/>
    <x v="8"/>
    <x v="3"/>
    <x v="8"/>
    <x v="0"/>
  </r>
  <r>
    <x v="1498"/>
    <x v="8"/>
    <x v="0"/>
    <n v="19.600000000000001"/>
    <n v="19.600000000000001"/>
    <x v="55"/>
    <d v="2025-02-26T00:00:00"/>
    <x v="1"/>
    <x v="1"/>
    <n v="2"/>
    <x v="0"/>
    <x v="8"/>
    <x v="3"/>
    <x v="8"/>
    <x v="1"/>
  </r>
  <r>
    <x v="1499"/>
    <x v="13"/>
    <x v="1"/>
    <n v="37.5"/>
    <n v="75"/>
    <x v="55"/>
    <d v="2025-02-28T00:00:00"/>
    <x v="2"/>
    <x v="1"/>
    <n v="5"/>
    <x v="0"/>
    <x v="17"/>
    <x v="2"/>
    <x v="8"/>
    <x v="2"/>
  </r>
  <r>
    <x v="1500"/>
    <x v="9"/>
    <x v="2"/>
    <n v="51.9"/>
    <n v="155.69999999999999"/>
    <x v="55"/>
    <d v="2025-03-03T00:00:00"/>
    <x v="2"/>
    <x v="0"/>
    <n v="2"/>
    <x v="0"/>
    <x v="11"/>
    <x v="4"/>
    <x v="8"/>
    <x v="2"/>
  </r>
  <r>
    <x v="1501"/>
    <x v="1"/>
    <x v="1"/>
    <n v="30.9"/>
    <n v="61.8"/>
    <x v="55"/>
    <d v="2025-02-27T00:00:00"/>
    <x v="2"/>
    <x v="1"/>
    <n v="4"/>
    <x v="0"/>
    <x v="18"/>
    <x v="1"/>
    <x v="8"/>
    <x v="2"/>
  </r>
  <r>
    <x v="1502"/>
    <x v="4"/>
    <x v="2"/>
    <n v="21.2"/>
    <n v="63.599999999999994"/>
    <x v="55"/>
    <d v="2025-02-28T00:00:00"/>
    <x v="2"/>
    <x v="1"/>
    <n v="4"/>
    <x v="0"/>
    <x v="19"/>
    <x v="2"/>
    <x v="8"/>
    <x v="2"/>
  </r>
  <r>
    <x v="1503"/>
    <x v="13"/>
    <x v="14"/>
    <n v="17.5"/>
    <n v="297.5"/>
    <x v="55"/>
    <d v="2025-02-26T00:00:00"/>
    <x v="1"/>
    <x v="1"/>
    <n v="3"/>
    <x v="0"/>
    <x v="13"/>
    <x v="3"/>
    <x v="8"/>
    <x v="1"/>
  </r>
  <r>
    <x v="1504"/>
    <x v="12"/>
    <x v="1"/>
    <n v="53.8"/>
    <n v="107.6"/>
    <x v="55"/>
    <d v="2025-03-02T00:00:00"/>
    <x v="2"/>
    <x v="0"/>
    <n v="5"/>
    <x v="0"/>
    <x v="21"/>
    <x v="0"/>
    <x v="8"/>
    <x v="2"/>
  </r>
  <r>
    <x v="1505"/>
    <x v="19"/>
    <x v="1"/>
    <n v="17"/>
    <n v="34"/>
    <x v="55"/>
    <d v="2025-02-26T00:00:00"/>
    <x v="1"/>
    <x v="3"/>
    <n v="4"/>
    <x v="0"/>
    <x v="21"/>
    <x v="3"/>
    <x v="8"/>
    <x v="1"/>
  </r>
  <r>
    <x v="1506"/>
    <x v="6"/>
    <x v="0"/>
    <n v="103.2"/>
    <n v="103.2"/>
    <x v="55"/>
    <d v="2025-03-05T00:00:00"/>
    <x v="1"/>
    <x v="2"/>
    <n v="3"/>
    <x v="0"/>
    <x v="1"/>
    <x v="9"/>
    <x v="8"/>
    <x v="1"/>
  </r>
  <r>
    <x v="1507"/>
    <x v="6"/>
    <x v="12"/>
    <n v="70.3"/>
    <n v="281.2"/>
    <x v="55"/>
    <d v="2025-02-26T00:00:00"/>
    <x v="1"/>
    <x v="0"/>
    <n v="4"/>
    <x v="0"/>
    <x v="3"/>
    <x v="3"/>
    <x v="8"/>
    <x v="1"/>
  </r>
  <r>
    <x v="1508"/>
    <x v="2"/>
    <x v="1"/>
    <n v="73.8"/>
    <n v="147.6"/>
    <x v="55"/>
    <d v="2025-02-25T00:00:00"/>
    <x v="1"/>
    <x v="3"/>
    <n v="5"/>
    <x v="0"/>
    <x v="3"/>
    <x v="7"/>
    <x v="8"/>
    <x v="1"/>
  </r>
  <r>
    <x v="1509"/>
    <x v="1"/>
    <x v="4"/>
    <n v="67.7"/>
    <n v="812.40000000000009"/>
    <x v="55"/>
    <d v="2025-03-01T00:00:00"/>
    <x v="1"/>
    <x v="1"/>
    <n v="3"/>
    <x v="0"/>
    <x v="3"/>
    <x v="5"/>
    <x v="8"/>
    <x v="1"/>
  </r>
  <r>
    <x v="1510"/>
    <x v="13"/>
    <x v="3"/>
    <n v="43.8"/>
    <n v="306.59999999999997"/>
    <x v="55"/>
    <d v="2025-02-27T00:00:00"/>
    <x v="1"/>
    <x v="1"/>
    <n v="4"/>
    <x v="0"/>
    <x v="3"/>
    <x v="1"/>
    <x v="8"/>
    <x v="1"/>
  </r>
  <r>
    <x v="1511"/>
    <x v="17"/>
    <x v="13"/>
    <n v="71.900000000000006"/>
    <n v="431.40000000000003"/>
    <x v="55"/>
    <d v="2025-02-26T00:00:00"/>
    <x v="2"/>
    <x v="2"/>
    <n v="4"/>
    <x v="0"/>
    <x v="3"/>
    <x v="3"/>
    <x v="8"/>
    <x v="2"/>
  </r>
  <r>
    <x v="1512"/>
    <x v="8"/>
    <x v="1"/>
    <n v="26.3"/>
    <n v="52.6"/>
    <x v="56"/>
    <d v="2025-02-28T00:00:00"/>
    <x v="2"/>
    <x v="0"/>
    <n v="3"/>
    <x v="0"/>
    <x v="3"/>
    <x v="1"/>
    <x v="8"/>
    <x v="2"/>
  </r>
  <r>
    <x v="1513"/>
    <x v="6"/>
    <x v="12"/>
    <n v="52.6"/>
    <n v="210.4"/>
    <x v="56"/>
    <d v="2025-02-28T00:00:00"/>
    <x v="2"/>
    <x v="2"/>
    <n v="3"/>
    <x v="0"/>
    <x v="3"/>
    <x v="1"/>
    <x v="8"/>
    <x v="2"/>
  </r>
  <r>
    <x v="1514"/>
    <x v="10"/>
    <x v="0"/>
    <n v="32.700000000000003"/>
    <n v="32.700000000000003"/>
    <x v="56"/>
    <d v="2025-03-05T00:00:00"/>
    <x v="2"/>
    <x v="0"/>
    <n v="5"/>
    <x v="0"/>
    <x v="3"/>
    <x v="6"/>
    <x v="8"/>
    <x v="2"/>
  </r>
  <r>
    <x v="1515"/>
    <x v="5"/>
    <x v="12"/>
    <n v="38.9"/>
    <n v="155.6"/>
    <x v="56"/>
    <d v="2025-02-27T00:00:00"/>
    <x v="2"/>
    <x v="0"/>
    <n v="4"/>
    <x v="0"/>
    <x v="3"/>
    <x v="3"/>
    <x v="8"/>
    <x v="2"/>
  </r>
  <r>
    <x v="1516"/>
    <x v="9"/>
    <x v="9"/>
    <n v="35"/>
    <n v="175"/>
    <x v="56"/>
    <d v="2025-02-28T00:00:00"/>
    <x v="1"/>
    <x v="0"/>
    <n v="4"/>
    <x v="0"/>
    <x v="3"/>
    <x v="1"/>
    <x v="8"/>
    <x v="1"/>
  </r>
  <r>
    <x v="1517"/>
    <x v="2"/>
    <x v="1"/>
    <n v="121"/>
    <n v="242"/>
    <x v="56"/>
    <d v="2025-02-27T00:00:00"/>
    <x v="2"/>
    <x v="1"/>
    <n v="3"/>
    <x v="0"/>
    <x v="3"/>
    <x v="3"/>
    <x v="8"/>
    <x v="2"/>
  </r>
  <r>
    <x v="1518"/>
    <x v="6"/>
    <x v="2"/>
    <n v="65.099999999999994"/>
    <n v="195.29999999999998"/>
    <x v="56"/>
    <d v="2025-03-02T00:00:00"/>
    <x v="1"/>
    <x v="2"/>
    <n v="4"/>
    <x v="0"/>
    <x v="36"/>
    <x v="5"/>
    <x v="8"/>
    <x v="1"/>
  </r>
  <r>
    <x v="1519"/>
    <x v="1"/>
    <x v="38"/>
    <n v="63.8"/>
    <n v="1339.8"/>
    <x v="56"/>
    <d v="2025-02-28T00:00:00"/>
    <x v="2"/>
    <x v="0"/>
    <n v="4"/>
    <x v="0"/>
    <x v="8"/>
    <x v="1"/>
    <x v="8"/>
    <x v="2"/>
  </r>
  <r>
    <x v="1520"/>
    <x v="7"/>
    <x v="0"/>
    <n v="77.7"/>
    <n v="77.7"/>
    <x v="56"/>
    <d v="2025-02-28T00:00:00"/>
    <x v="1"/>
    <x v="0"/>
    <n v="4"/>
    <x v="0"/>
    <x v="8"/>
    <x v="1"/>
    <x v="8"/>
    <x v="1"/>
  </r>
  <r>
    <x v="1521"/>
    <x v="5"/>
    <x v="12"/>
    <n v="60.3"/>
    <n v="241.2"/>
    <x v="56"/>
    <d v="2025-02-26T00:00:00"/>
    <x v="1"/>
    <x v="0"/>
    <n v="5"/>
    <x v="0"/>
    <x v="8"/>
    <x v="7"/>
    <x v="8"/>
    <x v="1"/>
  </r>
  <r>
    <x v="1522"/>
    <x v="5"/>
    <x v="1"/>
    <n v="124.1"/>
    <n v="248.2"/>
    <x v="56"/>
    <d v="2025-03-01T00:00:00"/>
    <x v="2"/>
    <x v="0"/>
    <n v="5"/>
    <x v="0"/>
    <x v="8"/>
    <x v="2"/>
    <x v="8"/>
    <x v="2"/>
  </r>
  <r>
    <x v="1523"/>
    <x v="16"/>
    <x v="3"/>
    <n v="66"/>
    <n v="462"/>
    <x v="56"/>
    <d v="2025-02-26T00:00:00"/>
    <x v="0"/>
    <x v="3"/>
    <n v="4"/>
    <x v="0"/>
    <x v="17"/>
    <x v="7"/>
    <x v="8"/>
    <x v="0"/>
  </r>
  <r>
    <x v="1524"/>
    <x v="2"/>
    <x v="42"/>
    <n v="118.2"/>
    <n v="7446.6"/>
    <x v="56"/>
    <d v="2025-03-03T00:00:00"/>
    <x v="0"/>
    <x v="0"/>
    <n v="4"/>
    <x v="0"/>
    <x v="17"/>
    <x v="0"/>
    <x v="8"/>
    <x v="0"/>
  </r>
  <r>
    <x v="1525"/>
    <x v="5"/>
    <x v="9"/>
    <n v="64.3"/>
    <n v="321.5"/>
    <x v="56"/>
    <d v="2025-02-27T00:00:00"/>
    <x v="1"/>
    <x v="4"/>
    <n v="2"/>
    <x v="0"/>
    <x v="26"/>
    <x v="3"/>
    <x v="8"/>
    <x v="1"/>
  </r>
  <r>
    <x v="1526"/>
    <x v="1"/>
    <x v="1"/>
    <n v="54.8"/>
    <n v="109.6"/>
    <x v="56"/>
    <d v="2025-02-26T00:00:00"/>
    <x v="1"/>
    <x v="0"/>
    <n v="3"/>
    <x v="0"/>
    <x v="26"/>
    <x v="7"/>
    <x v="8"/>
    <x v="1"/>
  </r>
  <r>
    <x v="1527"/>
    <x v="7"/>
    <x v="1"/>
    <n v="78.599999999999994"/>
    <n v="157.19999999999999"/>
    <x v="56"/>
    <d v="2025-02-27T00:00:00"/>
    <x v="1"/>
    <x v="0"/>
    <n v="5"/>
    <x v="0"/>
    <x v="9"/>
    <x v="3"/>
    <x v="8"/>
    <x v="1"/>
  </r>
  <r>
    <x v="1528"/>
    <x v="2"/>
    <x v="9"/>
    <n v="158.5"/>
    <n v="792.5"/>
    <x v="56"/>
    <d v="2025-02-28T00:00:00"/>
    <x v="0"/>
    <x v="2"/>
    <n v="5"/>
    <x v="0"/>
    <x v="9"/>
    <x v="1"/>
    <x v="8"/>
    <x v="0"/>
  </r>
  <r>
    <x v="1529"/>
    <x v="4"/>
    <x v="7"/>
    <n v="23.5"/>
    <n v="235"/>
    <x v="56"/>
    <d v="2025-03-01T00:00:00"/>
    <x v="1"/>
    <x v="0"/>
    <n v="2"/>
    <x v="0"/>
    <x v="10"/>
    <x v="2"/>
    <x v="8"/>
    <x v="1"/>
  </r>
  <r>
    <x v="1530"/>
    <x v="5"/>
    <x v="1"/>
    <n v="32.1"/>
    <n v="64.2"/>
    <x v="56"/>
    <d v="2025-02-28T00:00:00"/>
    <x v="0"/>
    <x v="3"/>
    <n v="4"/>
    <x v="0"/>
    <x v="10"/>
    <x v="1"/>
    <x v="8"/>
    <x v="0"/>
  </r>
  <r>
    <x v="1531"/>
    <x v="17"/>
    <x v="12"/>
    <n v="71.900000000000006"/>
    <n v="287.60000000000002"/>
    <x v="56"/>
    <d v="2025-02-26T00:00:00"/>
    <x v="1"/>
    <x v="2"/>
    <n v="4"/>
    <x v="0"/>
    <x v="19"/>
    <x v="7"/>
    <x v="8"/>
    <x v="1"/>
  </r>
  <r>
    <x v="1532"/>
    <x v="4"/>
    <x v="13"/>
    <n v="22.3"/>
    <n v="133.80000000000001"/>
    <x v="56"/>
    <d v="2025-02-27T00:00:00"/>
    <x v="0"/>
    <x v="3"/>
    <n v="5"/>
    <x v="0"/>
    <x v="13"/>
    <x v="3"/>
    <x v="8"/>
    <x v="0"/>
  </r>
  <r>
    <x v="1533"/>
    <x v="11"/>
    <x v="1"/>
    <n v="29.5"/>
    <n v="59"/>
    <x v="56"/>
    <d v="2025-02-27T00:00:00"/>
    <x v="2"/>
    <x v="0"/>
    <n v="5"/>
    <x v="0"/>
    <x v="13"/>
    <x v="3"/>
    <x v="8"/>
    <x v="2"/>
  </r>
  <r>
    <x v="1534"/>
    <x v="6"/>
    <x v="12"/>
    <n v="41.9"/>
    <n v="167.6"/>
    <x v="56"/>
    <d v="2025-03-02T00:00:00"/>
    <x v="2"/>
    <x v="0"/>
    <n v="3"/>
    <x v="0"/>
    <x v="21"/>
    <x v="5"/>
    <x v="8"/>
    <x v="2"/>
  </r>
  <r>
    <x v="1535"/>
    <x v="6"/>
    <x v="2"/>
    <n v="107.8"/>
    <n v="323.39999999999998"/>
    <x v="56"/>
    <d v="2025-02-27T00:00:00"/>
    <x v="1"/>
    <x v="1"/>
    <n v="5"/>
    <x v="0"/>
    <x v="46"/>
    <x v="3"/>
    <x v="8"/>
    <x v="1"/>
  </r>
  <r>
    <x v="1536"/>
    <x v="4"/>
    <x v="9"/>
    <n v="18.100000000000001"/>
    <n v="90.5"/>
    <x v="56"/>
    <d v="2025-03-01T00:00:00"/>
    <x v="1"/>
    <x v="0"/>
    <n v="5"/>
    <x v="0"/>
    <x v="2"/>
    <x v="2"/>
    <x v="8"/>
    <x v="1"/>
  </r>
  <r>
    <x v="1537"/>
    <x v="12"/>
    <x v="11"/>
    <n v="79.8"/>
    <n v="718.19999999999993"/>
    <x v="56"/>
    <d v="2025-02-27T00:00:00"/>
    <x v="2"/>
    <x v="1"/>
    <n v="3"/>
    <x v="0"/>
    <x v="22"/>
    <x v="3"/>
    <x v="8"/>
    <x v="2"/>
  </r>
  <r>
    <x v="1538"/>
    <x v="0"/>
    <x v="2"/>
    <n v="22.3"/>
    <n v="66.900000000000006"/>
    <x v="56"/>
    <d v="2025-03-01T00:00:00"/>
    <x v="2"/>
    <x v="0"/>
    <n v="5"/>
    <x v="0"/>
    <x v="22"/>
    <x v="2"/>
    <x v="8"/>
    <x v="2"/>
  </r>
  <r>
    <x v="1539"/>
    <x v="8"/>
    <x v="0"/>
    <n v="22.9"/>
    <n v="22.9"/>
    <x v="56"/>
    <d v="2025-02-26T00:00:00"/>
    <x v="2"/>
    <x v="1"/>
    <n v="4"/>
    <x v="0"/>
    <x v="22"/>
    <x v="7"/>
    <x v="8"/>
    <x v="2"/>
  </r>
  <r>
    <x v="1540"/>
    <x v="0"/>
    <x v="2"/>
    <n v="16.2"/>
    <n v="48.599999999999994"/>
    <x v="57"/>
    <d v="2025-02-27T00:00:00"/>
    <x v="1"/>
    <x v="4"/>
    <n v="5"/>
    <x v="0"/>
    <x v="3"/>
    <x v="7"/>
    <x v="8"/>
    <x v="1"/>
  </r>
  <r>
    <x v="1541"/>
    <x v="10"/>
    <x v="12"/>
    <n v="59.5"/>
    <n v="238"/>
    <x v="57"/>
    <d v="2025-02-28T00:00:00"/>
    <x v="1"/>
    <x v="1"/>
    <n v="5"/>
    <x v="0"/>
    <x v="3"/>
    <x v="3"/>
    <x v="8"/>
    <x v="1"/>
  </r>
  <r>
    <x v="1542"/>
    <x v="18"/>
    <x v="9"/>
    <n v="26.2"/>
    <n v="131"/>
    <x v="57"/>
    <d v="2025-03-02T00:00:00"/>
    <x v="1"/>
    <x v="3"/>
    <n v="2"/>
    <x v="0"/>
    <x v="3"/>
    <x v="2"/>
    <x v="8"/>
    <x v="1"/>
  </r>
  <r>
    <x v="1543"/>
    <x v="3"/>
    <x v="0"/>
    <n v="44.2"/>
    <n v="44.2"/>
    <x v="57"/>
    <d v="2025-03-02T00:00:00"/>
    <x v="2"/>
    <x v="1"/>
    <n v="4"/>
    <x v="0"/>
    <x v="3"/>
    <x v="2"/>
    <x v="8"/>
    <x v="2"/>
  </r>
  <r>
    <x v="1544"/>
    <x v="9"/>
    <x v="1"/>
    <n v="59.2"/>
    <n v="118.4"/>
    <x v="57"/>
    <d v="2025-02-27T00:00:00"/>
    <x v="2"/>
    <x v="1"/>
    <n v="2"/>
    <x v="0"/>
    <x v="3"/>
    <x v="7"/>
    <x v="8"/>
    <x v="2"/>
  </r>
  <r>
    <x v="1545"/>
    <x v="15"/>
    <x v="12"/>
    <n v="41.5"/>
    <n v="166"/>
    <x v="57"/>
    <d v="2025-03-01T00:00:00"/>
    <x v="2"/>
    <x v="0"/>
    <n v="4"/>
    <x v="0"/>
    <x v="16"/>
    <x v="1"/>
    <x v="8"/>
    <x v="2"/>
  </r>
  <r>
    <x v="1546"/>
    <x v="6"/>
    <x v="4"/>
    <n v="67.099999999999994"/>
    <n v="805.19999999999993"/>
    <x v="57"/>
    <d v="2025-03-13T00:00:00"/>
    <x v="2"/>
    <x v="0"/>
    <n v="5"/>
    <x v="0"/>
    <x v="23"/>
    <x v="12"/>
    <x v="8"/>
    <x v="2"/>
  </r>
  <r>
    <x v="1547"/>
    <x v="8"/>
    <x v="1"/>
    <n v="28.7"/>
    <n v="57.4"/>
    <x v="57"/>
    <d v="2025-03-03T00:00:00"/>
    <x v="2"/>
    <x v="1"/>
    <n v="4"/>
    <x v="0"/>
    <x v="6"/>
    <x v="5"/>
    <x v="8"/>
    <x v="2"/>
  </r>
  <r>
    <x v="1548"/>
    <x v="2"/>
    <x v="12"/>
    <n v="132.1"/>
    <n v="528.4"/>
    <x v="57"/>
    <d v="2025-02-28T00:00:00"/>
    <x v="2"/>
    <x v="0"/>
    <n v="3"/>
    <x v="0"/>
    <x v="6"/>
    <x v="3"/>
    <x v="8"/>
    <x v="2"/>
  </r>
  <r>
    <x v="1549"/>
    <x v="18"/>
    <x v="1"/>
    <n v="47"/>
    <n v="94"/>
    <x v="57"/>
    <d v="2025-03-01T00:00:00"/>
    <x v="1"/>
    <x v="4"/>
    <n v="4"/>
    <x v="0"/>
    <x v="8"/>
    <x v="1"/>
    <x v="8"/>
    <x v="1"/>
  </r>
  <r>
    <x v="1550"/>
    <x v="8"/>
    <x v="1"/>
    <n v="41.6"/>
    <n v="83.2"/>
    <x v="57"/>
    <d v="2025-03-03T00:00:00"/>
    <x v="1"/>
    <x v="1"/>
    <n v="5"/>
    <x v="0"/>
    <x v="8"/>
    <x v="5"/>
    <x v="8"/>
    <x v="1"/>
  </r>
  <r>
    <x v="1551"/>
    <x v="8"/>
    <x v="43"/>
    <n v="17.3"/>
    <n v="657.4"/>
    <x v="57"/>
    <d v="2025-03-01T00:00:00"/>
    <x v="1"/>
    <x v="2"/>
    <n v="5"/>
    <x v="0"/>
    <x v="8"/>
    <x v="1"/>
    <x v="8"/>
    <x v="1"/>
  </r>
  <r>
    <x v="1552"/>
    <x v="13"/>
    <x v="2"/>
    <n v="41.8"/>
    <n v="125.39999999999999"/>
    <x v="57"/>
    <d v="2025-03-02T00:00:00"/>
    <x v="1"/>
    <x v="0"/>
    <n v="5"/>
    <x v="0"/>
    <x v="8"/>
    <x v="2"/>
    <x v="8"/>
    <x v="1"/>
  </r>
  <r>
    <x v="1553"/>
    <x v="10"/>
    <x v="0"/>
    <n v="24"/>
    <n v="24"/>
    <x v="57"/>
    <d v="2025-02-28T00:00:00"/>
    <x v="2"/>
    <x v="0"/>
    <n v="4"/>
    <x v="0"/>
    <x v="17"/>
    <x v="3"/>
    <x v="8"/>
    <x v="2"/>
  </r>
  <r>
    <x v="1554"/>
    <x v="14"/>
    <x v="11"/>
    <n v="18.5"/>
    <n v="166.5"/>
    <x v="57"/>
    <d v="2025-03-01T00:00:00"/>
    <x v="2"/>
    <x v="0"/>
    <n v="4"/>
    <x v="0"/>
    <x v="9"/>
    <x v="1"/>
    <x v="8"/>
    <x v="2"/>
  </r>
  <r>
    <x v="1555"/>
    <x v="3"/>
    <x v="4"/>
    <n v="66.7"/>
    <n v="800.40000000000009"/>
    <x v="57"/>
    <d v="2025-03-02T00:00:00"/>
    <x v="0"/>
    <x v="0"/>
    <n v="5"/>
    <x v="0"/>
    <x v="11"/>
    <x v="2"/>
    <x v="8"/>
    <x v="0"/>
  </r>
  <r>
    <x v="1556"/>
    <x v="1"/>
    <x v="12"/>
    <n v="33.1"/>
    <n v="132.4"/>
    <x v="57"/>
    <d v="2025-03-04T00:00:00"/>
    <x v="1"/>
    <x v="3"/>
    <n v="4"/>
    <x v="0"/>
    <x v="11"/>
    <x v="0"/>
    <x v="8"/>
    <x v="1"/>
  </r>
  <r>
    <x v="1557"/>
    <x v="19"/>
    <x v="11"/>
    <n v="42.1"/>
    <n v="378.90000000000003"/>
    <x v="57"/>
    <d v="2025-03-10T00:00:00"/>
    <x v="1"/>
    <x v="1"/>
    <n v="4"/>
    <x v="0"/>
    <x v="18"/>
    <x v="11"/>
    <x v="8"/>
    <x v="1"/>
  </r>
  <r>
    <x v="1558"/>
    <x v="18"/>
    <x v="3"/>
    <n v="58.7"/>
    <n v="410.90000000000003"/>
    <x v="57"/>
    <d v="2025-02-27T00:00:00"/>
    <x v="3"/>
    <x v="3"/>
    <n v="4"/>
    <x v="0"/>
    <x v="31"/>
    <x v="7"/>
    <x v="8"/>
    <x v="3"/>
  </r>
  <r>
    <x v="1559"/>
    <x v="6"/>
    <x v="12"/>
    <n v="54"/>
    <n v="216"/>
    <x v="57"/>
    <d v="2025-03-01T00:00:00"/>
    <x v="2"/>
    <x v="1"/>
    <n v="4"/>
    <x v="0"/>
    <x v="1"/>
    <x v="1"/>
    <x v="8"/>
    <x v="2"/>
  </r>
  <r>
    <x v="1560"/>
    <x v="8"/>
    <x v="0"/>
    <n v="52.1"/>
    <n v="52.1"/>
    <x v="57"/>
    <d v="2025-02-28T00:00:00"/>
    <x v="2"/>
    <x v="2"/>
    <n v="5"/>
    <x v="0"/>
    <x v="2"/>
    <x v="3"/>
    <x v="8"/>
    <x v="2"/>
  </r>
  <r>
    <x v="1561"/>
    <x v="19"/>
    <x v="1"/>
    <n v="27"/>
    <n v="54"/>
    <x v="57"/>
    <d v="2025-03-02T00:00:00"/>
    <x v="3"/>
    <x v="2"/>
    <n v="4"/>
    <x v="0"/>
    <x v="22"/>
    <x v="2"/>
    <x v="8"/>
    <x v="3"/>
  </r>
  <r>
    <x v="1562"/>
    <x v="12"/>
    <x v="7"/>
    <n v="31"/>
    <n v="310"/>
    <x v="58"/>
    <d v="2025-03-01T00:00:00"/>
    <x v="2"/>
    <x v="3"/>
    <n v="5"/>
    <x v="0"/>
    <x v="22"/>
    <x v="3"/>
    <x v="8"/>
    <x v="2"/>
  </r>
  <r>
    <x v="1563"/>
    <x v="10"/>
    <x v="1"/>
    <n v="46.7"/>
    <n v="93.4"/>
    <x v="58"/>
    <d v="2025-02-28T00:00:00"/>
    <x v="2"/>
    <x v="0"/>
    <n v="4"/>
    <x v="0"/>
    <x v="34"/>
    <x v="7"/>
    <x v="8"/>
    <x v="2"/>
  </r>
  <r>
    <x v="1564"/>
    <x v="6"/>
    <x v="0"/>
    <n v="144.69999999999999"/>
    <n v="144.69999999999999"/>
    <x v="58"/>
    <d v="2025-03-03T00:00:00"/>
    <x v="1"/>
    <x v="0"/>
    <n v="5"/>
    <x v="0"/>
    <x v="3"/>
    <x v="2"/>
    <x v="8"/>
    <x v="1"/>
  </r>
  <r>
    <x v="1565"/>
    <x v="2"/>
    <x v="11"/>
    <n v="90.9"/>
    <n v="818.1"/>
    <x v="58"/>
    <d v="2025-03-01T00:00:00"/>
    <x v="1"/>
    <x v="0"/>
    <n v="5"/>
    <x v="0"/>
    <x v="3"/>
    <x v="3"/>
    <x v="8"/>
    <x v="1"/>
  </r>
  <r>
    <x v="1566"/>
    <x v="1"/>
    <x v="1"/>
    <n v="75.8"/>
    <n v="151.6"/>
    <x v="58"/>
    <d v="2025-03-01T00:00:00"/>
    <x v="2"/>
    <x v="2"/>
    <n v="3"/>
    <x v="0"/>
    <x v="3"/>
    <x v="3"/>
    <x v="8"/>
    <x v="2"/>
  </r>
  <r>
    <x v="1567"/>
    <x v="7"/>
    <x v="9"/>
    <n v="57.9"/>
    <n v="289.5"/>
    <x v="58"/>
    <d v="2025-03-02T00:00:00"/>
    <x v="1"/>
    <x v="2"/>
    <n v="5"/>
    <x v="0"/>
    <x v="3"/>
    <x v="1"/>
    <x v="8"/>
    <x v="1"/>
  </r>
  <r>
    <x v="1568"/>
    <x v="8"/>
    <x v="9"/>
    <n v="44.8"/>
    <n v="224"/>
    <x v="58"/>
    <d v="2025-03-01T00:00:00"/>
    <x v="2"/>
    <x v="3"/>
    <n v="5"/>
    <x v="0"/>
    <x v="3"/>
    <x v="3"/>
    <x v="8"/>
    <x v="2"/>
  </r>
  <r>
    <x v="1569"/>
    <x v="9"/>
    <x v="2"/>
    <n v="44.2"/>
    <n v="132.60000000000002"/>
    <x v="58"/>
    <d v="2025-03-04T00:00:00"/>
    <x v="1"/>
    <x v="2"/>
    <n v="5"/>
    <x v="0"/>
    <x v="3"/>
    <x v="5"/>
    <x v="8"/>
    <x v="1"/>
  </r>
  <r>
    <x v="1570"/>
    <x v="5"/>
    <x v="9"/>
    <n v="53.5"/>
    <n v="267.5"/>
    <x v="58"/>
    <d v="2025-03-02T00:00:00"/>
    <x v="1"/>
    <x v="0"/>
    <n v="4"/>
    <x v="0"/>
    <x v="37"/>
    <x v="1"/>
    <x v="8"/>
    <x v="1"/>
  </r>
  <r>
    <x v="1571"/>
    <x v="6"/>
    <x v="1"/>
    <n v="72.2"/>
    <n v="144.4"/>
    <x v="58"/>
    <d v="2025-03-01T00:00:00"/>
    <x v="1"/>
    <x v="0"/>
    <n v="5"/>
    <x v="0"/>
    <x v="25"/>
    <x v="3"/>
    <x v="8"/>
    <x v="1"/>
  </r>
  <r>
    <x v="1572"/>
    <x v="6"/>
    <x v="12"/>
    <n v="62.4"/>
    <n v="249.6"/>
    <x v="58"/>
    <d v="2025-03-03T00:00:00"/>
    <x v="2"/>
    <x v="0"/>
    <n v="3"/>
    <x v="0"/>
    <x v="23"/>
    <x v="2"/>
    <x v="8"/>
    <x v="2"/>
  </r>
  <r>
    <x v="1573"/>
    <x v="10"/>
    <x v="9"/>
    <n v="24.7"/>
    <n v="123.5"/>
    <x v="58"/>
    <d v="2025-03-01T00:00:00"/>
    <x v="2"/>
    <x v="0"/>
    <n v="4"/>
    <x v="0"/>
    <x v="6"/>
    <x v="3"/>
    <x v="8"/>
    <x v="2"/>
  </r>
  <r>
    <x v="1574"/>
    <x v="1"/>
    <x v="9"/>
    <n v="61.7"/>
    <n v="308.5"/>
    <x v="58"/>
    <d v="2025-03-02T00:00:00"/>
    <x v="2"/>
    <x v="2"/>
    <n v="4"/>
    <x v="0"/>
    <x v="8"/>
    <x v="1"/>
    <x v="8"/>
    <x v="2"/>
  </r>
  <r>
    <x v="1575"/>
    <x v="8"/>
    <x v="9"/>
    <n v="18.2"/>
    <n v="91"/>
    <x v="58"/>
    <d v="2025-03-02T00:00:00"/>
    <x v="2"/>
    <x v="3"/>
    <n v="4"/>
    <x v="0"/>
    <x v="8"/>
    <x v="1"/>
    <x v="8"/>
    <x v="2"/>
  </r>
  <r>
    <x v="1576"/>
    <x v="10"/>
    <x v="12"/>
    <n v="37.200000000000003"/>
    <n v="148.80000000000001"/>
    <x v="58"/>
    <d v="2025-03-06T00:00:00"/>
    <x v="2"/>
    <x v="0"/>
    <n v="4"/>
    <x v="0"/>
    <x v="8"/>
    <x v="4"/>
    <x v="8"/>
    <x v="2"/>
  </r>
  <r>
    <x v="1577"/>
    <x v="9"/>
    <x v="2"/>
    <n v="53.5"/>
    <n v="160.5"/>
    <x v="58"/>
    <d v="2025-03-02T00:00:00"/>
    <x v="2"/>
    <x v="1"/>
    <n v="5"/>
    <x v="0"/>
    <x v="9"/>
    <x v="1"/>
    <x v="8"/>
    <x v="2"/>
  </r>
  <r>
    <x v="1578"/>
    <x v="8"/>
    <x v="2"/>
    <n v="43.6"/>
    <n v="130.80000000000001"/>
    <x v="58"/>
    <d v="2025-02-28T00:00:00"/>
    <x v="2"/>
    <x v="0"/>
    <n v="4"/>
    <x v="0"/>
    <x v="9"/>
    <x v="7"/>
    <x v="8"/>
    <x v="2"/>
  </r>
  <r>
    <x v="1579"/>
    <x v="1"/>
    <x v="7"/>
    <n v="135"/>
    <n v="1350"/>
    <x v="58"/>
    <d v="2025-03-02T00:00:00"/>
    <x v="2"/>
    <x v="0"/>
    <n v="5"/>
    <x v="0"/>
    <x v="9"/>
    <x v="1"/>
    <x v="8"/>
    <x v="2"/>
  </r>
  <r>
    <x v="1580"/>
    <x v="8"/>
    <x v="9"/>
    <n v="38.5"/>
    <n v="192.5"/>
    <x v="58"/>
    <d v="2025-02-28T00:00:00"/>
    <x v="1"/>
    <x v="4"/>
    <n v="5"/>
    <x v="0"/>
    <x v="10"/>
    <x v="7"/>
    <x v="8"/>
    <x v="1"/>
  </r>
  <r>
    <x v="1581"/>
    <x v="9"/>
    <x v="1"/>
    <n v="24"/>
    <n v="48"/>
    <x v="58"/>
    <d v="2025-03-05T00:00:00"/>
    <x v="2"/>
    <x v="0"/>
    <n v="4"/>
    <x v="0"/>
    <x v="11"/>
    <x v="0"/>
    <x v="8"/>
    <x v="2"/>
  </r>
  <r>
    <x v="1582"/>
    <x v="4"/>
    <x v="2"/>
    <n v="28.2"/>
    <n v="84.6"/>
    <x v="58"/>
    <d v="2025-03-02T00:00:00"/>
    <x v="1"/>
    <x v="0"/>
    <n v="1"/>
    <x v="0"/>
    <x v="18"/>
    <x v="1"/>
    <x v="8"/>
    <x v="1"/>
  </r>
  <r>
    <x v="1583"/>
    <x v="7"/>
    <x v="2"/>
    <n v="37.4"/>
    <n v="112.19999999999999"/>
    <x v="58"/>
    <d v="2025-03-01T00:00:00"/>
    <x v="2"/>
    <x v="3"/>
    <n v="4"/>
    <x v="0"/>
    <x v="1"/>
    <x v="3"/>
    <x v="8"/>
    <x v="2"/>
  </r>
  <r>
    <x v="1584"/>
    <x v="6"/>
    <x v="2"/>
    <n v="53.5"/>
    <n v="160.5"/>
    <x v="58"/>
    <d v="2025-03-03T00:00:00"/>
    <x v="0"/>
    <x v="4"/>
    <n v="2"/>
    <x v="0"/>
    <x v="1"/>
    <x v="2"/>
    <x v="8"/>
    <x v="0"/>
  </r>
  <r>
    <x v="1585"/>
    <x v="11"/>
    <x v="9"/>
    <n v="36.200000000000003"/>
    <n v="181"/>
    <x v="58"/>
    <d v="2025-03-01T00:00:00"/>
    <x v="1"/>
    <x v="1"/>
    <n v="5"/>
    <x v="0"/>
    <x v="33"/>
    <x v="3"/>
    <x v="8"/>
    <x v="1"/>
  </r>
  <r>
    <x v="1586"/>
    <x v="0"/>
    <x v="8"/>
    <n v="31.9"/>
    <n v="255.2"/>
    <x v="58"/>
    <d v="2025-03-01T00:00:00"/>
    <x v="2"/>
    <x v="4"/>
    <n v="4"/>
    <x v="0"/>
    <x v="3"/>
    <x v="3"/>
    <x v="8"/>
    <x v="2"/>
  </r>
  <r>
    <x v="1587"/>
    <x v="8"/>
    <x v="2"/>
    <n v="21.3"/>
    <n v="63.900000000000006"/>
    <x v="58"/>
    <d v="2025-03-01T00:00:00"/>
    <x v="1"/>
    <x v="0"/>
    <n v="5"/>
    <x v="0"/>
    <x v="3"/>
    <x v="3"/>
    <x v="8"/>
    <x v="1"/>
  </r>
  <r>
    <x v="1588"/>
    <x v="8"/>
    <x v="0"/>
    <n v="36.299999999999997"/>
    <n v="36.299999999999997"/>
    <x v="58"/>
    <d v="2025-03-02T00:00:00"/>
    <x v="3"/>
    <x v="4"/>
    <n v="4"/>
    <x v="0"/>
    <x v="3"/>
    <x v="1"/>
    <x v="8"/>
    <x v="3"/>
  </r>
  <r>
    <x v="1589"/>
    <x v="6"/>
    <x v="2"/>
    <n v="110.5"/>
    <n v="331.5"/>
    <x v="58"/>
    <d v="2025-03-01T00:00:00"/>
    <x v="2"/>
    <x v="0"/>
    <n v="1"/>
    <x v="0"/>
    <x v="3"/>
    <x v="3"/>
    <x v="8"/>
    <x v="2"/>
  </r>
  <r>
    <x v="1590"/>
    <x v="10"/>
    <x v="3"/>
    <n v="32.6"/>
    <n v="228.20000000000002"/>
    <x v="58"/>
    <d v="2025-03-02T00:00:00"/>
    <x v="2"/>
    <x v="0"/>
    <n v="3"/>
    <x v="0"/>
    <x v="3"/>
    <x v="1"/>
    <x v="8"/>
    <x v="2"/>
  </r>
  <r>
    <x v="1591"/>
    <x v="5"/>
    <x v="2"/>
    <n v="55.6"/>
    <n v="166.8"/>
    <x v="59"/>
    <d v="2025-03-14T00:00:00"/>
    <x v="2"/>
    <x v="0"/>
    <n v="4"/>
    <x v="0"/>
    <x v="3"/>
    <x v="10"/>
    <x v="8"/>
    <x v="2"/>
  </r>
  <r>
    <x v="1592"/>
    <x v="1"/>
    <x v="12"/>
    <n v="38"/>
    <n v="152"/>
    <x v="59"/>
    <d v="2025-03-02T00:00:00"/>
    <x v="2"/>
    <x v="3"/>
    <n v="5"/>
    <x v="0"/>
    <x v="5"/>
    <x v="3"/>
    <x v="8"/>
    <x v="2"/>
  </r>
  <r>
    <x v="1593"/>
    <x v="10"/>
    <x v="1"/>
    <n v="51.8"/>
    <n v="103.6"/>
    <x v="59"/>
    <d v="2025-03-07T00:00:00"/>
    <x v="1"/>
    <x v="1"/>
    <n v="2"/>
    <x v="0"/>
    <x v="6"/>
    <x v="4"/>
    <x v="8"/>
    <x v="1"/>
  </r>
  <r>
    <x v="1594"/>
    <x v="11"/>
    <x v="8"/>
    <n v="28.7"/>
    <n v="229.6"/>
    <x v="59"/>
    <d v="2025-03-06T00:00:00"/>
    <x v="2"/>
    <x v="0"/>
    <n v="4"/>
    <x v="0"/>
    <x v="6"/>
    <x v="0"/>
    <x v="8"/>
    <x v="2"/>
  </r>
  <r>
    <x v="1595"/>
    <x v="6"/>
    <x v="4"/>
    <n v="52.2"/>
    <n v="626.40000000000009"/>
    <x v="59"/>
    <d v="2025-03-01T00:00:00"/>
    <x v="1"/>
    <x v="0"/>
    <n v="3"/>
    <x v="0"/>
    <x v="6"/>
    <x v="7"/>
    <x v="8"/>
    <x v="1"/>
  </r>
  <r>
    <x v="1596"/>
    <x v="1"/>
    <x v="1"/>
    <n v="68.2"/>
    <n v="136.4"/>
    <x v="59"/>
    <d v="2025-03-02T00:00:00"/>
    <x v="0"/>
    <x v="2"/>
    <n v="4"/>
    <x v="0"/>
    <x v="7"/>
    <x v="3"/>
    <x v="8"/>
    <x v="0"/>
  </r>
  <r>
    <x v="1597"/>
    <x v="0"/>
    <x v="2"/>
    <n v="34"/>
    <n v="102"/>
    <x v="59"/>
    <d v="2025-03-05T00:00:00"/>
    <x v="2"/>
    <x v="0"/>
    <n v="4"/>
    <x v="0"/>
    <x v="8"/>
    <x v="5"/>
    <x v="8"/>
    <x v="2"/>
  </r>
  <r>
    <x v="1598"/>
    <x v="8"/>
    <x v="2"/>
    <n v="19.100000000000001"/>
    <n v="57.300000000000004"/>
    <x v="59"/>
    <d v="2025-03-02T00:00:00"/>
    <x v="2"/>
    <x v="4"/>
    <n v="4"/>
    <x v="0"/>
    <x v="8"/>
    <x v="3"/>
    <x v="8"/>
    <x v="2"/>
  </r>
  <r>
    <x v="1599"/>
    <x v="5"/>
    <x v="8"/>
    <n v="34"/>
    <n v="272"/>
    <x v="59"/>
    <d v="2025-03-09T00:00:00"/>
    <x v="2"/>
    <x v="4"/>
    <n v="4"/>
    <x v="0"/>
    <x v="8"/>
    <x v="9"/>
    <x v="8"/>
    <x v="2"/>
  </r>
  <r>
    <x v="1600"/>
    <x v="12"/>
    <x v="1"/>
    <n v="109.1"/>
    <n v="218.2"/>
    <x v="59"/>
    <d v="2025-03-03T00:00:00"/>
    <x v="1"/>
    <x v="0"/>
    <n v="5"/>
    <x v="0"/>
    <x v="8"/>
    <x v="1"/>
    <x v="8"/>
    <x v="1"/>
  </r>
  <r>
    <x v="1601"/>
    <x v="18"/>
    <x v="1"/>
    <n v="64.8"/>
    <n v="129.6"/>
    <x v="59"/>
    <d v="2025-03-03T00:00:00"/>
    <x v="1"/>
    <x v="0"/>
    <n v="5"/>
    <x v="0"/>
    <x v="8"/>
    <x v="1"/>
    <x v="8"/>
    <x v="1"/>
  </r>
  <r>
    <x v="1602"/>
    <x v="10"/>
    <x v="1"/>
    <n v="21.1"/>
    <n v="42.2"/>
    <x v="59"/>
    <d v="2025-03-01T00:00:00"/>
    <x v="2"/>
    <x v="1"/>
    <n v="4"/>
    <x v="0"/>
    <x v="11"/>
    <x v="7"/>
    <x v="8"/>
    <x v="2"/>
  </r>
  <r>
    <x v="1603"/>
    <x v="0"/>
    <x v="8"/>
    <n v="21.3"/>
    <n v="170.4"/>
    <x v="59"/>
    <d v="2025-03-03T00:00:00"/>
    <x v="1"/>
    <x v="3"/>
    <n v="3"/>
    <x v="0"/>
    <x v="18"/>
    <x v="1"/>
    <x v="8"/>
    <x v="1"/>
  </r>
  <r>
    <x v="1604"/>
    <x v="9"/>
    <x v="2"/>
    <n v="24.3"/>
    <n v="72.900000000000006"/>
    <x v="59"/>
    <d v="2025-03-02T00:00:00"/>
    <x v="1"/>
    <x v="1"/>
    <n v="4"/>
    <x v="0"/>
    <x v="19"/>
    <x v="3"/>
    <x v="8"/>
    <x v="1"/>
  </r>
  <r>
    <x v="1605"/>
    <x v="8"/>
    <x v="0"/>
    <n v="43.3"/>
    <n v="43.3"/>
    <x v="59"/>
    <d v="2025-03-05T00:00:00"/>
    <x v="1"/>
    <x v="1"/>
    <n v="3"/>
    <x v="0"/>
    <x v="13"/>
    <x v="5"/>
    <x v="8"/>
    <x v="1"/>
  </r>
  <r>
    <x v="1606"/>
    <x v="9"/>
    <x v="2"/>
    <n v="41"/>
    <n v="123"/>
    <x v="59"/>
    <d v="2025-03-02T00:00:00"/>
    <x v="2"/>
    <x v="3"/>
    <n v="2"/>
    <x v="0"/>
    <x v="21"/>
    <x v="3"/>
    <x v="8"/>
    <x v="2"/>
  </r>
  <r>
    <x v="1607"/>
    <x v="16"/>
    <x v="2"/>
    <n v="54.1"/>
    <n v="162.30000000000001"/>
    <x v="59"/>
    <d v="2025-03-03T00:00:00"/>
    <x v="2"/>
    <x v="4"/>
    <n v="4"/>
    <x v="0"/>
    <x v="21"/>
    <x v="1"/>
    <x v="8"/>
    <x v="2"/>
  </r>
  <r>
    <x v="1608"/>
    <x v="11"/>
    <x v="1"/>
    <n v="39"/>
    <n v="78"/>
    <x v="59"/>
    <d v="2025-03-02T00:00:00"/>
    <x v="1"/>
    <x v="1"/>
    <n v="5"/>
    <x v="0"/>
    <x v="1"/>
    <x v="3"/>
    <x v="8"/>
    <x v="1"/>
  </r>
  <r>
    <x v="1609"/>
    <x v="8"/>
    <x v="1"/>
    <n v="40.299999999999997"/>
    <n v="80.599999999999994"/>
    <x v="59"/>
    <d v="2025-03-03T00:00:00"/>
    <x v="1"/>
    <x v="3"/>
    <n v="4"/>
    <x v="0"/>
    <x v="27"/>
    <x v="1"/>
    <x v="8"/>
    <x v="1"/>
  </r>
  <r>
    <x v="1610"/>
    <x v="8"/>
    <x v="2"/>
    <n v="24.1"/>
    <n v="72.300000000000011"/>
    <x v="59"/>
    <d v="2025-03-02T00:00:00"/>
    <x v="1"/>
    <x v="0"/>
    <n v="5"/>
    <x v="0"/>
    <x v="34"/>
    <x v="3"/>
    <x v="8"/>
    <x v="1"/>
  </r>
  <r>
    <x v="1611"/>
    <x v="6"/>
    <x v="9"/>
    <n v="52.3"/>
    <n v="261.5"/>
    <x v="59"/>
    <d v="2025-03-02T00:00:00"/>
    <x v="1"/>
    <x v="2"/>
    <n v="4"/>
    <x v="0"/>
    <x v="3"/>
    <x v="3"/>
    <x v="8"/>
    <x v="1"/>
  </r>
  <r>
    <x v="1612"/>
    <x v="12"/>
    <x v="12"/>
    <n v="68.8"/>
    <n v="275.2"/>
    <x v="59"/>
    <d v="2025-03-05T00:00:00"/>
    <x v="2"/>
    <x v="4"/>
    <n v="5"/>
    <x v="0"/>
    <x v="3"/>
    <x v="5"/>
    <x v="8"/>
    <x v="2"/>
  </r>
  <r>
    <x v="1613"/>
    <x v="2"/>
    <x v="1"/>
    <n v="128.80000000000001"/>
    <n v="257.60000000000002"/>
    <x v="60"/>
    <d v="2025-03-05T00:00:00"/>
    <x v="2"/>
    <x v="1"/>
    <n v="3"/>
    <x v="0"/>
    <x v="3"/>
    <x v="2"/>
    <x v="9"/>
    <x v="2"/>
  </r>
  <r>
    <x v="1614"/>
    <x v="15"/>
    <x v="9"/>
    <n v="48.2"/>
    <n v="241"/>
    <x v="60"/>
    <d v="2025-03-04T00:00:00"/>
    <x v="2"/>
    <x v="3"/>
    <n v="4"/>
    <x v="0"/>
    <x v="3"/>
    <x v="1"/>
    <x v="9"/>
    <x v="2"/>
  </r>
  <r>
    <x v="1615"/>
    <x v="10"/>
    <x v="0"/>
    <n v="39.700000000000003"/>
    <n v="39.700000000000003"/>
    <x v="60"/>
    <d v="2025-03-04T00:00:00"/>
    <x v="2"/>
    <x v="0"/>
    <n v="3"/>
    <x v="0"/>
    <x v="3"/>
    <x v="1"/>
    <x v="9"/>
    <x v="2"/>
  </r>
  <r>
    <x v="1616"/>
    <x v="9"/>
    <x v="0"/>
    <n v="59.7"/>
    <n v="59.7"/>
    <x v="60"/>
    <d v="2025-03-05T00:00:00"/>
    <x v="2"/>
    <x v="4"/>
    <n v="4"/>
    <x v="0"/>
    <x v="3"/>
    <x v="2"/>
    <x v="9"/>
    <x v="2"/>
  </r>
  <r>
    <x v="1617"/>
    <x v="6"/>
    <x v="0"/>
    <n v="48.3"/>
    <n v="48.3"/>
    <x v="60"/>
    <d v="2025-03-16T00:00:00"/>
    <x v="3"/>
    <x v="0"/>
    <n v="5"/>
    <x v="0"/>
    <x v="3"/>
    <x v="12"/>
    <x v="9"/>
    <x v="3"/>
  </r>
  <r>
    <x v="1618"/>
    <x v="8"/>
    <x v="2"/>
    <n v="45.5"/>
    <n v="136.5"/>
    <x v="60"/>
    <d v="2025-03-04T00:00:00"/>
    <x v="1"/>
    <x v="2"/>
    <n v="3"/>
    <x v="0"/>
    <x v="3"/>
    <x v="1"/>
    <x v="9"/>
    <x v="1"/>
  </r>
  <r>
    <x v="1619"/>
    <x v="9"/>
    <x v="6"/>
    <n v="51"/>
    <n v="1377"/>
    <x v="60"/>
    <d v="2025-03-02T00:00:00"/>
    <x v="2"/>
    <x v="2"/>
    <n v="4"/>
    <x v="0"/>
    <x v="3"/>
    <x v="7"/>
    <x v="9"/>
    <x v="2"/>
  </r>
  <r>
    <x v="1620"/>
    <x v="4"/>
    <x v="13"/>
    <n v="20.399999999999999"/>
    <n v="122.39999999999999"/>
    <x v="60"/>
    <d v="2025-03-03T00:00:00"/>
    <x v="1"/>
    <x v="2"/>
    <n v="4"/>
    <x v="0"/>
    <x v="3"/>
    <x v="3"/>
    <x v="9"/>
    <x v="1"/>
  </r>
  <r>
    <x v="1621"/>
    <x v="10"/>
    <x v="1"/>
    <n v="30.4"/>
    <n v="60.8"/>
    <x v="60"/>
    <d v="2025-03-04T00:00:00"/>
    <x v="1"/>
    <x v="2"/>
    <n v="4"/>
    <x v="0"/>
    <x v="3"/>
    <x v="1"/>
    <x v="9"/>
    <x v="1"/>
  </r>
  <r>
    <x v="1622"/>
    <x v="7"/>
    <x v="1"/>
    <n v="71.5"/>
    <n v="143"/>
    <x v="60"/>
    <d v="2025-03-06T00:00:00"/>
    <x v="2"/>
    <x v="0"/>
    <n v="4"/>
    <x v="0"/>
    <x v="3"/>
    <x v="5"/>
    <x v="9"/>
    <x v="2"/>
  </r>
  <r>
    <x v="1623"/>
    <x v="8"/>
    <x v="13"/>
    <n v="18"/>
    <n v="108"/>
    <x v="60"/>
    <d v="2025-03-03T00:00:00"/>
    <x v="3"/>
    <x v="1"/>
    <n v="5"/>
    <x v="0"/>
    <x v="6"/>
    <x v="3"/>
    <x v="9"/>
    <x v="3"/>
  </r>
  <r>
    <x v="1624"/>
    <x v="15"/>
    <x v="5"/>
    <n v="45.6"/>
    <n v="501.6"/>
    <x v="60"/>
    <d v="2025-03-03T00:00:00"/>
    <x v="3"/>
    <x v="1"/>
    <n v="3"/>
    <x v="0"/>
    <x v="7"/>
    <x v="3"/>
    <x v="9"/>
    <x v="3"/>
  </r>
  <r>
    <x v="1625"/>
    <x v="9"/>
    <x v="0"/>
    <n v="31.8"/>
    <n v="31.8"/>
    <x v="60"/>
    <d v="2025-03-06T00:00:00"/>
    <x v="2"/>
    <x v="0"/>
    <n v="5"/>
    <x v="0"/>
    <x v="7"/>
    <x v="5"/>
    <x v="9"/>
    <x v="2"/>
  </r>
  <r>
    <x v="1626"/>
    <x v="8"/>
    <x v="9"/>
    <n v="19.899999999999999"/>
    <n v="99.5"/>
    <x v="60"/>
    <d v="2025-03-03T00:00:00"/>
    <x v="2"/>
    <x v="1"/>
    <n v="4"/>
    <x v="0"/>
    <x v="7"/>
    <x v="3"/>
    <x v="9"/>
    <x v="2"/>
  </r>
  <r>
    <x v="1627"/>
    <x v="12"/>
    <x v="11"/>
    <n v="52.1"/>
    <n v="468.90000000000003"/>
    <x v="60"/>
    <d v="2025-03-04T00:00:00"/>
    <x v="1"/>
    <x v="0"/>
    <n v="4"/>
    <x v="0"/>
    <x v="8"/>
    <x v="1"/>
    <x v="9"/>
    <x v="1"/>
  </r>
  <r>
    <x v="1628"/>
    <x v="1"/>
    <x v="3"/>
    <n v="45.9"/>
    <n v="321.3"/>
    <x v="60"/>
    <d v="2025-03-03T00:00:00"/>
    <x v="1"/>
    <x v="0"/>
    <n v="3"/>
    <x v="0"/>
    <x v="8"/>
    <x v="3"/>
    <x v="9"/>
    <x v="1"/>
  </r>
  <r>
    <x v="1629"/>
    <x v="1"/>
    <x v="7"/>
    <n v="115.9"/>
    <n v="1159"/>
    <x v="60"/>
    <d v="2025-03-05T00:00:00"/>
    <x v="2"/>
    <x v="1"/>
    <n v="4"/>
    <x v="0"/>
    <x v="8"/>
    <x v="2"/>
    <x v="9"/>
    <x v="2"/>
  </r>
  <r>
    <x v="1630"/>
    <x v="6"/>
    <x v="11"/>
    <n v="86"/>
    <n v="774"/>
    <x v="60"/>
    <d v="2025-03-07T00:00:00"/>
    <x v="2"/>
    <x v="0"/>
    <n v="3"/>
    <x v="0"/>
    <x v="8"/>
    <x v="0"/>
    <x v="9"/>
    <x v="2"/>
  </r>
  <r>
    <x v="1631"/>
    <x v="7"/>
    <x v="3"/>
    <n v="73.599999999999994"/>
    <n v="515.19999999999993"/>
    <x v="60"/>
    <d v="2025-03-04T00:00:00"/>
    <x v="2"/>
    <x v="0"/>
    <n v="4"/>
    <x v="0"/>
    <x v="17"/>
    <x v="1"/>
    <x v="9"/>
    <x v="2"/>
  </r>
  <r>
    <x v="1632"/>
    <x v="10"/>
    <x v="2"/>
    <n v="26.7"/>
    <n v="80.099999999999994"/>
    <x v="60"/>
    <d v="2025-03-06T00:00:00"/>
    <x v="2"/>
    <x v="0"/>
    <n v="4"/>
    <x v="0"/>
    <x v="11"/>
    <x v="5"/>
    <x v="9"/>
    <x v="2"/>
  </r>
  <r>
    <x v="1633"/>
    <x v="8"/>
    <x v="3"/>
    <n v="46.6"/>
    <n v="326.2"/>
    <x v="60"/>
    <d v="2025-03-04T00:00:00"/>
    <x v="0"/>
    <x v="3"/>
    <n v="4"/>
    <x v="0"/>
    <x v="11"/>
    <x v="1"/>
    <x v="9"/>
    <x v="0"/>
  </r>
  <r>
    <x v="1634"/>
    <x v="3"/>
    <x v="2"/>
    <n v="84.6"/>
    <n v="253.79999999999998"/>
    <x v="60"/>
    <d v="2025-03-04T00:00:00"/>
    <x v="1"/>
    <x v="4"/>
    <n v="4"/>
    <x v="0"/>
    <x v="11"/>
    <x v="1"/>
    <x v="9"/>
    <x v="1"/>
  </r>
  <r>
    <x v="1635"/>
    <x v="7"/>
    <x v="21"/>
    <n v="41.5"/>
    <n v="581"/>
    <x v="60"/>
    <d v="2025-03-16T00:00:00"/>
    <x v="1"/>
    <x v="1"/>
    <n v="4"/>
    <x v="0"/>
    <x v="53"/>
    <x v="12"/>
    <x v="9"/>
    <x v="1"/>
  </r>
  <r>
    <x v="1636"/>
    <x v="8"/>
    <x v="0"/>
    <n v="32.799999999999997"/>
    <n v="32.799999999999997"/>
    <x v="60"/>
    <d v="2025-03-05T00:00:00"/>
    <x v="1"/>
    <x v="0"/>
    <n v="5"/>
    <x v="0"/>
    <x v="30"/>
    <x v="2"/>
    <x v="9"/>
    <x v="1"/>
  </r>
  <r>
    <x v="1637"/>
    <x v="4"/>
    <x v="3"/>
    <n v="46.7"/>
    <n v="326.90000000000003"/>
    <x v="60"/>
    <d v="2025-03-04T00:00:00"/>
    <x v="3"/>
    <x v="0"/>
    <n v="5"/>
    <x v="0"/>
    <x v="18"/>
    <x v="1"/>
    <x v="9"/>
    <x v="3"/>
  </r>
  <r>
    <x v="1638"/>
    <x v="15"/>
    <x v="3"/>
    <n v="21"/>
    <n v="147"/>
    <x v="60"/>
    <d v="2025-03-05T00:00:00"/>
    <x v="1"/>
    <x v="2"/>
    <n v="3"/>
    <x v="0"/>
    <x v="21"/>
    <x v="2"/>
    <x v="9"/>
    <x v="1"/>
  </r>
  <r>
    <x v="1639"/>
    <x v="5"/>
    <x v="3"/>
    <n v="29.4"/>
    <n v="205.79999999999998"/>
    <x v="60"/>
    <d v="2025-03-02T00:00:00"/>
    <x v="1"/>
    <x v="3"/>
    <n v="5"/>
    <x v="0"/>
    <x v="21"/>
    <x v="7"/>
    <x v="9"/>
    <x v="1"/>
  </r>
  <r>
    <x v="1640"/>
    <x v="15"/>
    <x v="1"/>
    <n v="32.299999999999997"/>
    <n v="64.599999999999994"/>
    <x v="60"/>
    <d v="2025-03-03T00:00:00"/>
    <x v="1"/>
    <x v="0"/>
    <n v="5"/>
    <x v="0"/>
    <x v="21"/>
    <x v="3"/>
    <x v="9"/>
    <x v="1"/>
  </r>
  <r>
    <x v="1641"/>
    <x v="6"/>
    <x v="0"/>
    <n v="42.2"/>
    <n v="42.2"/>
    <x v="61"/>
    <d v="2025-03-05T00:00:00"/>
    <x v="2"/>
    <x v="0"/>
    <n v="5"/>
    <x v="0"/>
    <x v="21"/>
    <x v="1"/>
    <x v="9"/>
    <x v="2"/>
  </r>
  <r>
    <x v="1642"/>
    <x v="6"/>
    <x v="0"/>
    <n v="53.7"/>
    <n v="53.7"/>
    <x v="61"/>
    <d v="2025-03-05T00:00:00"/>
    <x v="1"/>
    <x v="1"/>
    <n v="3"/>
    <x v="0"/>
    <x v="1"/>
    <x v="1"/>
    <x v="9"/>
    <x v="1"/>
  </r>
  <r>
    <x v="1643"/>
    <x v="2"/>
    <x v="1"/>
    <n v="123.9"/>
    <n v="247.8"/>
    <x v="61"/>
    <d v="2025-03-06T00:00:00"/>
    <x v="1"/>
    <x v="2"/>
    <n v="4"/>
    <x v="0"/>
    <x v="1"/>
    <x v="2"/>
    <x v="9"/>
    <x v="1"/>
  </r>
  <r>
    <x v="1644"/>
    <x v="4"/>
    <x v="2"/>
    <n v="35.9"/>
    <n v="107.69999999999999"/>
    <x v="61"/>
    <d v="2025-03-05T00:00:00"/>
    <x v="1"/>
    <x v="2"/>
    <n v="4"/>
    <x v="0"/>
    <x v="22"/>
    <x v="1"/>
    <x v="9"/>
    <x v="1"/>
  </r>
  <r>
    <x v="1645"/>
    <x v="4"/>
    <x v="1"/>
    <n v="23.6"/>
    <n v="47.2"/>
    <x v="61"/>
    <d v="2025-03-06T00:00:00"/>
    <x v="1"/>
    <x v="0"/>
    <n v="5"/>
    <x v="0"/>
    <x v="3"/>
    <x v="2"/>
    <x v="9"/>
    <x v="1"/>
  </r>
  <r>
    <x v="1646"/>
    <x v="15"/>
    <x v="36"/>
    <n v="45.7"/>
    <n v="1599.5"/>
    <x v="61"/>
    <d v="2025-03-04T00:00:00"/>
    <x v="1"/>
    <x v="0"/>
    <n v="3"/>
    <x v="0"/>
    <x v="3"/>
    <x v="3"/>
    <x v="9"/>
    <x v="1"/>
  </r>
  <r>
    <x v="1647"/>
    <x v="6"/>
    <x v="5"/>
    <n v="118.3"/>
    <n v="1301.3"/>
    <x v="61"/>
    <d v="2025-03-05T00:00:00"/>
    <x v="1"/>
    <x v="4"/>
    <n v="5"/>
    <x v="0"/>
    <x v="3"/>
    <x v="1"/>
    <x v="9"/>
    <x v="1"/>
  </r>
  <r>
    <x v="1648"/>
    <x v="19"/>
    <x v="0"/>
    <n v="36"/>
    <n v="36"/>
    <x v="61"/>
    <d v="2025-03-04T00:00:00"/>
    <x v="2"/>
    <x v="0"/>
    <n v="3"/>
    <x v="0"/>
    <x v="3"/>
    <x v="3"/>
    <x v="9"/>
    <x v="2"/>
  </r>
  <r>
    <x v="1649"/>
    <x v="8"/>
    <x v="1"/>
    <n v="37.1"/>
    <n v="74.2"/>
    <x v="61"/>
    <d v="2025-03-06T00:00:00"/>
    <x v="2"/>
    <x v="2"/>
    <n v="4"/>
    <x v="0"/>
    <x v="3"/>
    <x v="2"/>
    <x v="9"/>
    <x v="2"/>
  </r>
  <r>
    <x v="1650"/>
    <x v="18"/>
    <x v="2"/>
    <n v="45.1"/>
    <n v="135.30000000000001"/>
    <x v="61"/>
    <d v="2025-03-05T00:00:00"/>
    <x v="2"/>
    <x v="1"/>
    <n v="5"/>
    <x v="0"/>
    <x v="3"/>
    <x v="1"/>
    <x v="9"/>
    <x v="2"/>
  </r>
  <r>
    <x v="1651"/>
    <x v="5"/>
    <x v="27"/>
    <n v="37.9"/>
    <n v="606.4"/>
    <x v="61"/>
    <d v="2025-03-04T00:00:00"/>
    <x v="2"/>
    <x v="3"/>
    <n v="5"/>
    <x v="0"/>
    <x v="3"/>
    <x v="3"/>
    <x v="9"/>
    <x v="2"/>
  </r>
  <r>
    <x v="1652"/>
    <x v="2"/>
    <x v="1"/>
    <n v="121.6"/>
    <n v="243.2"/>
    <x v="61"/>
    <d v="2025-03-06T00:00:00"/>
    <x v="1"/>
    <x v="3"/>
    <n v="5"/>
    <x v="0"/>
    <x v="3"/>
    <x v="2"/>
    <x v="9"/>
    <x v="1"/>
  </r>
  <r>
    <x v="1653"/>
    <x v="5"/>
    <x v="3"/>
    <n v="38.200000000000003"/>
    <n v="267.40000000000003"/>
    <x v="61"/>
    <d v="2025-03-06T00:00:00"/>
    <x v="2"/>
    <x v="0"/>
    <n v="4"/>
    <x v="0"/>
    <x v="3"/>
    <x v="2"/>
    <x v="9"/>
    <x v="2"/>
  </r>
  <r>
    <x v="1654"/>
    <x v="17"/>
    <x v="1"/>
    <n v="37.200000000000003"/>
    <n v="74.400000000000006"/>
    <x v="61"/>
    <d v="2025-03-06T00:00:00"/>
    <x v="1"/>
    <x v="4"/>
    <n v="4"/>
    <x v="0"/>
    <x v="3"/>
    <x v="2"/>
    <x v="9"/>
    <x v="1"/>
  </r>
  <r>
    <x v="1655"/>
    <x v="2"/>
    <x v="12"/>
    <n v="115.7"/>
    <n v="462.8"/>
    <x v="61"/>
    <d v="2025-03-06T00:00:00"/>
    <x v="2"/>
    <x v="1"/>
    <n v="4"/>
    <x v="0"/>
    <x v="3"/>
    <x v="2"/>
    <x v="9"/>
    <x v="2"/>
  </r>
  <r>
    <x v="1656"/>
    <x v="2"/>
    <x v="13"/>
    <n v="99.4"/>
    <n v="596.40000000000009"/>
    <x v="61"/>
    <d v="2025-03-06T00:00:00"/>
    <x v="1"/>
    <x v="0"/>
    <n v="5"/>
    <x v="0"/>
    <x v="3"/>
    <x v="2"/>
    <x v="9"/>
    <x v="1"/>
  </r>
  <r>
    <x v="1657"/>
    <x v="11"/>
    <x v="0"/>
    <n v="38.700000000000003"/>
    <n v="38.700000000000003"/>
    <x v="61"/>
    <d v="2025-03-04T00:00:00"/>
    <x v="2"/>
    <x v="2"/>
    <n v="4"/>
    <x v="0"/>
    <x v="25"/>
    <x v="3"/>
    <x v="9"/>
    <x v="2"/>
  </r>
  <r>
    <x v="1658"/>
    <x v="4"/>
    <x v="1"/>
    <n v="35.5"/>
    <n v="71"/>
    <x v="61"/>
    <d v="2025-03-06T00:00:00"/>
    <x v="1"/>
    <x v="0"/>
    <n v="5"/>
    <x v="0"/>
    <x v="25"/>
    <x v="2"/>
    <x v="9"/>
    <x v="1"/>
  </r>
  <r>
    <x v="1659"/>
    <x v="2"/>
    <x v="12"/>
    <n v="93.3"/>
    <n v="373.2"/>
    <x v="61"/>
    <d v="2025-03-06T00:00:00"/>
    <x v="2"/>
    <x v="0"/>
    <n v="5"/>
    <x v="0"/>
    <x v="6"/>
    <x v="2"/>
    <x v="9"/>
    <x v="2"/>
  </r>
  <r>
    <x v="1660"/>
    <x v="16"/>
    <x v="0"/>
    <n v="31.4"/>
    <n v="31.4"/>
    <x v="61"/>
    <d v="2025-03-08T00:00:00"/>
    <x v="2"/>
    <x v="2"/>
    <n v="5"/>
    <x v="0"/>
    <x v="6"/>
    <x v="0"/>
    <x v="9"/>
    <x v="2"/>
  </r>
  <r>
    <x v="1661"/>
    <x v="1"/>
    <x v="0"/>
    <n v="85.9"/>
    <n v="85.9"/>
    <x v="61"/>
    <d v="2025-03-06T00:00:00"/>
    <x v="1"/>
    <x v="1"/>
    <n v="4"/>
    <x v="0"/>
    <x v="6"/>
    <x v="2"/>
    <x v="9"/>
    <x v="1"/>
  </r>
  <r>
    <x v="1662"/>
    <x v="6"/>
    <x v="8"/>
    <n v="41.7"/>
    <n v="333.6"/>
    <x v="61"/>
    <d v="2025-03-11T00:00:00"/>
    <x v="1"/>
    <x v="0"/>
    <n v="5"/>
    <x v="0"/>
    <x v="7"/>
    <x v="9"/>
    <x v="9"/>
    <x v="1"/>
  </r>
  <r>
    <x v="1663"/>
    <x v="8"/>
    <x v="12"/>
    <n v="31.5"/>
    <n v="126"/>
    <x v="61"/>
    <d v="2025-03-04T00:00:00"/>
    <x v="2"/>
    <x v="0"/>
    <n v="4"/>
    <x v="0"/>
    <x v="7"/>
    <x v="3"/>
    <x v="9"/>
    <x v="2"/>
  </r>
  <r>
    <x v="1664"/>
    <x v="8"/>
    <x v="1"/>
    <n v="36.299999999999997"/>
    <n v="72.599999999999994"/>
    <x v="61"/>
    <d v="2025-03-04T00:00:00"/>
    <x v="2"/>
    <x v="0"/>
    <n v="2"/>
    <x v="0"/>
    <x v="8"/>
    <x v="3"/>
    <x v="9"/>
    <x v="2"/>
  </r>
  <r>
    <x v="1665"/>
    <x v="8"/>
    <x v="2"/>
    <n v="33.4"/>
    <n v="100.19999999999999"/>
    <x v="61"/>
    <d v="2025-03-04T00:00:00"/>
    <x v="2"/>
    <x v="3"/>
    <n v="4"/>
    <x v="0"/>
    <x v="17"/>
    <x v="3"/>
    <x v="9"/>
    <x v="2"/>
  </r>
  <r>
    <x v="1666"/>
    <x v="2"/>
    <x v="2"/>
    <n v="65.2"/>
    <n v="195.60000000000002"/>
    <x v="61"/>
    <d v="2025-03-04T00:00:00"/>
    <x v="2"/>
    <x v="2"/>
    <n v="5"/>
    <x v="0"/>
    <x v="26"/>
    <x v="3"/>
    <x v="9"/>
    <x v="2"/>
  </r>
  <r>
    <x v="1667"/>
    <x v="8"/>
    <x v="11"/>
    <n v="65.5"/>
    <n v="589.5"/>
    <x v="61"/>
    <d v="2025-03-06T00:00:00"/>
    <x v="2"/>
    <x v="0"/>
    <n v="5"/>
    <x v="0"/>
    <x v="9"/>
    <x v="2"/>
    <x v="9"/>
    <x v="2"/>
  </r>
  <r>
    <x v="1668"/>
    <x v="6"/>
    <x v="2"/>
    <n v="52.8"/>
    <n v="158.39999999999998"/>
    <x v="61"/>
    <d v="2025-03-06T00:00:00"/>
    <x v="1"/>
    <x v="2"/>
    <n v="4"/>
    <x v="0"/>
    <x v="9"/>
    <x v="2"/>
    <x v="9"/>
    <x v="1"/>
  </r>
  <r>
    <x v="1669"/>
    <x v="9"/>
    <x v="9"/>
    <n v="24"/>
    <n v="120"/>
    <x v="61"/>
    <d v="2025-03-07T00:00:00"/>
    <x v="1"/>
    <x v="0"/>
    <n v="3"/>
    <x v="0"/>
    <x v="11"/>
    <x v="5"/>
    <x v="9"/>
    <x v="1"/>
  </r>
  <r>
    <x v="1670"/>
    <x v="3"/>
    <x v="2"/>
    <n v="51.2"/>
    <n v="153.60000000000002"/>
    <x v="61"/>
    <d v="2025-03-04T00:00:00"/>
    <x v="2"/>
    <x v="0"/>
    <n v="4"/>
    <x v="0"/>
    <x v="32"/>
    <x v="3"/>
    <x v="9"/>
    <x v="2"/>
  </r>
  <r>
    <x v="1671"/>
    <x v="5"/>
    <x v="2"/>
    <n v="28.3"/>
    <n v="84.9"/>
    <x v="61"/>
    <d v="2025-03-05T00:00:00"/>
    <x v="1"/>
    <x v="4"/>
    <n v="4"/>
    <x v="0"/>
    <x v="19"/>
    <x v="1"/>
    <x v="9"/>
    <x v="1"/>
  </r>
  <r>
    <x v="1672"/>
    <x v="6"/>
    <x v="2"/>
    <n v="42.3"/>
    <n v="126.89999999999999"/>
    <x v="61"/>
    <d v="2025-03-03T00:00:00"/>
    <x v="2"/>
    <x v="2"/>
    <n v="3"/>
    <x v="0"/>
    <x v="19"/>
    <x v="7"/>
    <x v="9"/>
    <x v="2"/>
  </r>
  <r>
    <x v="1673"/>
    <x v="2"/>
    <x v="8"/>
    <n v="163.30000000000001"/>
    <n v="1306.4000000000001"/>
    <x v="62"/>
    <d v="2025-03-05T00:00:00"/>
    <x v="2"/>
    <x v="1"/>
    <n v="4"/>
    <x v="0"/>
    <x v="13"/>
    <x v="3"/>
    <x v="9"/>
    <x v="2"/>
  </r>
  <r>
    <x v="1674"/>
    <x v="6"/>
    <x v="3"/>
    <n v="47.3"/>
    <n v="331.09999999999997"/>
    <x v="62"/>
    <d v="2025-03-07T00:00:00"/>
    <x v="2"/>
    <x v="4"/>
    <n v="3"/>
    <x v="0"/>
    <x v="21"/>
    <x v="2"/>
    <x v="9"/>
    <x v="2"/>
  </r>
  <r>
    <x v="1675"/>
    <x v="8"/>
    <x v="27"/>
    <n v="27.3"/>
    <n v="436.8"/>
    <x v="62"/>
    <d v="2025-03-05T00:00:00"/>
    <x v="2"/>
    <x v="2"/>
    <n v="4"/>
    <x v="0"/>
    <x v="21"/>
    <x v="3"/>
    <x v="9"/>
    <x v="2"/>
  </r>
  <r>
    <x v="1676"/>
    <x v="10"/>
    <x v="13"/>
    <n v="34.9"/>
    <n v="209.39999999999998"/>
    <x v="62"/>
    <d v="2025-03-15T00:00:00"/>
    <x v="2"/>
    <x v="0"/>
    <n v="4"/>
    <x v="0"/>
    <x v="21"/>
    <x v="11"/>
    <x v="9"/>
    <x v="2"/>
  </r>
  <r>
    <x v="1677"/>
    <x v="6"/>
    <x v="1"/>
    <n v="53.9"/>
    <n v="107.8"/>
    <x v="62"/>
    <d v="2025-03-07T00:00:00"/>
    <x v="3"/>
    <x v="0"/>
    <n v="2"/>
    <x v="0"/>
    <x v="1"/>
    <x v="2"/>
    <x v="9"/>
    <x v="3"/>
  </r>
  <r>
    <x v="1678"/>
    <x v="2"/>
    <x v="1"/>
    <n v="87.2"/>
    <n v="174.4"/>
    <x v="62"/>
    <d v="2025-03-05T00:00:00"/>
    <x v="2"/>
    <x v="0"/>
    <n v="3"/>
    <x v="0"/>
    <x v="1"/>
    <x v="3"/>
    <x v="9"/>
    <x v="2"/>
  </r>
  <r>
    <x v="1679"/>
    <x v="15"/>
    <x v="0"/>
    <n v="58.8"/>
    <n v="58.8"/>
    <x v="62"/>
    <d v="2025-03-06T00:00:00"/>
    <x v="2"/>
    <x v="2"/>
    <n v="4"/>
    <x v="0"/>
    <x v="44"/>
    <x v="1"/>
    <x v="9"/>
    <x v="2"/>
  </r>
  <r>
    <x v="1680"/>
    <x v="2"/>
    <x v="3"/>
    <n v="125.5"/>
    <n v="878.5"/>
    <x v="62"/>
    <d v="2025-03-05T00:00:00"/>
    <x v="1"/>
    <x v="2"/>
    <n v="2"/>
    <x v="0"/>
    <x v="22"/>
    <x v="3"/>
    <x v="9"/>
    <x v="1"/>
  </r>
  <r>
    <x v="1681"/>
    <x v="1"/>
    <x v="12"/>
    <n v="124.6"/>
    <n v="498.4"/>
    <x v="62"/>
    <d v="2025-03-06T00:00:00"/>
    <x v="2"/>
    <x v="0"/>
    <n v="3"/>
    <x v="0"/>
    <x v="22"/>
    <x v="1"/>
    <x v="9"/>
    <x v="2"/>
  </r>
  <r>
    <x v="1682"/>
    <x v="1"/>
    <x v="3"/>
    <n v="39.9"/>
    <n v="279.3"/>
    <x v="62"/>
    <d v="2025-03-05T00:00:00"/>
    <x v="1"/>
    <x v="2"/>
    <n v="3"/>
    <x v="0"/>
    <x v="3"/>
    <x v="3"/>
    <x v="9"/>
    <x v="1"/>
  </r>
  <r>
    <x v="1683"/>
    <x v="6"/>
    <x v="0"/>
    <n v="94.6"/>
    <n v="94.6"/>
    <x v="62"/>
    <d v="2025-03-18T00:00:00"/>
    <x v="2"/>
    <x v="0"/>
    <n v="3"/>
    <x v="0"/>
    <x v="3"/>
    <x v="12"/>
    <x v="9"/>
    <x v="2"/>
  </r>
  <r>
    <x v="1684"/>
    <x v="2"/>
    <x v="1"/>
    <n v="149.6"/>
    <n v="299.2"/>
    <x v="62"/>
    <d v="2025-03-05T00:00:00"/>
    <x v="2"/>
    <x v="0"/>
    <n v="4"/>
    <x v="0"/>
    <x v="3"/>
    <x v="3"/>
    <x v="9"/>
    <x v="2"/>
  </r>
  <r>
    <x v="1685"/>
    <x v="8"/>
    <x v="0"/>
    <n v="52.2"/>
    <n v="52.2"/>
    <x v="62"/>
    <d v="2025-03-05T00:00:00"/>
    <x v="0"/>
    <x v="1"/>
    <n v="4"/>
    <x v="0"/>
    <x v="3"/>
    <x v="3"/>
    <x v="9"/>
    <x v="0"/>
  </r>
  <r>
    <x v="1686"/>
    <x v="6"/>
    <x v="1"/>
    <n v="96.5"/>
    <n v="193"/>
    <x v="62"/>
    <d v="2025-03-05T00:00:00"/>
    <x v="2"/>
    <x v="1"/>
    <n v="3"/>
    <x v="0"/>
    <x v="3"/>
    <x v="3"/>
    <x v="9"/>
    <x v="2"/>
  </r>
  <r>
    <x v="1687"/>
    <x v="8"/>
    <x v="1"/>
    <n v="79.8"/>
    <n v="159.6"/>
    <x v="62"/>
    <d v="2025-03-06T00:00:00"/>
    <x v="2"/>
    <x v="0"/>
    <n v="3"/>
    <x v="0"/>
    <x v="3"/>
    <x v="1"/>
    <x v="9"/>
    <x v="2"/>
  </r>
  <r>
    <x v="1688"/>
    <x v="8"/>
    <x v="2"/>
    <n v="35.6"/>
    <n v="106.80000000000001"/>
    <x v="62"/>
    <d v="2025-03-05T00:00:00"/>
    <x v="2"/>
    <x v="2"/>
    <n v="4"/>
    <x v="0"/>
    <x v="3"/>
    <x v="3"/>
    <x v="9"/>
    <x v="2"/>
  </r>
  <r>
    <x v="1689"/>
    <x v="16"/>
    <x v="0"/>
    <n v="50.2"/>
    <n v="50.2"/>
    <x v="62"/>
    <d v="2025-03-05T00:00:00"/>
    <x v="2"/>
    <x v="1"/>
    <n v="5"/>
    <x v="0"/>
    <x v="3"/>
    <x v="3"/>
    <x v="9"/>
    <x v="2"/>
  </r>
  <r>
    <x v="1690"/>
    <x v="1"/>
    <x v="2"/>
    <n v="55.3"/>
    <n v="165.89999999999998"/>
    <x v="62"/>
    <d v="2025-03-07T00:00:00"/>
    <x v="2"/>
    <x v="0"/>
    <n v="2"/>
    <x v="0"/>
    <x v="40"/>
    <x v="2"/>
    <x v="9"/>
    <x v="2"/>
  </r>
  <r>
    <x v="1691"/>
    <x v="6"/>
    <x v="3"/>
    <n v="104.5"/>
    <n v="731.5"/>
    <x v="62"/>
    <d v="2025-03-08T00:00:00"/>
    <x v="2"/>
    <x v="1"/>
    <n v="4"/>
    <x v="0"/>
    <x v="7"/>
    <x v="5"/>
    <x v="9"/>
    <x v="2"/>
  </r>
  <r>
    <x v="1692"/>
    <x v="6"/>
    <x v="12"/>
    <n v="66.5"/>
    <n v="266"/>
    <x v="62"/>
    <d v="2025-03-06T00:00:00"/>
    <x v="1"/>
    <x v="1"/>
    <n v="4"/>
    <x v="0"/>
    <x v="7"/>
    <x v="1"/>
    <x v="9"/>
    <x v="1"/>
  </r>
  <r>
    <x v="1693"/>
    <x v="10"/>
    <x v="8"/>
    <n v="38.299999999999997"/>
    <n v="306.39999999999998"/>
    <x v="62"/>
    <d v="2025-03-05T00:00:00"/>
    <x v="2"/>
    <x v="0"/>
    <n v="4"/>
    <x v="0"/>
    <x v="7"/>
    <x v="3"/>
    <x v="9"/>
    <x v="2"/>
  </r>
  <r>
    <x v="1694"/>
    <x v="6"/>
    <x v="2"/>
    <n v="63.8"/>
    <n v="191.39999999999998"/>
    <x v="62"/>
    <d v="2025-03-07T00:00:00"/>
    <x v="2"/>
    <x v="1"/>
    <n v="4"/>
    <x v="0"/>
    <x v="8"/>
    <x v="2"/>
    <x v="9"/>
    <x v="2"/>
  </r>
  <r>
    <x v="1695"/>
    <x v="15"/>
    <x v="0"/>
    <n v="21.4"/>
    <n v="21.4"/>
    <x v="62"/>
    <d v="2025-03-04T00:00:00"/>
    <x v="1"/>
    <x v="4"/>
    <n v="4"/>
    <x v="0"/>
    <x v="8"/>
    <x v="7"/>
    <x v="9"/>
    <x v="1"/>
  </r>
  <r>
    <x v="1696"/>
    <x v="8"/>
    <x v="12"/>
    <n v="44.1"/>
    <n v="176.4"/>
    <x v="62"/>
    <d v="2025-03-06T00:00:00"/>
    <x v="2"/>
    <x v="2"/>
    <n v="4"/>
    <x v="0"/>
    <x v="8"/>
    <x v="1"/>
    <x v="9"/>
    <x v="2"/>
  </r>
  <r>
    <x v="1697"/>
    <x v="5"/>
    <x v="8"/>
    <n v="57.6"/>
    <n v="460.8"/>
    <x v="62"/>
    <d v="2025-03-06T00:00:00"/>
    <x v="1"/>
    <x v="1"/>
    <n v="5"/>
    <x v="0"/>
    <x v="8"/>
    <x v="1"/>
    <x v="9"/>
    <x v="1"/>
  </r>
  <r>
    <x v="1698"/>
    <x v="9"/>
    <x v="1"/>
    <n v="20.3"/>
    <n v="40.6"/>
    <x v="62"/>
    <d v="2025-03-10T00:00:00"/>
    <x v="2"/>
    <x v="3"/>
    <n v="4"/>
    <x v="0"/>
    <x v="8"/>
    <x v="4"/>
    <x v="9"/>
    <x v="2"/>
  </r>
  <r>
    <x v="1699"/>
    <x v="8"/>
    <x v="0"/>
    <n v="22.9"/>
    <n v="22.9"/>
    <x v="62"/>
    <d v="2025-03-06T00:00:00"/>
    <x v="2"/>
    <x v="2"/>
    <n v="5"/>
    <x v="0"/>
    <x v="8"/>
    <x v="1"/>
    <x v="9"/>
    <x v="2"/>
  </r>
  <r>
    <x v="1700"/>
    <x v="6"/>
    <x v="12"/>
    <n v="105.9"/>
    <n v="423.6"/>
    <x v="62"/>
    <d v="2025-03-05T00:00:00"/>
    <x v="2"/>
    <x v="1"/>
    <n v="5"/>
    <x v="0"/>
    <x v="17"/>
    <x v="3"/>
    <x v="9"/>
    <x v="2"/>
  </r>
  <r>
    <x v="1701"/>
    <x v="1"/>
    <x v="11"/>
    <n v="37.4"/>
    <n v="336.59999999999997"/>
    <x v="62"/>
    <d v="2025-03-08T00:00:00"/>
    <x v="1"/>
    <x v="1"/>
    <n v="4"/>
    <x v="0"/>
    <x v="11"/>
    <x v="5"/>
    <x v="9"/>
    <x v="1"/>
  </r>
  <r>
    <x v="1702"/>
    <x v="18"/>
    <x v="1"/>
    <n v="79"/>
    <n v="158"/>
    <x v="62"/>
    <d v="2025-03-05T00:00:00"/>
    <x v="1"/>
    <x v="2"/>
    <n v="4"/>
    <x v="0"/>
    <x v="28"/>
    <x v="3"/>
    <x v="9"/>
    <x v="1"/>
  </r>
  <r>
    <x v="1703"/>
    <x v="0"/>
    <x v="2"/>
    <n v="19.3"/>
    <n v="57.900000000000006"/>
    <x v="62"/>
    <d v="2025-03-05T00:00:00"/>
    <x v="2"/>
    <x v="4"/>
    <n v="4"/>
    <x v="0"/>
    <x v="21"/>
    <x v="3"/>
    <x v="9"/>
    <x v="2"/>
  </r>
  <r>
    <x v="1704"/>
    <x v="0"/>
    <x v="0"/>
    <n v="24"/>
    <n v="24"/>
    <x v="62"/>
    <d v="2025-03-05T00:00:00"/>
    <x v="2"/>
    <x v="1"/>
    <n v="4"/>
    <x v="0"/>
    <x v="1"/>
    <x v="3"/>
    <x v="9"/>
    <x v="2"/>
  </r>
  <r>
    <x v="1705"/>
    <x v="6"/>
    <x v="9"/>
    <n v="71.3"/>
    <n v="356.5"/>
    <x v="62"/>
    <d v="2025-03-07T00:00:00"/>
    <x v="2"/>
    <x v="2"/>
    <n v="4"/>
    <x v="0"/>
    <x v="2"/>
    <x v="2"/>
    <x v="9"/>
    <x v="2"/>
  </r>
  <r>
    <x v="1706"/>
    <x v="5"/>
    <x v="1"/>
    <n v="166.2"/>
    <n v="332.4"/>
    <x v="62"/>
    <d v="2025-03-05T00:00:00"/>
    <x v="1"/>
    <x v="0"/>
    <n v="5"/>
    <x v="0"/>
    <x v="50"/>
    <x v="3"/>
    <x v="9"/>
    <x v="1"/>
  </r>
  <r>
    <x v="1707"/>
    <x v="6"/>
    <x v="0"/>
    <n v="81"/>
    <n v="81"/>
    <x v="62"/>
    <d v="2025-03-05T00:00:00"/>
    <x v="2"/>
    <x v="2"/>
    <n v="3"/>
    <x v="0"/>
    <x v="3"/>
    <x v="3"/>
    <x v="9"/>
    <x v="2"/>
  </r>
  <r>
    <x v="1708"/>
    <x v="10"/>
    <x v="13"/>
    <n v="38.5"/>
    <n v="231"/>
    <x v="62"/>
    <d v="2025-03-08T00:00:00"/>
    <x v="2"/>
    <x v="0"/>
    <n v="4"/>
    <x v="0"/>
    <x v="3"/>
    <x v="5"/>
    <x v="9"/>
    <x v="2"/>
  </r>
  <r>
    <x v="1709"/>
    <x v="6"/>
    <x v="0"/>
    <n v="86.1"/>
    <n v="86.1"/>
    <x v="62"/>
    <d v="2025-03-06T00:00:00"/>
    <x v="2"/>
    <x v="3"/>
    <n v="4"/>
    <x v="0"/>
    <x v="3"/>
    <x v="1"/>
    <x v="9"/>
    <x v="2"/>
  </r>
  <r>
    <x v="1710"/>
    <x v="2"/>
    <x v="9"/>
    <n v="51"/>
    <n v="255"/>
    <x v="62"/>
    <d v="2025-03-05T00:00:00"/>
    <x v="1"/>
    <x v="0"/>
    <n v="3"/>
    <x v="0"/>
    <x v="3"/>
    <x v="3"/>
    <x v="9"/>
    <x v="1"/>
  </r>
  <r>
    <x v="1711"/>
    <x v="3"/>
    <x v="9"/>
    <n v="115.4"/>
    <n v="577"/>
    <x v="62"/>
    <d v="2025-03-05T00:00:00"/>
    <x v="1"/>
    <x v="0"/>
    <n v="4"/>
    <x v="0"/>
    <x v="3"/>
    <x v="3"/>
    <x v="9"/>
    <x v="1"/>
  </r>
  <r>
    <x v="1712"/>
    <x v="6"/>
    <x v="12"/>
    <n v="176.5"/>
    <n v="706"/>
    <x v="62"/>
    <d v="2025-03-05T00:00:00"/>
    <x v="2"/>
    <x v="2"/>
    <n v="5"/>
    <x v="0"/>
    <x v="3"/>
    <x v="3"/>
    <x v="9"/>
    <x v="2"/>
  </r>
  <r>
    <x v="1713"/>
    <x v="7"/>
    <x v="2"/>
    <n v="48.9"/>
    <n v="146.69999999999999"/>
    <x v="62"/>
    <d v="2025-03-05T00:00:00"/>
    <x v="1"/>
    <x v="4"/>
    <n v="4"/>
    <x v="0"/>
    <x v="3"/>
    <x v="3"/>
    <x v="9"/>
    <x v="1"/>
  </r>
  <r>
    <x v="1714"/>
    <x v="8"/>
    <x v="2"/>
    <n v="18.100000000000001"/>
    <n v="54.300000000000004"/>
    <x v="62"/>
    <d v="2025-03-11T00:00:00"/>
    <x v="2"/>
    <x v="1"/>
    <n v="5"/>
    <x v="0"/>
    <x v="29"/>
    <x v="6"/>
    <x v="9"/>
    <x v="2"/>
  </r>
  <r>
    <x v="1715"/>
    <x v="2"/>
    <x v="1"/>
    <n v="118.5"/>
    <n v="237"/>
    <x v="62"/>
    <d v="2025-03-07T00:00:00"/>
    <x v="1"/>
    <x v="1"/>
    <n v="5"/>
    <x v="0"/>
    <x v="16"/>
    <x v="2"/>
    <x v="9"/>
    <x v="1"/>
  </r>
  <r>
    <x v="1716"/>
    <x v="15"/>
    <x v="3"/>
    <n v="59.1"/>
    <n v="413.7"/>
    <x v="62"/>
    <d v="2025-03-05T00:00:00"/>
    <x v="2"/>
    <x v="3"/>
    <n v="4"/>
    <x v="0"/>
    <x v="25"/>
    <x v="3"/>
    <x v="9"/>
    <x v="2"/>
  </r>
  <r>
    <x v="1717"/>
    <x v="4"/>
    <x v="0"/>
    <n v="21.2"/>
    <n v="21.2"/>
    <x v="62"/>
    <d v="2025-03-05T00:00:00"/>
    <x v="2"/>
    <x v="0"/>
    <n v="3"/>
    <x v="0"/>
    <x v="6"/>
    <x v="3"/>
    <x v="9"/>
    <x v="2"/>
  </r>
  <r>
    <x v="1718"/>
    <x v="6"/>
    <x v="1"/>
    <n v="68.8"/>
    <n v="137.6"/>
    <x v="62"/>
    <d v="2025-03-09T00:00:00"/>
    <x v="2"/>
    <x v="3"/>
    <n v="5"/>
    <x v="0"/>
    <x v="6"/>
    <x v="0"/>
    <x v="9"/>
    <x v="2"/>
  </r>
  <r>
    <x v="1719"/>
    <x v="6"/>
    <x v="1"/>
    <n v="65.400000000000006"/>
    <n v="130.80000000000001"/>
    <x v="62"/>
    <d v="2025-03-08T00:00:00"/>
    <x v="2"/>
    <x v="0"/>
    <n v="4"/>
    <x v="0"/>
    <x v="6"/>
    <x v="5"/>
    <x v="9"/>
    <x v="2"/>
  </r>
  <r>
    <x v="1720"/>
    <x v="12"/>
    <x v="9"/>
    <n v="66.3"/>
    <n v="331.5"/>
    <x v="63"/>
    <d v="2025-03-08T00:00:00"/>
    <x v="2"/>
    <x v="4"/>
    <n v="4"/>
    <x v="0"/>
    <x v="6"/>
    <x v="2"/>
    <x v="9"/>
    <x v="2"/>
  </r>
  <r>
    <x v="1721"/>
    <x v="6"/>
    <x v="2"/>
    <n v="97.5"/>
    <n v="292.5"/>
    <x v="63"/>
    <d v="2025-03-05T00:00:00"/>
    <x v="1"/>
    <x v="3"/>
    <n v="4"/>
    <x v="0"/>
    <x v="8"/>
    <x v="7"/>
    <x v="9"/>
    <x v="1"/>
  </r>
  <r>
    <x v="1722"/>
    <x v="1"/>
    <x v="1"/>
    <n v="44"/>
    <n v="88"/>
    <x v="63"/>
    <d v="2025-03-08T00:00:00"/>
    <x v="2"/>
    <x v="1"/>
    <n v="5"/>
    <x v="0"/>
    <x v="8"/>
    <x v="2"/>
    <x v="9"/>
    <x v="2"/>
  </r>
  <r>
    <x v="1723"/>
    <x v="0"/>
    <x v="0"/>
    <n v="21.9"/>
    <n v="21.9"/>
    <x v="63"/>
    <d v="2025-03-06T00:00:00"/>
    <x v="1"/>
    <x v="0"/>
    <n v="4"/>
    <x v="0"/>
    <x v="8"/>
    <x v="3"/>
    <x v="9"/>
    <x v="1"/>
  </r>
  <r>
    <x v="1724"/>
    <x v="4"/>
    <x v="3"/>
    <n v="21.5"/>
    <n v="150.5"/>
    <x v="63"/>
    <d v="2025-03-07T00:00:00"/>
    <x v="2"/>
    <x v="1"/>
    <n v="5"/>
    <x v="0"/>
    <x v="9"/>
    <x v="1"/>
    <x v="9"/>
    <x v="2"/>
  </r>
  <r>
    <x v="1725"/>
    <x v="12"/>
    <x v="13"/>
    <n v="133"/>
    <n v="798"/>
    <x v="63"/>
    <d v="2025-03-06T00:00:00"/>
    <x v="3"/>
    <x v="0"/>
    <n v="5"/>
    <x v="0"/>
    <x v="10"/>
    <x v="3"/>
    <x v="9"/>
    <x v="3"/>
  </r>
  <r>
    <x v="1726"/>
    <x v="8"/>
    <x v="1"/>
    <n v="47.7"/>
    <n v="95.4"/>
    <x v="63"/>
    <d v="2025-03-09T00:00:00"/>
    <x v="1"/>
    <x v="0"/>
    <n v="5"/>
    <x v="0"/>
    <x v="10"/>
    <x v="5"/>
    <x v="9"/>
    <x v="1"/>
  </r>
  <r>
    <x v="1727"/>
    <x v="16"/>
    <x v="2"/>
    <n v="58.1"/>
    <n v="174.3"/>
    <x v="63"/>
    <d v="2025-03-06T00:00:00"/>
    <x v="2"/>
    <x v="0"/>
    <n v="4"/>
    <x v="0"/>
    <x v="11"/>
    <x v="3"/>
    <x v="9"/>
    <x v="2"/>
  </r>
  <r>
    <x v="1728"/>
    <x v="12"/>
    <x v="12"/>
    <n v="66.599999999999994"/>
    <n v="266.39999999999998"/>
    <x v="63"/>
    <d v="2025-03-06T00:00:00"/>
    <x v="0"/>
    <x v="0"/>
    <n v="4"/>
    <x v="0"/>
    <x v="11"/>
    <x v="3"/>
    <x v="9"/>
    <x v="0"/>
  </r>
  <r>
    <x v="1729"/>
    <x v="9"/>
    <x v="0"/>
    <n v="24.1"/>
    <n v="24.1"/>
    <x v="63"/>
    <d v="2025-03-08T00:00:00"/>
    <x v="1"/>
    <x v="2"/>
    <n v="3"/>
    <x v="0"/>
    <x v="19"/>
    <x v="2"/>
    <x v="9"/>
    <x v="1"/>
  </r>
  <r>
    <x v="1730"/>
    <x v="10"/>
    <x v="9"/>
    <n v="51.5"/>
    <n v="257.5"/>
    <x v="63"/>
    <d v="2025-03-10T00:00:00"/>
    <x v="2"/>
    <x v="0"/>
    <n v="4"/>
    <x v="0"/>
    <x v="13"/>
    <x v="0"/>
    <x v="9"/>
    <x v="2"/>
  </r>
  <r>
    <x v="1731"/>
    <x v="0"/>
    <x v="5"/>
    <n v="25.8"/>
    <n v="283.8"/>
    <x v="63"/>
    <d v="2025-03-09T00:00:00"/>
    <x v="2"/>
    <x v="3"/>
    <n v="2"/>
    <x v="0"/>
    <x v="21"/>
    <x v="5"/>
    <x v="9"/>
    <x v="2"/>
  </r>
  <r>
    <x v="1732"/>
    <x v="9"/>
    <x v="12"/>
    <n v="47.7"/>
    <n v="190.8"/>
    <x v="63"/>
    <d v="2025-03-05T00:00:00"/>
    <x v="2"/>
    <x v="0"/>
    <n v="3"/>
    <x v="0"/>
    <x v="21"/>
    <x v="7"/>
    <x v="9"/>
    <x v="2"/>
  </r>
  <r>
    <x v="1733"/>
    <x v="7"/>
    <x v="9"/>
    <n v="73.599999999999994"/>
    <n v="368"/>
    <x v="63"/>
    <d v="2025-03-09T00:00:00"/>
    <x v="1"/>
    <x v="1"/>
    <n v="4"/>
    <x v="0"/>
    <x v="21"/>
    <x v="5"/>
    <x v="9"/>
    <x v="1"/>
  </r>
  <r>
    <x v="1734"/>
    <x v="5"/>
    <x v="3"/>
    <n v="91.2"/>
    <n v="638.4"/>
    <x v="63"/>
    <d v="2025-03-06T00:00:00"/>
    <x v="1"/>
    <x v="1"/>
    <n v="5"/>
    <x v="0"/>
    <x v="21"/>
    <x v="3"/>
    <x v="9"/>
    <x v="1"/>
  </r>
  <r>
    <x v="1735"/>
    <x v="1"/>
    <x v="8"/>
    <n v="36.200000000000003"/>
    <n v="289.60000000000002"/>
    <x v="63"/>
    <d v="2025-03-05T00:00:00"/>
    <x v="1"/>
    <x v="2"/>
    <n v="5"/>
    <x v="0"/>
    <x v="1"/>
    <x v="7"/>
    <x v="9"/>
    <x v="1"/>
  </r>
  <r>
    <x v="1736"/>
    <x v="9"/>
    <x v="8"/>
    <n v="98"/>
    <n v="784"/>
    <x v="63"/>
    <d v="2025-03-09T00:00:00"/>
    <x v="2"/>
    <x v="2"/>
    <n v="4"/>
    <x v="0"/>
    <x v="2"/>
    <x v="5"/>
    <x v="9"/>
    <x v="2"/>
  </r>
  <r>
    <x v="1737"/>
    <x v="1"/>
    <x v="8"/>
    <n v="43.6"/>
    <n v="348.8"/>
    <x v="63"/>
    <d v="2025-03-06T00:00:00"/>
    <x v="2"/>
    <x v="2"/>
    <n v="4"/>
    <x v="0"/>
    <x v="22"/>
    <x v="3"/>
    <x v="9"/>
    <x v="2"/>
  </r>
  <r>
    <x v="1738"/>
    <x v="8"/>
    <x v="7"/>
    <n v="37.799999999999997"/>
    <n v="378"/>
    <x v="63"/>
    <d v="2025-03-05T00:00:00"/>
    <x v="3"/>
    <x v="0"/>
    <n v="4"/>
    <x v="0"/>
    <x v="50"/>
    <x v="7"/>
    <x v="9"/>
    <x v="3"/>
  </r>
  <r>
    <x v="1739"/>
    <x v="17"/>
    <x v="9"/>
    <n v="63.7"/>
    <n v="318.5"/>
    <x v="63"/>
    <d v="2025-03-08T00:00:00"/>
    <x v="2"/>
    <x v="2"/>
    <n v="3"/>
    <x v="0"/>
    <x v="3"/>
    <x v="2"/>
    <x v="9"/>
    <x v="2"/>
  </r>
  <r>
    <x v="1740"/>
    <x v="5"/>
    <x v="11"/>
    <n v="62.9"/>
    <n v="566.1"/>
    <x v="63"/>
    <d v="2025-03-10T00:00:00"/>
    <x v="1"/>
    <x v="3"/>
    <n v="5"/>
    <x v="0"/>
    <x v="3"/>
    <x v="0"/>
    <x v="9"/>
    <x v="1"/>
  </r>
  <r>
    <x v="1741"/>
    <x v="6"/>
    <x v="3"/>
    <n v="61.7"/>
    <n v="431.90000000000003"/>
    <x v="63"/>
    <d v="2025-03-08T00:00:00"/>
    <x v="2"/>
    <x v="2"/>
    <n v="5"/>
    <x v="0"/>
    <x v="3"/>
    <x v="2"/>
    <x v="9"/>
    <x v="2"/>
  </r>
  <r>
    <x v="1742"/>
    <x v="18"/>
    <x v="21"/>
    <n v="36.5"/>
    <n v="511"/>
    <x v="63"/>
    <d v="2025-03-06T00:00:00"/>
    <x v="1"/>
    <x v="0"/>
    <n v="5"/>
    <x v="0"/>
    <x v="3"/>
    <x v="3"/>
    <x v="9"/>
    <x v="1"/>
  </r>
  <r>
    <x v="1743"/>
    <x v="11"/>
    <x v="2"/>
    <n v="98.6"/>
    <n v="295.79999999999995"/>
    <x v="63"/>
    <d v="2025-03-08T00:00:00"/>
    <x v="3"/>
    <x v="0"/>
    <n v="2"/>
    <x v="0"/>
    <x v="3"/>
    <x v="2"/>
    <x v="9"/>
    <x v="3"/>
  </r>
  <r>
    <x v="1744"/>
    <x v="8"/>
    <x v="1"/>
    <n v="19.2"/>
    <n v="38.4"/>
    <x v="63"/>
    <d v="2025-03-15T00:00:00"/>
    <x v="1"/>
    <x v="0"/>
    <n v="4"/>
    <x v="0"/>
    <x v="3"/>
    <x v="14"/>
    <x v="9"/>
    <x v="1"/>
  </r>
  <r>
    <x v="1745"/>
    <x v="3"/>
    <x v="13"/>
    <n v="55.6"/>
    <n v="333.6"/>
    <x v="63"/>
    <d v="2025-03-09T00:00:00"/>
    <x v="2"/>
    <x v="0"/>
    <n v="5"/>
    <x v="0"/>
    <x v="3"/>
    <x v="5"/>
    <x v="9"/>
    <x v="2"/>
  </r>
  <r>
    <x v="1746"/>
    <x v="5"/>
    <x v="13"/>
    <n v="56.4"/>
    <n v="338.4"/>
    <x v="63"/>
    <d v="2025-03-06T00:00:00"/>
    <x v="2"/>
    <x v="1"/>
    <n v="4"/>
    <x v="0"/>
    <x v="3"/>
    <x v="3"/>
    <x v="9"/>
    <x v="2"/>
  </r>
  <r>
    <x v="1747"/>
    <x v="4"/>
    <x v="8"/>
    <n v="43.1"/>
    <n v="344.8"/>
    <x v="63"/>
    <d v="2025-03-09T00:00:00"/>
    <x v="2"/>
    <x v="4"/>
    <n v="4"/>
    <x v="0"/>
    <x v="3"/>
    <x v="5"/>
    <x v="9"/>
    <x v="2"/>
  </r>
  <r>
    <x v="1748"/>
    <x v="1"/>
    <x v="1"/>
    <n v="77.3"/>
    <n v="154.6"/>
    <x v="63"/>
    <d v="2025-03-07T00:00:00"/>
    <x v="1"/>
    <x v="0"/>
    <n v="4"/>
    <x v="0"/>
    <x v="6"/>
    <x v="1"/>
    <x v="9"/>
    <x v="1"/>
  </r>
  <r>
    <x v="1749"/>
    <x v="9"/>
    <x v="8"/>
    <n v="38.299999999999997"/>
    <n v="306.39999999999998"/>
    <x v="63"/>
    <d v="2025-03-06T00:00:00"/>
    <x v="1"/>
    <x v="0"/>
    <n v="4"/>
    <x v="0"/>
    <x v="7"/>
    <x v="3"/>
    <x v="9"/>
    <x v="1"/>
  </r>
  <r>
    <x v="1750"/>
    <x v="0"/>
    <x v="3"/>
    <n v="16.8"/>
    <n v="117.60000000000001"/>
    <x v="63"/>
    <d v="2025-03-08T00:00:00"/>
    <x v="1"/>
    <x v="2"/>
    <n v="3"/>
    <x v="0"/>
    <x v="8"/>
    <x v="2"/>
    <x v="9"/>
    <x v="1"/>
  </r>
  <r>
    <x v="1751"/>
    <x v="2"/>
    <x v="2"/>
    <n v="63.2"/>
    <n v="189.60000000000002"/>
    <x v="63"/>
    <d v="2025-03-06T00:00:00"/>
    <x v="2"/>
    <x v="0"/>
    <n v="5"/>
    <x v="0"/>
    <x v="8"/>
    <x v="3"/>
    <x v="9"/>
    <x v="2"/>
  </r>
  <r>
    <x v="1752"/>
    <x v="14"/>
    <x v="44"/>
    <n v="39.700000000000003"/>
    <n v="913.1"/>
    <x v="63"/>
    <d v="2025-03-06T00:00:00"/>
    <x v="1"/>
    <x v="0"/>
    <n v="4"/>
    <x v="0"/>
    <x v="8"/>
    <x v="3"/>
    <x v="9"/>
    <x v="1"/>
  </r>
  <r>
    <x v="1753"/>
    <x v="10"/>
    <x v="2"/>
    <n v="45.8"/>
    <n v="137.39999999999998"/>
    <x v="63"/>
    <d v="2025-03-06T00:00:00"/>
    <x v="2"/>
    <x v="1"/>
    <n v="5"/>
    <x v="0"/>
    <x v="8"/>
    <x v="3"/>
    <x v="9"/>
    <x v="2"/>
  </r>
  <r>
    <x v="1754"/>
    <x v="0"/>
    <x v="13"/>
    <n v="12.4"/>
    <n v="74.400000000000006"/>
    <x v="63"/>
    <d v="2025-03-08T00:00:00"/>
    <x v="1"/>
    <x v="0"/>
    <n v="4"/>
    <x v="0"/>
    <x v="8"/>
    <x v="2"/>
    <x v="9"/>
    <x v="1"/>
  </r>
  <r>
    <x v="1755"/>
    <x v="14"/>
    <x v="2"/>
    <n v="50.8"/>
    <n v="152.39999999999998"/>
    <x v="64"/>
    <d v="2025-03-06T00:00:00"/>
    <x v="2"/>
    <x v="4"/>
    <n v="4"/>
    <x v="0"/>
    <x v="17"/>
    <x v="7"/>
    <x v="9"/>
    <x v="2"/>
  </r>
  <r>
    <x v="1756"/>
    <x v="9"/>
    <x v="0"/>
    <n v="76"/>
    <n v="76"/>
    <x v="64"/>
    <d v="2025-03-10T00:00:00"/>
    <x v="3"/>
    <x v="2"/>
    <n v="5"/>
    <x v="0"/>
    <x v="17"/>
    <x v="5"/>
    <x v="9"/>
    <x v="3"/>
  </r>
  <r>
    <x v="1757"/>
    <x v="1"/>
    <x v="1"/>
    <n v="51.9"/>
    <n v="103.8"/>
    <x v="64"/>
    <d v="2025-03-07T00:00:00"/>
    <x v="1"/>
    <x v="1"/>
    <n v="5"/>
    <x v="0"/>
    <x v="26"/>
    <x v="3"/>
    <x v="9"/>
    <x v="1"/>
  </r>
  <r>
    <x v="1758"/>
    <x v="2"/>
    <x v="1"/>
    <n v="93.4"/>
    <n v="186.8"/>
    <x v="64"/>
    <d v="2025-03-13T00:00:00"/>
    <x v="1"/>
    <x v="0"/>
    <n v="1"/>
    <x v="0"/>
    <x v="11"/>
    <x v="6"/>
    <x v="9"/>
    <x v="1"/>
  </r>
  <r>
    <x v="1759"/>
    <x v="7"/>
    <x v="13"/>
    <n v="30.8"/>
    <n v="184.8"/>
    <x v="64"/>
    <d v="2025-03-09T00:00:00"/>
    <x v="2"/>
    <x v="1"/>
    <n v="4"/>
    <x v="0"/>
    <x v="11"/>
    <x v="2"/>
    <x v="9"/>
    <x v="2"/>
  </r>
  <r>
    <x v="1760"/>
    <x v="2"/>
    <x v="0"/>
    <n v="143.19999999999999"/>
    <n v="143.19999999999999"/>
    <x v="64"/>
    <d v="2025-03-09T00:00:00"/>
    <x v="1"/>
    <x v="2"/>
    <n v="4"/>
    <x v="0"/>
    <x v="11"/>
    <x v="2"/>
    <x v="9"/>
    <x v="1"/>
  </r>
  <r>
    <x v="1761"/>
    <x v="6"/>
    <x v="5"/>
    <n v="40.4"/>
    <n v="444.4"/>
    <x v="64"/>
    <d v="2025-03-08T00:00:00"/>
    <x v="1"/>
    <x v="2"/>
    <n v="5"/>
    <x v="0"/>
    <x v="18"/>
    <x v="1"/>
    <x v="9"/>
    <x v="1"/>
  </r>
  <r>
    <x v="1762"/>
    <x v="2"/>
    <x v="10"/>
    <n v="131.5"/>
    <n v="2498.5"/>
    <x v="64"/>
    <d v="2025-03-08T00:00:00"/>
    <x v="1"/>
    <x v="1"/>
    <n v="3"/>
    <x v="0"/>
    <x v="18"/>
    <x v="1"/>
    <x v="9"/>
    <x v="1"/>
  </r>
  <r>
    <x v="1763"/>
    <x v="18"/>
    <x v="3"/>
    <n v="61.6"/>
    <n v="431.2"/>
    <x v="64"/>
    <d v="2025-03-07T00:00:00"/>
    <x v="1"/>
    <x v="2"/>
    <n v="4"/>
    <x v="0"/>
    <x v="21"/>
    <x v="3"/>
    <x v="9"/>
    <x v="1"/>
  </r>
  <r>
    <x v="1764"/>
    <x v="9"/>
    <x v="9"/>
    <n v="32.700000000000003"/>
    <n v="163.5"/>
    <x v="64"/>
    <d v="2025-03-08T00:00:00"/>
    <x v="1"/>
    <x v="2"/>
    <n v="4"/>
    <x v="0"/>
    <x v="1"/>
    <x v="1"/>
    <x v="9"/>
    <x v="1"/>
  </r>
  <r>
    <x v="1765"/>
    <x v="0"/>
    <x v="7"/>
    <n v="13.7"/>
    <n v="137"/>
    <x v="64"/>
    <d v="2025-03-07T00:00:00"/>
    <x v="1"/>
    <x v="0"/>
    <n v="5"/>
    <x v="0"/>
    <x v="3"/>
    <x v="3"/>
    <x v="9"/>
    <x v="1"/>
  </r>
  <r>
    <x v="1766"/>
    <x v="0"/>
    <x v="12"/>
    <n v="32.1"/>
    <n v="128.4"/>
    <x v="64"/>
    <d v="2025-03-07T00:00:00"/>
    <x v="1"/>
    <x v="4"/>
    <n v="3"/>
    <x v="0"/>
    <x v="3"/>
    <x v="3"/>
    <x v="9"/>
    <x v="1"/>
  </r>
  <r>
    <x v="1767"/>
    <x v="14"/>
    <x v="8"/>
    <n v="12"/>
    <n v="96"/>
    <x v="64"/>
    <d v="2025-03-07T00:00:00"/>
    <x v="1"/>
    <x v="1"/>
    <n v="4"/>
    <x v="0"/>
    <x v="24"/>
    <x v="3"/>
    <x v="9"/>
    <x v="1"/>
  </r>
  <r>
    <x v="1768"/>
    <x v="12"/>
    <x v="0"/>
    <n v="64.3"/>
    <n v="64.3"/>
    <x v="64"/>
    <d v="2025-03-08T00:00:00"/>
    <x v="2"/>
    <x v="2"/>
    <n v="5"/>
    <x v="0"/>
    <x v="6"/>
    <x v="1"/>
    <x v="9"/>
    <x v="2"/>
  </r>
  <r>
    <x v="1769"/>
    <x v="1"/>
    <x v="2"/>
    <n v="58.2"/>
    <n v="174.60000000000002"/>
    <x v="64"/>
    <d v="2025-03-08T00:00:00"/>
    <x v="2"/>
    <x v="1"/>
    <n v="5"/>
    <x v="0"/>
    <x v="6"/>
    <x v="1"/>
    <x v="9"/>
    <x v="2"/>
  </r>
  <r>
    <x v="1770"/>
    <x v="6"/>
    <x v="12"/>
    <n v="59.2"/>
    <n v="236.8"/>
    <x v="64"/>
    <d v="2025-03-06T00:00:00"/>
    <x v="1"/>
    <x v="1"/>
    <n v="5"/>
    <x v="0"/>
    <x v="6"/>
    <x v="7"/>
    <x v="9"/>
    <x v="1"/>
  </r>
  <r>
    <x v="1771"/>
    <x v="10"/>
    <x v="5"/>
    <n v="35.6"/>
    <n v="391.6"/>
    <x v="64"/>
    <d v="2025-03-13T00:00:00"/>
    <x v="1"/>
    <x v="0"/>
    <n v="5"/>
    <x v="0"/>
    <x v="8"/>
    <x v="6"/>
    <x v="9"/>
    <x v="1"/>
  </r>
  <r>
    <x v="1772"/>
    <x v="16"/>
    <x v="8"/>
    <n v="37"/>
    <n v="296"/>
    <x v="64"/>
    <d v="2025-03-10T00:00:00"/>
    <x v="2"/>
    <x v="2"/>
    <n v="3"/>
    <x v="0"/>
    <x v="8"/>
    <x v="5"/>
    <x v="9"/>
    <x v="2"/>
  </r>
  <r>
    <x v="1773"/>
    <x v="1"/>
    <x v="15"/>
    <n v="80.8"/>
    <n v="1050.3999999999999"/>
    <x v="64"/>
    <d v="2025-03-08T00:00:00"/>
    <x v="2"/>
    <x v="0"/>
    <n v="4"/>
    <x v="0"/>
    <x v="8"/>
    <x v="1"/>
    <x v="9"/>
    <x v="2"/>
  </r>
  <r>
    <x v="1774"/>
    <x v="8"/>
    <x v="1"/>
    <n v="63.2"/>
    <n v="126.4"/>
    <x v="64"/>
    <d v="2025-03-07T00:00:00"/>
    <x v="1"/>
    <x v="0"/>
    <n v="3"/>
    <x v="0"/>
    <x v="8"/>
    <x v="3"/>
    <x v="9"/>
    <x v="1"/>
  </r>
  <r>
    <x v="1775"/>
    <x v="3"/>
    <x v="1"/>
    <n v="40.799999999999997"/>
    <n v="81.599999999999994"/>
    <x v="64"/>
    <d v="2025-03-08T00:00:00"/>
    <x v="1"/>
    <x v="0"/>
    <n v="3"/>
    <x v="0"/>
    <x v="17"/>
    <x v="1"/>
    <x v="9"/>
    <x v="1"/>
  </r>
  <r>
    <x v="1776"/>
    <x v="13"/>
    <x v="13"/>
    <n v="25.7"/>
    <n v="154.19999999999999"/>
    <x v="64"/>
    <d v="2025-03-08T00:00:00"/>
    <x v="1"/>
    <x v="4"/>
    <n v="4"/>
    <x v="0"/>
    <x v="18"/>
    <x v="1"/>
    <x v="9"/>
    <x v="1"/>
  </r>
  <r>
    <x v="1777"/>
    <x v="16"/>
    <x v="1"/>
    <n v="49.9"/>
    <n v="99.8"/>
    <x v="64"/>
    <d v="2025-03-09T00:00:00"/>
    <x v="1"/>
    <x v="0"/>
    <n v="4"/>
    <x v="0"/>
    <x v="20"/>
    <x v="2"/>
    <x v="9"/>
    <x v="1"/>
  </r>
  <r>
    <x v="1778"/>
    <x v="8"/>
    <x v="1"/>
    <n v="20.2"/>
    <n v="40.4"/>
    <x v="64"/>
    <d v="2025-03-08T00:00:00"/>
    <x v="2"/>
    <x v="3"/>
    <n v="4"/>
    <x v="0"/>
    <x v="21"/>
    <x v="1"/>
    <x v="9"/>
    <x v="2"/>
  </r>
  <r>
    <x v="1779"/>
    <x v="6"/>
    <x v="2"/>
    <n v="48.4"/>
    <n v="145.19999999999999"/>
    <x v="64"/>
    <d v="2025-03-11T00:00:00"/>
    <x v="2"/>
    <x v="0"/>
    <n v="5"/>
    <x v="0"/>
    <x v="21"/>
    <x v="0"/>
    <x v="9"/>
    <x v="2"/>
  </r>
  <r>
    <x v="1780"/>
    <x v="6"/>
    <x v="1"/>
    <n v="81"/>
    <n v="162"/>
    <x v="64"/>
    <d v="2025-03-07T00:00:00"/>
    <x v="2"/>
    <x v="1"/>
    <n v="5"/>
    <x v="0"/>
    <x v="21"/>
    <x v="3"/>
    <x v="9"/>
    <x v="2"/>
  </r>
  <r>
    <x v="1781"/>
    <x v="8"/>
    <x v="13"/>
    <n v="19.899999999999999"/>
    <n v="119.39999999999999"/>
    <x v="64"/>
    <d v="2025-03-09T00:00:00"/>
    <x v="2"/>
    <x v="0"/>
    <n v="3"/>
    <x v="0"/>
    <x v="22"/>
    <x v="2"/>
    <x v="9"/>
    <x v="2"/>
  </r>
  <r>
    <x v="1782"/>
    <x v="4"/>
    <x v="12"/>
    <n v="32.200000000000003"/>
    <n v="128.80000000000001"/>
    <x v="64"/>
    <d v="2025-03-16T00:00:00"/>
    <x v="1"/>
    <x v="0"/>
    <n v="4"/>
    <x v="0"/>
    <x v="22"/>
    <x v="14"/>
    <x v="9"/>
    <x v="1"/>
  </r>
  <r>
    <x v="1783"/>
    <x v="5"/>
    <x v="2"/>
    <n v="76.8"/>
    <n v="230.39999999999998"/>
    <x v="64"/>
    <d v="2025-03-07T00:00:00"/>
    <x v="2"/>
    <x v="0"/>
    <n v="3"/>
    <x v="0"/>
    <x v="3"/>
    <x v="3"/>
    <x v="9"/>
    <x v="2"/>
  </r>
  <r>
    <x v="1784"/>
    <x v="6"/>
    <x v="1"/>
    <n v="41.9"/>
    <n v="83.8"/>
    <x v="64"/>
    <d v="2025-03-08T00:00:00"/>
    <x v="2"/>
    <x v="0"/>
    <n v="4"/>
    <x v="0"/>
    <x v="3"/>
    <x v="1"/>
    <x v="9"/>
    <x v="2"/>
  </r>
  <r>
    <x v="1785"/>
    <x v="0"/>
    <x v="3"/>
    <n v="34"/>
    <n v="238"/>
    <x v="64"/>
    <d v="2025-03-08T00:00:00"/>
    <x v="2"/>
    <x v="1"/>
    <n v="5"/>
    <x v="0"/>
    <x v="3"/>
    <x v="1"/>
    <x v="9"/>
    <x v="2"/>
  </r>
  <r>
    <x v="1786"/>
    <x v="7"/>
    <x v="3"/>
    <n v="61.3"/>
    <n v="429.09999999999997"/>
    <x v="64"/>
    <d v="2025-03-06T00:00:00"/>
    <x v="2"/>
    <x v="4"/>
    <n v="5"/>
    <x v="0"/>
    <x v="3"/>
    <x v="7"/>
    <x v="9"/>
    <x v="2"/>
  </r>
  <r>
    <x v="1787"/>
    <x v="9"/>
    <x v="0"/>
    <n v="54.7"/>
    <n v="54.7"/>
    <x v="65"/>
    <d v="2025-03-08T00:00:00"/>
    <x v="1"/>
    <x v="0"/>
    <n v="3"/>
    <x v="0"/>
    <x v="3"/>
    <x v="3"/>
    <x v="9"/>
    <x v="1"/>
  </r>
  <r>
    <x v="1788"/>
    <x v="6"/>
    <x v="7"/>
    <n v="84.7"/>
    <n v="847"/>
    <x v="65"/>
    <d v="2025-03-11T00:00:00"/>
    <x v="2"/>
    <x v="0"/>
    <n v="4"/>
    <x v="0"/>
    <x v="3"/>
    <x v="5"/>
    <x v="9"/>
    <x v="2"/>
  </r>
  <r>
    <x v="1789"/>
    <x v="1"/>
    <x v="2"/>
    <n v="93.4"/>
    <n v="280.20000000000005"/>
    <x v="65"/>
    <d v="2025-03-11T00:00:00"/>
    <x v="2"/>
    <x v="3"/>
    <n v="4"/>
    <x v="0"/>
    <x v="3"/>
    <x v="5"/>
    <x v="9"/>
    <x v="2"/>
  </r>
  <r>
    <x v="1790"/>
    <x v="8"/>
    <x v="9"/>
    <n v="27"/>
    <n v="135"/>
    <x v="65"/>
    <d v="2025-03-10T00:00:00"/>
    <x v="1"/>
    <x v="0"/>
    <n v="3"/>
    <x v="0"/>
    <x v="3"/>
    <x v="2"/>
    <x v="9"/>
    <x v="1"/>
  </r>
  <r>
    <x v="1791"/>
    <x v="0"/>
    <x v="12"/>
    <n v="10.9"/>
    <n v="43.6"/>
    <x v="65"/>
    <d v="2025-03-08T00:00:00"/>
    <x v="1"/>
    <x v="2"/>
    <n v="4"/>
    <x v="0"/>
    <x v="3"/>
    <x v="3"/>
    <x v="9"/>
    <x v="1"/>
  </r>
  <r>
    <x v="1792"/>
    <x v="16"/>
    <x v="2"/>
    <n v="48"/>
    <n v="144"/>
    <x v="65"/>
    <d v="2025-03-12T00:00:00"/>
    <x v="2"/>
    <x v="4"/>
    <n v="4"/>
    <x v="0"/>
    <x v="3"/>
    <x v="0"/>
    <x v="9"/>
    <x v="2"/>
  </r>
  <r>
    <x v="1793"/>
    <x v="5"/>
    <x v="1"/>
    <n v="67.900000000000006"/>
    <n v="135.80000000000001"/>
    <x v="65"/>
    <d v="2025-03-08T00:00:00"/>
    <x v="1"/>
    <x v="0"/>
    <n v="5"/>
    <x v="0"/>
    <x v="23"/>
    <x v="3"/>
    <x v="9"/>
    <x v="1"/>
  </r>
  <r>
    <x v="1794"/>
    <x v="4"/>
    <x v="2"/>
    <n v="36"/>
    <n v="108"/>
    <x v="65"/>
    <d v="2025-03-08T00:00:00"/>
    <x v="1"/>
    <x v="1"/>
    <n v="4"/>
    <x v="0"/>
    <x v="6"/>
    <x v="3"/>
    <x v="9"/>
    <x v="1"/>
  </r>
  <r>
    <x v="1795"/>
    <x v="2"/>
    <x v="0"/>
    <n v="128.80000000000001"/>
    <n v="128.80000000000001"/>
    <x v="65"/>
    <d v="2025-03-08T00:00:00"/>
    <x v="1"/>
    <x v="4"/>
    <n v="5"/>
    <x v="0"/>
    <x v="6"/>
    <x v="3"/>
    <x v="9"/>
    <x v="1"/>
  </r>
  <r>
    <x v="1796"/>
    <x v="18"/>
    <x v="3"/>
    <n v="33.299999999999997"/>
    <n v="233.09999999999997"/>
    <x v="65"/>
    <d v="2025-03-08T00:00:00"/>
    <x v="2"/>
    <x v="3"/>
    <n v="4"/>
    <x v="0"/>
    <x v="8"/>
    <x v="3"/>
    <x v="9"/>
    <x v="2"/>
  </r>
  <r>
    <x v="1797"/>
    <x v="10"/>
    <x v="2"/>
    <n v="37.799999999999997"/>
    <n v="113.39999999999999"/>
    <x v="65"/>
    <d v="2025-03-09T00:00:00"/>
    <x v="1"/>
    <x v="1"/>
    <n v="5"/>
    <x v="0"/>
    <x v="8"/>
    <x v="1"/>
    <x v="9"/>
    <x v="1"/>
  </r>
  <r>
    <x v="1798"/>
    <x v="5"/>
    <x v="2"/>
    <n v="26"/>
    <n v="78"/>
    <x v="65"/>
    <d v="2025-03-12T00:00:00"/>
    <x v="2"/>
    <x v="0"/>
    <n v="4"/>
    <x v="0"/>
    <x v="8"/>
    <x v="0"/>
    <x v="9"/>
    <x v="2"/>
  </r>
  <r>
    <x v="1799"/>
    <x v="8"/>
    <x v="10"/>
    <n v="28.3"/>
    <n v="537.70000000000005"/>
    <x v="65"/>
    <d v="2025-03-08T00:00:00"/>
    <x v="2"/>
    <x v="3"/>
    <n v="2"/>
    <x v="0"/>
    <x v="8"/>
    <x v="3"/>
    <x v="9"/>
    <x v="2"/>
  </r>
  <r>
    <x v="1800"/>
    <x v="8"/>
    <x v="12"/>
    <n v="31.3"/>
    <n v="125.2"/>
    <x v="65"/>
    <d v="2025-03-07T00:00:00"/>
    <x v="2"/>
    <x v="0"/>
    <n v="4"/>
    <x v="0"/>
    <x v="8"/>
    <x v="7"/>
    <x v="9"/>
    <x v="2"/>
  </r>
  <r>
    <x v="1801"/>
    <x v="7"/>
    <x v="2"/>
    <n v="69.5"/>
    <n v="208.5"/>
    <x v="65"/>
    <d v="2025-03-08T00:00:00"/>
    <x v="2"/>
    <x v="3"/>
    <n v="5"/>
    <x v="0"/>
    <x v="8"/>
    <x v="3"/>
    <x v="9"/>
    <x v="2"/>
  </r>
  <r>
    <x v="1802"/>
    <x v="0"/>
    <x v="1"/>
    <n v="16.7"/>
    <n v="33.4"/>
    <x v="65"/>
    <d v="2025-03-08T00:00:00"/>
    <x v="2"/>
    <x v="3"/>
    <n v="3"/>
    <x v="0"/>
    <x v="8"/>
    <x v="3"/>
    <x v="9"/>
    <x v="2"/>
  </r>
  <r>
    <x v="1803"/>
    <x v="9"/>
    <x v="1"/>
    <n v="62.6"/>
    <n v="125.2"/>
    <x v="65"/>
    <d v="2025-03-08T00:00:00"/>
    <x v="1"/>
    <x v="2"/>
    <n v="5"/>
    <x v="0"/>
    <x v="9"/>
    <x v="3"/>
    <x v="9"/>
    <x v="1"/>
  </r>
  <r>
    <x v="1804"/>
    <x v="7"/>
    <x v="0"/>
    <n v="81.2"/>
    <n v="81.2"/>
    <x v="65"/>
    <d v="2025-03-13T00:00:00"/>
    <x v="1"/>
    <x v="4"/>
    <n v="2"/>
    <x v="0"/>
    <x v="9"/>
    <x v="4"/>
    <x v="9"/>
    <x v="1"/>
  </r>
  <r>
    <x v="1805"/>
    <x v="0"/>
    <x v="7"/>
    <n v="12.7"/>
    <n v="127"/>
    <x v="65"/>
    <d v="2025-03-08T00:00:00"/>
    <x v="2"/>
    <x v="0"/>
    <n v="5"/>
    <x v="0"/>
    <x v="9"/>
    <x v="3"/>
    <x v="9"/>
    <x v="2"/>
  </r>
  <r>
    <x v="1806"/>
    <x v="7"/>
    <x v="12"/>
    <n v="77.7"/>
    <n v="310.8"/>
    <x v="66"/>
    <d v="2025-03-12T00:00:00"/>
    <x v="1"/>
    <x v="1"/>
    <n v="4"/>
    <x v="0"/>
    <x v="11"/>
    <x v="5"/>
    <x v="9"/>
    <x v="1"/>
  </r>
  <r>
    <x v="1807"/>
    <x v="5"/>
    <x v="1"/>
    <n v="37.299999999999997"/>
    <n v="74.599999999999994"/>
    <x v="66"/>
    <d v="2025-03-09T00:00:00"/>
    <x v="2"/>
    <x v="0"/>
    <n v="5"/>
    <x v="0"/>
    <x v="18"/>
    <x v="3"/>
    <x v="9"/>
    <x v="2"/>
  </r>
  <r>
    <x v="1808"/>
    <x v="10"/>
    <x v="12"/>
    <n v="35.6"/>
    <n v="142.4"/>
    <x v="66"/>
    <d v="2025-03-10T00:00:00"/>
    <x v="2"/>
    <x v="1"/>
    <n v="3"/>
    <x v="0"/>
    <x v="19"/>
    <x v="1"/>
    <x v="9"/>
    <x v="2"/>
  </r>
  <r>
    <x v="1809"/>
    <x v="2"/>
    <x v="2"/>
    <n v="95"/>
    <n v="285"/>
    <x v="66"/>
    <d v="2025-03-12T00:00:00"/>
    <x v="2"/>
    <x v="2"/>
    <n v="5"/>
    <x v="0"/>
    <x v="56"/>
    <x v="5"/>
    <x v="9"/>
    <x v="2"/>
  </r>
  <r>
    <x v="1810"/>
    <x v="2"/>
    <x v="12"/>
    <n v="172.1"/>
    <n v="688.4"/>
    <x v="66"/>
    <d v="2025-03-12T00:00:00"/>
    <x v="3"/>
    <x v="2"/>
    <n v="5"/>
    <x v="0"/>
    <x v="21"/>
    <x v="5"/>
    <x v="9"/>
    <x v="3"/>
  </r>
  <r>
    <x v="1811"/>
    <x v="2"/>
    <x v="1"/>
    <n v="233"/>
    <n v="466"/>
    <x v="66"/>
    <d v="2025-03-11T00:00:00"/>
    <x v="2"/>
    <x v="1"/>
    <n v="4"/>
    <x v="0"/>
    <x v="21"/>
    <x v="2"/>
    <x v="9"/>
    <x v="2"/>
  </r>
  <r>
    <x v="1812"/>
    <x v="0"/>
    <x v="0"/>
    <n v="43.5"/>
    <n v="43.5"/>
    <x v="66"/>
    <d v="2025-03-09T00:00:00"/>
    <x v="2"/>
    <x v="2"/>
    <n v="5"/>
    <x v="0"/>
    <x v="21"/>
    <x v="3"/>
    <x v="9"/>
    <x v="2"/>
  </r>
  <r>
    <x v="1813"/>
    <x v="9"/>
    <x v="1"/>
    <n v="47.8"/>
    <n v="95.6"/>
    <x v="66"/>
    <d v="2025-03-11T00:00:00"/>
    <x v="1"/>
    <x v="4"/>
    <n v="5"/>
    <x v="0"/>
    <x v="1"/>
    <x v="2"/>
    <x v="9"/>
    <x v="1"/>
  </r>
  <r>
    <x v="1814"/>
    <x v="12"/>
    <x v="1"/>
    <n v="65.8"/>
    <n v="131.6"/>
    <x v="66"/>
    <d v="2025-03-10T00:00:00"/>
    <x v="2"/>
    <x v="0"/>
    <n v="1"/>
    <x v="0"/>
    <x v="33"/>
    <x v="1"/>
    <x v="9"/>
    <x v="2"/>
  </r>
  <r>
    <x v="1815"/>
    <x v="15"/>
    <x v="5"/>
    <n v="38.700000000000003"/>
    <n v="425.70000000000005"/>
    <x v="66"/>
    <d v="2025-03-08T00:00:00"/>
    <x v="1"/>
    <x v="0"/>
    <n v="4"/>
    <x v="0"/>
    <x v="22"/>
    <x v="7"/>
    <x v="9"/>
    <x v="1"/>
  </r>
  <r>
    <x v="1816"/>
    <x v="3"/>
    <x v="12"/>
    <n v="55.7"/>
    <n v="222.8"/>
    <x v="66"/>
    <d v="2025-03-10T00:00:00"/>
    <x v="3"/>
    <x v="0"/>
    <n v="3"/>
    <x v="0"/>
    <x v="22"/>
    <x v="1"/>
    <x v="9"/>
    <x v="3"/>
  </r>
  <r>
    <x v="1817"/>
    <x v="7"/>
    <x v="1"/>
    <n v="102.4"/>
    <n v="204.8"/>
    <x v="66"/>
    <d v="2025-03-08T00:00:00"/>
    <x v="2"/>
    <x v="1"/>
    <n v="4"/>
    <x v="0"/>
    <x v="3"/>
    <x v="7"/>
    <x v="9"/>
    <x v="2"/>
  </r>
  <r>
    <x v="1818"/>
    <x v="1"/>
    <x v="0"/>
    <n v="92"/>
    <n v="92"/>
    <x v="66"/>
    <d v="2025-03-12T00:00:00"/>
    <x v="0"/>
    <x v="2"/>
    <n v="4"/>
    <x v="0"/>
    <x v="3"/>
    <x v="5"/>
    <x v="9"/>
    <x v="0"/>
  </r>
  <r>
    <x v="1819"/>
    <x v="6"/>
    <x v="12"/>
    <n v="75.900000000000006"/>
    <n v="303.60000000000002"/>
    <x v="66"/>
    <d v="2025-03-10T00:00:00"/>
    <x v="2"/>
    <x v="1"/>
    <n v="4"/>
    <x v="0"/>
    <x v="3"/>
    <x v="1"/>
    <x v="9"/>
    <x v="2"/>
  </r>
  <r>
    <x v="1820"/>
    <x v="1"/>
    <x v="12"/>
    <n v="36.200000000000003"/>
    <n v="144.80000000000001"/>
    <x v="66"/>
    <d v="2025-03-09T00:00:00"/>
    <x v="2"/>
    <x v="1"/>
    <n v="4"/>
    <x v="0"/>
    <x v="3"/>
    <x v="3"/>
    <x v="9"/>
    <x v="2"/>
  </r>
  <r>
    <x v="1821"/>
    <x v="6"/>
    <x v="45"/>
    <n v="83.5"/>
    <n v="7264.5"/>
    <x v="66"/>
    <d v="2025-03-10T00:00:00"/>
    <x v="0"/>
    <x v="3"/>
    <n v="4"/>
    <x v="0"/>
    <x v="3"/>
    <x v="1"/>
    <x v="9"/>
    <x v="0"/>
  </r>
  <r>
    <x v="1822"/>
    <x v="19"/>
    <x v="4"/>
    <n v="52.4"/>
    <n v="628.79999999999995"/>
    <x v="66"/>
    <d v="2025-03-08T00:00:00"/>
    <x v="1"/>
    <x v="2"/>
    <n v="4"/>
    <x v="0"/>
    <x v="3"/>
    <x v="7"/>
    <x v="9"/>
    <x v="1"/>
  </r>
  <r>
    <x v="1823"/>
    <x v="12"/>
    <x v="2"/>
    <n v="69.5"/>
    <n v="208.5"/>
    <x v="66"/>
    <d v="2025-03-09T00:00:00"/>
    <x v="3"/>
    <x v="4"/>
    <n v="4"/>
    <x v="0"/>
    <x v="3"/>
    <x v="3"/>
    <x v="9"/>
    <x v="3"/>
  </r>
  <r>
    <x v="1824"/>
    <x v="0"/>
    <x v="0"/>
    <n v="15.5"/>
    <n v="15.5"/>
    <x v="66"/>
    <d v="2025-03-10T00:00:00"/>
    <x v="1"/>
    <x v="0"/>
    <n v="4"/>
    <x v="0"/>
    <x v="3"/>
    <x v="1"/>
    <x v="9"/>
    <x v="1"/>
  </r>
  <r>
    <x v="1825"/>
    <x v="4"/>
    <x v="12"/>
    <n v="35.200000000000003"/>
    <n v="140.80000000000001"/>
    <x v="66"/>
    <d v="2025-03-09T00:00:00"/>
    <x v="2"/>
    <x v="2"/>
    <n v="5"/>
    <x v="0"/>
    <x v="3"/>
    <x v="3"/>
    <x v="9"/>
    <x v="2"/>
  </r>
  <r>
    <x v="1826"/>
    <x v="8"/>
    <x v="13"/>
    <n v="34.6"/>
    <n v="207.60000000000002"/>
    <x v="66"/>
    <d v="2025-03-09T00:00:00"/>
    <x v="0"/>
    <x v="0"/>
    <n v="3"/>
    <x v="0"/>
    <x v="3"/>
    <x v="3"/>
    <x v="9"/>
    <x v="0"/>
  </r>
  <r>
    <x v="1827"/>
    <x v="4"/>
    <x v="0"/>
    <n v="21.3"/>
    <n v="21.3"/>
    <x v="67"/>
    <d v="2025-03-10T00:00:00"/>
    <x v="1"/>
    <x v="2"/>
    <n v="3"/>
    <x v="0"/>
    <x v="3"/>
    <x v="3"/>
    <x v="10"/>
    <x v="1"/>
  </r>
  <r>
    <x v="1828"/>
    <x v="6"/>
    <x v="1"/>
    <n v="136.5"/>
    <n v="273"/>
    <x v="67"/>
    <d v="2025-03-15T00:00:00"/>
    <x v="2"/>
    <x v="0"/>
    <n v="4"/>
    <x v="0"/>
    <x v="37"/>
    <x v="4"/>
    <x v="10"/>
    <x v="2"/>
  </r>
  <r>
    <x v="1829"/>
    <x v="9"/>
    <x v="3"/>
    <n v="30.7"/>
    <n v="214.9"/>
    <x v="67"/>
    <d v="2025-03-10T00:00:00"/>
    <x v="1"/>
    <x v="2"/>
    <n v="5"/>
    <x v="0"/>
    <x v="25"/>
    <x v="3"/>
    <x v="10"/>
    <x v="1"/>
  </r>
  <r>
    <x v="1830"/>
    <x v="1"/>
    <x v="1"/>
    <n v="61.6"/>
    <n v="123.2"/>
    <x v="67"/>
    <d v="2025-03-10T00:00:00"/>
    <x v="2"/>
    <x v="2"/>
    <n v="5"/>
    <x v="0"/>
    <x v="23"/>
    <x v="3"/>
    <x v="10"/>
    <x v="2"/>
  </r>
  <r>
    <x v="1831"/>
    <x v="6"/>
    <x v="12"/>
    <n v="54.3"/>
    <n v="217.2"/>
    <x v="67"/>
    <d v="2025-03-11T00:00:00"/>
    <x v="0"/>
    <x v="4"/>
    <n v="4"/>
    <x v="0"/>
    <x v="7"/>
    <x v="1"/>
    <x v="10"/>
    <x v="0"/>
  </r>
  <r>
    <x v="1832"/>
    <x v="1"/>
    <x v="1"/>
    <n v="44.1"/>
    <n v="88.2"/>
    <x v="67"/>
    <d v="2025-03-21T00:00:00"/>
    <x v="2"/>
    <x v="0"/>
    <n v="5"/>
    <x v="0"/>
    <x v="8"/>
    <x v="13"/>
    <x v="10"/>
    <x v="2"/>
  </r>
  <r>
    <x v="1833"/>
    <x v="8"/>
    <x v="12"/>
    <n v="43.5"/>
    <n v="174"/>
    <x v="67"/>
    <d v="2025-03-15T00:00:00"/>
    <x v="1"/>
    <x v="3"/>
    <n v="4"/>
    <x v="0"/>
    <x v="8"/>
    <x v="4"/>
    <x v="10"/>
    <x v="1"/>
  </r>
  <r>
    <x v="1834"/>
    <x v="8"/>
    <x v="2"/>
    <n v="48.2"/>
    <n v="144.60000000000002"/>
    <x v="67"/>
    <d v="2025-03-13T00:00:00"/>
    <x v="1"/>
    <x v="3"/>
    <n v="3"/>
    <x v="0"/>
    <x v="8"/>
    <x v="5"/>
    <x v="10"/>
    <x v="1"/>
  </r>
  <r>
    <x v="1835"/>
    <x v="19"/>
    <x v="0"/>
    <n v="13.7"/>
    <n v="13.7"/>
    <x v="67"/>
    <d v="2025-03-10T00:00:00"/>
    <x v="2"/>
    <x v="2"/>
    <n v="5"/>
    <x v="0"/>
    <x v="8"/>
    <x v="3"/>
    <x v="10"/>
    <x v="2"/>
  </r>
  <r>
    <x v="1836"/>
    <x v="2"/>
    <x v="1"/>
    <n v="110.5"/>
    <n v="221"/>
    <x v="67"/>
    <d v="2025-03-10T00:00:00"/>
    <x v="2"/>
    <x v="0"/>
    <n v="3"/>
    <x v="0"/>
    <x v="8"/>
    <x v="3"/>
    <x v="10"/>
    <x v="2"/>
  </r>
  <r>
    <x v="1837"/>
    <x v="8"/>
    <x v="2"/>
    <n v="26"/>
    <n v="78"/>
    <x v="67"/>
    <d v="2025-03-14T00:00:00"/>
    <x v="2"/>
    <x v="1"/>
    <n v="3"/>
    <x v="0"/>
    <x v="8"/>
    <x v="0"/>
    <x v="10"/>
    <x v="2"/>
  </r>
  <r>
    <x v="1838"/>
    <x v="2"/>
    <x v="7"/>
    <n v="140.69999999999999"/>
    <n v="1407"/>
    <x v="67"/>
    <d v="2025-03-15T00:00:00"/>
    <x v="1"/>
    <x v="3"/>
    <n v="3"/>
    <x v="0"/>
    <x v="8"/>
    <x v="4"/>
    <x v="10"/>
    <x v="1"/>
  </r>
  <r>
    <x v="1839"/>
    <x v="17"/>
    <x v="1"/>
    <n v="41.7"/>
    <n v="83.4"/>
    <x v="67"/>
    <d v="2025-03-17T00:00:00"/>
    <x v="2"/>
    <x v="0"/>
    <n v="2"/>
    <x v="0"/>
    <x v="8"/>
    <x v="9"/>
    <x v="10"/>
    <x v="2"/>
  </r>
  <r>
    <x v="1840"/>
    <x v="2"/>
    <x v="1"/>
    <n v="135.1"/>
    <n v="270.2"/>
    <x v="67"/>
    <d v="2025-03-10T00:00:00"/>
    <x v="1"/>
    <x v="0"/>
    <n v="5"/>
    <x v="0"/>
    <x v="17"/>
    <x v="3"/>
    <x v="10"/>
    <x v="1"/>
  </r>
  <r>
    <x v="1841"/>
    <x v="12"/>
    <x v="32"/>
    <n v="95.5"/>
    <n v="2101"/>
    <x v="67"/>
    <d v="2025-03-10T00:00:00"/>
    <x v="2"/>
    <x v="4"/>
    <n v="2"/>
    <x v="0"/>
    <x v="26"/>
    <x v="3"/>
    <x v="10"/>
    <x v="2"/>
  </r>
  <r>
    <x v="1842"/>
    <x v="15"/>
    <x v="0"/>
    <n v="25.5"/>
    <n v="25.5"/>
    <x v="67"/>
    <d v="2025-03-12T00:00:00"/>
    <x v="0"/>
    <x v="2"/>
    <n v="5"/>
    <x v="0"/>
    <x v="11"/>
    <x v="2"/>
    <x v="10"/>
    <x v="0"/>
  </r>
  <r>
    <x v="1843"/>
    <x v="1"/>
    <x v="0"/>
    <n v="42.6"/>
    <n v="42.6"/>
    <x v="67"/>
    <d v="2025-03-13T00:00:00"/>
    <x v="2"/>
    <x v="0"/>
    <n v="4"/>
    <x v="0"/>
    <x v="11"/>
    <x v="5"/>
    <x v="10"/>
    <x v="2"/>
  </r>
  <r>
    <x v="1844"/>
    <x v="8"/>
    <x v="20"/>
    <n v="32.4"/>
    <n v="486"/>
    <x v="67"/>
    <d v="2025-03-10T00:00:00"/>
    <x v="1"/>
    <x v="1"/>
    <n v="3"/>
    <x v="0"/>
    <x v="11"/>
    <x v="3"/>
    <x v="10"/>
    <x v="1"/>
  </r>
  <r>
    <x v="1845"/>
    <x v="4"/>
    <x v="12"/>
    <n v="20.2"/>
    <n v="80.8"/>
    <x v="67"/>
    <d v="2025-03-10T00:00:00"/>
    <x v="3"/>
    <x v="2"/>
    <n v="4"/>
    <x v="0"/>
    <x v="11"/>
    <x v="3"/>
    <x v="10"/>
    <x v="3"/>
  </r>
  <r>
    <x v="1846"/>
    <x v="16"/>
    <x v="2"/>
    <n v="52.5"/>
    <n v="157.5"/>
    <x v="67"/>
    <d v="2025-03-14T00:00:00"/>
    <x v="2"/>
    <x v="4"/>
    <n v="4"/>
    <x v="0"/>
    <x v="18"/>
    <x v="0"/>
    <x v="10"/>
    <x v="2"/>
  </r>
  <r>
    <x v="1847"/>
    <x v="2"/>
    <x v="9"/>
    <n v="59.9"/>
    <n v="299.5"/>
    <x v="67"/>
    <d v="2025-03-11T00:00:00"/>
    <x v="2"/>
    <x v="2"/>
    <n v="4"/>
    <x v="0"/>
    <x v="19"/>
    <x v="1"/>
    <x v="10"/>
    <x v="2"/>
  </r>
  <r>
    <x v="1848"/>
    <x v="4"/>
    <x v="1"/>
    <n v="53.2"/>
    <n v="106.4"/>
    <x v="67"/>
    <d v="2025-03-10T00:00:00"/>
    <x v="2"/>
    <x v="1"/>
    <n v="1"/>
    <x v="0"/>
    <x v="20"/>
    <x v="3"/>
    <x v="10"/>
    <x v="2"/>
  </r>
  <r>
    <x v="1849"/>
    <x v="2"/>
    <x v="1"/>
    <n v="60"/>
    <n v="120"/>
    <x v="67"/>
    <d v="2025-03-15T00:00:00"/>
    <x v="1"/>
    <x v="1"/>
    <n v="5"/>
    <x v="0"/>
    <x v="20"/>
    <x v="4"/>
    <x v="10"/>
    <x v="1"/>
  </r>
  <r>
    <x v="1850"/>
    <x v="8"/>
    <x v="2"/>
    <n v="29.3"/>
    <n v="87.9"/>
    <x v="67"/>
    <d v="2025-03-10T00:00:00"/>
    <x v="2"/>
    <x v="4"/>
    <n v="4"/>
    <x v="0"/>
    <x v="13"/>
    <x v="3"/>
    <x v="10"/>
    <x v="2"/>
  </r>
  <r>
    <x v="1851"/>
    <x v="12"/>
    <x v="1"/>
    <n v="55.4"/>
    <n v="110.8"/>
    <x v="67"/>
    <d v="2025-03-10T00:00:00"/>
    <x v="2"/>
    <x v="0"/>
    <n v="5"/>
    <x v="0"/>
    <x v="21"/>
    <x v="3"/>
    <x v="10"/>
    <x v="2"/>
  </r>
  <r>
    <x v="1852"/>
    <x v="0"/>
    <x v="9"/>
    <n v="20.100000000000001"/>
    <n v="100.5"/>
    <x v="67"/>
    <d v="2025-03-11T00:00:00"/>
    <x v="2"/>
    <x v="1"/>
    <n v="5"/>
    <x v="0"/>
    <x v="21"/>
    <x v="1"/>
    <x v="10"/>
    <x v="2"/>
  </r>
  <r>
    <x v="1853"/>
    <x v="14"/>
    <x v="9"/>
    <n v="24"/>
    <n v="120"/>
    <x v="67"/>
    <d v="2025-03-12T00:00:00"/>
    <x v="1"/>
    <x v="2"/>
    <n v="4"/>
    <x v="0"/>
    <x v="1"/>
    <x v="2"/>
    <x v="10"/>
    <x v="1"/>
  </r>
  <r>
    <x v="1854"/>
    <x v="8"/>
    <x v="1"/>
    <n v="30.6"/>
    <n v="61.2"/>
    <x v="68"/>
    <d v="2025-03-12T00:00:00"/>
    <x v="2"/>
    <x v="0"/>
    <n v="4"/>
    <x v="0"/>
    <x v="1"/>
    <x v="1"/>
    <x v="10"/>
    <x v="2"/>
  </r>
  <r>
    <x v="1855"/>
    <x v="10"/>
    <x v="9"/>
    <n v="33"/>
    <n v="165"/>
    <x v="68"/>
    <d v="2025-03-11T00:00:00"/>
    <x v="1"/>
    <x v="1"/>
    <n v="3"/>
    <x v="0"/>
    <x v="27"/>
    <x v="3"/>
    <x v="10"/>
    <x v="1"/>
  </r>
  <r>
    <x v="1856"/>
    <x v="17"/>
    <x v="11"/>
    <n v="42.1"/>
    <n v="378.90000000000003"/>
    <x v="68"/>
    <d v="2025-03-16T00:00:00"/>
    <x v="2"/>
    <x v="2"/>
    <n v="4"/>
    <x v="0"/>
    <x v="44"/>
    <x v="4"/>
    <x v="10"/>
    <x v="2"/>
  </r>
  <r>
    <x v="1857"/>
    <x v="6"/>
    <x v="3"/>
    <n v="77.7"/>
    <n v="543.9"/>
    <x v="68"/>
    <d v="2025-03-15T00:00:00"/>
    <x v="2"/>
    <x v="1"/>
    <n v="5"/>
    <x v="0"/>
    <x v="50"/>
    <x v="0"/>
    <x v="10"/>
    <x v="2"/>
  </r>
  <r>
    <x v="1858"/>
    <x v="17"/>
    <x v="13"/>
    <n v="22.7"/>
    <n v="136.19999999999999"/>
    <x v="68"/>
    <d v="2025-03-13T00:00:00"/>
    <x v="2"/>
    <x v="2"/>
    <n v="4"/>
    <x v="0"/>
    <x v="3"/>
    <x v="2"/>
    <x v="10"/>
    <x v="2"/>
  </r>
  <r>
    <x v="1859"/>
    <x v="2"/>
    <x v="1"/>
    <n v="133"/>
    <n v="266"/>
    <x v="68"/>
    <d v="2025-03-10T00:00:00"/>
    <x v="1"/>
    <x v="2"/>
    <n v="5"/>
    <x v="0"/>
    <x v="3"/>
    <x v="7"/>
    <x v="10"/>
    <x v="1"/>
  </r>
  <r>
    <x v="1860"/>
    <x v="0"/>
    <x v="1"/>
    <n v="23.3"/>
    <n v="46.6"/>
    <x v="68"/>
    <d v="2025-03-11T00:00:00"/>
    <x v="1"/>
    <x v="1"/>
    <n v="5"/>
    <x v="0"/>
    <x v="3"/>
    <x v="3"/>
    <x v="10"/>
    <x v="1"/>
  </r>
  <r>
    <x v="1861"/>
    <x v="8"/>
    <x v="2"/>
    <n v="20.7"/>
    <n v="62.099999999999994"/>
    <x v="68"/>
    <d v="2025-03-12T00:00:00"/>
    <x v="3"/>
    <x v="0"/>
    <n v="5"/>
    <x v="0"/>
    <x v="3"/>
    <x v="1"/>
    <x v="10"/>
    <x v="3"/>
  </r>
  <r>
    <x v="1862"/>
    <x v="12"/>
    <x v="1"/>
    <n v="47"/>
    <n v="94"/>
    <x v="68"/>
    <d v="2025-03-11T00:00:00"/>
    <x v="1"/>
    <x v="1"/>
    <n v="5"/>
    <x v="0"/>
    <x v="3"/>
    <x v="3"/>
    <x v="10"/>
    <x v="1"/>
  </r>
  <r>
    <x v="1863"/>
    <x v="12"/>
    <x v="2"/>
    <n v="38.200000000000003"/>
    <n v="114.60000000000001"/>
    <x v="68"/>
    <d v="2025-03-12T00:00:00"/>
    <x v="2"/>
    <x v="2"/>
    <n v="2"/>
    <x v="0"/>
    <x v="3"/>
    <x v="1"/>
    <x v="10"/>
    <x v="2"/>
  </r>
  <r>
    <x v="1864"/>
    <x v="9"/>
    <x v="0"/>
    <n v="39.1"/>
    <n v="39.1"/>
    <x v="68"/>
    <d v="2025-03-12T00:00:00"/>
    <x v="2"/>
    <x v="0"/>
    <n v="4"/>
    <x v="0"/>
    <x v="3"/>
    <x v="1"/>
    <x v="10"/>
    <x v="2"/>
  </r>
  <r>
    <x v="1865"/>
    <x v="7"/>
    <x v="30"/>
    <n v="55.6"/>
    <n v="1390"/>
    <x v="68"/>
    <d v="2025-03-12T00:00:00"/>
    <x v="1"/>
    <x v="0"/>
    <n v="5"/>
    <x v="0"/>
    <x v="3"/>
    <x v="1"/>
    <x v="10"/>
    <x v="1"/>
  </r>
  <r>
    <x v="1866"/>
    <x v="15"/>
    <x v="0"/>
    <n v="43.1"/>
    <n v="43.1"/>
    <x v="68"/>
    <d v="2025-03-10T00:00:00"/>
    <x v="3"/>
    <x v="1"/>
    <n v="5"/>
    <x v="0"/>
    <x v="3"/>
    <x v="7"/>
    <x v="10"/>
    <x v="3"/>
  </r>
  <r>
    <x v="1867"/>
    <x v="6"/>
    <x v="12"/>
    <n v="48.1"/>
    <n v="192.4"/>
    <x v="68"/>
    <d v="2025-03-11T00:00:00"/>
    <x v="2"/>
    <x v="4"/>
    <n v="5"/>
    <x v="0"/>
    <x v="3"/>
    <x v="3"/>
    <x v="10"/>
    <x v="2"/>
  </r>
  <r>
    <x v="1868"/>
    <x v="4"/>
    <x v="0"/>
    <n v="42"/>
    <n v="42"/>
    <x v="68"/>
    <d v="2025-03-11T00:00:00"/>
    <x v="3"/>
    <x v="0"/>
    <n v="4"/>
    <x v="0"/>
    <x v="3"/>
    <x v="3"/>
    <x v="10"/>
    <x v="3"/>
  </r>
  <r>
    <x v="1869"/>
    <x v="8"/>
    <x v="9"/>
    <n v="18.3"/>
    <n v="91.5"/>
    <x v="68"/>
    <d v="2025-03-10T00:00:00"/>
    <x v="2"/>
    <x v="2"/>
    <n v="4"/>
    <x v="0"/>
    <x v="3"/>
    <x v="7"/>
    <x v="10"/>
    <x v="2"/>
  </r>
  <r>
    <x v="1870"/>
    <x v="10"/>
    <x v="12"/>
    <n v="45.3"/>
    <n v="181.2"/>
    <x v="68"/>
    <d v="2025-03-13T00:00:00"/>
    <x v="2"/>
    <x v="0"/>
    <n v="5"/>
    <x v="0"/>
    <x v="3"/>
    <x v="2"/>
    <x v="10"/>
    <x v="2"/>
  </r>
  <r>
    <x v="1871"/>
    <x v="0"/>
    <x v="1"/>
    <n v="27.6"/>
    <n v="55.2"/>
    <x v="68"/>
    <d v="2025-03-12T00:00:00"/>
    <x v="1"/>
    <x v="0"/>
    <n v="5"/>
    <x v="0"/>
    <x v="37"/>
    <x v="1"/>
    <x v="10"/>
    <x v="1"/>
  </r>
  <r>
    <x v="1872"/>
    <x v="4"/>
    <x v="9"/>
    <n v="26.9"/>
    <n v="134.5"/>
    <x v="68"/>
    <d v="2025-03-11T00:00:00"/>
    <x v="2"/>
    <x v="2"/>
    <n v="4"/>
    <x v="0"/>
    <x v="25"/>
    <x v="3"/>
    <x v="10"/>
    <x v="2"/>
  </r>
  <r>
    <x v="1873"/>
    <x v="2"/>
    <x v="11"/>
    <n v="82.4"/>
    <n v="741.6"/>
    <x v="68"/>
    <d v="2025-03-12T00:00:00"/>
    <x v="3"/>
    <x v="2"/>
    <n v="4"/>
    <x v="0"/>
    <x v="5"/>
    <x v="1"/>
    <x v="10"/>
    <x v="3"/>
  </r>
  <r>
    <x v="1874"/>
    <x v="6"/>
    <x v="0"/>
    <n v="103.7"/>
    <n v="103.7"/>
    <x v="68"/>
    <d v="2025-03-12T00:00:00"/>
    <x v="2"/>
    <x v="1"/>
    <n v="4"/>
    <x v="0"/>
    <x v="5"/>
    <x v="1"/>
    <x v="10"/>
    <x v="2"/>
  </r>
  <r>
    <x v="1875"/>
    <x v="2"/>
    <x v="1"/>
    <n v="58.8"/>
    <n v="117.6"/>
    <x v="68"/>
    <d v="2025-03-15T00:00:00"/>
    <x v="2"/>
    <x v="1"/>
    <n v="5"/>
    <x v="0"/>
    <x v="6"/>
    <x v="0"/>
    <x v="10"/>
    <x v="2"/>
  </r>
  <r>
    <x v="1876"/>
    <x v="13"/>
    <x v="0"/>
    <n v="31.5"/>
    <n v="31.5"/>
    <x v="68"/>
    <d v="2025-03-11T00:00:00"/>
    <x v="2"/>
    <x v="1"/>
    <n v="3"/>
    <x v="0"/>
    <x v="6"/>
    <x v="3"/>
    <x v="10"/>
    <x v="2"/>
  </r>
  <r>
    <x v="1877"/>
    <x v="7"/>
    <x v="9"/>
    <n v="36.799999999999997"/>
    <n v="184"/>
    <x v="68"/>
    <d v="2025-03-12T00:00:00"/>
    <x v="2"/>
    <x v="0"/>
    <n v="4"/>
    <x v="0"/>
    <x v="8"/>
    <x v="1"/>
    <x v="10"/>
    <x v="2"/>
  </r>
  <r>
    <x v="1878"/>
    <x v="3"/>
    <x v="0"/>
    <n v="84.4"/>
    <n v="84.4"/>
    <x v="68"/>
    <d v="2025-03-11T00:00:00"/>
    <x v="2"/>
    <x v="0"/>
    <n v="4"/>
    <x v="0"/>
    <x v="8"/>
    <x v="3"/>
    <x v="10"/>
    <x v="2"/>
  </r>
  <r>
    <x v="1879"/>
    <x v="14"/>
    <x v="0"/>
    <n v="44.7"/>
    <n v="44.7"/>
    <x v="68"/>
    <d v="2025-03-11T00:00:00"/>
    <x v="1"/>
    <x v="0"/>
    <n v="3"/>
    <x v="0"/>
    <x v="8"/>
    <x v="3"/>
    <x v="10"/>
    <x v="1"/>
  </r>
  <r>
    <x v="1880"/>
    <x v="9"/>
    <x v="8"/>
    <n v="39.4"/>
    <n v="315.2"/>
    <x v="68"/>
    <d v="2025-03-11T00:00:00"/>
    <x v="2"/>
    <x v="1"/>
    <n v="5"/>
    <x v="0"/>
    <x v="8"/>
    <x v="3"/>
    <x v="10"/>
    <x v="2"/>
  </r>
  <r>
    <x v="1881"/>
    <x v="11"/>
    <x v="12"/>
    <n v="34.9"/>
    <n v="139.6"/>
    <x v="68"/>
    <d v="2025-03-12T00:00:00"/>
    <x v="2"/>
    <x v="0"/>
    <n v="5"/>
    <x v="0"/>
    <x v="8"/>
    <x v="1"/>
    <x v="10"/>
    <x v="2"/>
  </r>
  <r>
    <x v="1882"/>
    <x v="1"/>
    <x v="2"/>
    <n v="62.3"/>
    <n v="186.89999999999998"/>
    <x v="68"/>
    <d v="2025-03-12T00:00:00"/>
    <x v="1"/>
    <x v="4"/>
    <n v="5"/>
    <x v="0"/>
    <x v="8"/>
    <x v="1"/>
    <x v="10"/>
    <x v="1"/>
  </r>
  <r>
    <x v="1883"/>
    <x v="8"/>
    <x v="12"/>
    <n v="21.1"/>
    <n v="84.4"/>
    <x v="68"/>
    <d v="2025-03-13T00:00:00"/>
    <x v="1"/>
    <x v="3"/>
    <n v="4"/>
    <x v="0"/>
    <x v="8"/>
    <x v="2"/>
    <x v="10"/>
    <x v="1"/>
  </r>
  <r>
    <x v="1884"/>
    <x v="8"/>
    <x v="2"/>
    <n v="33.200000000000003"/>
    <n v="99.600000000000009"/>
    <x v="68"/>
    <d v="2025-03-24T00:00:00"/>
    <x v="0"/>
    <x v="0"/>
    <n v="2"/>
    <x v="0"/>
    <x v="8"/>
    <x v="12"/>
    <x v="10"/>
    <x v="0"/>
  </r>
  <r>
    <x v="1885"/>
    <x v="1"/>
    <x v="12"/>
    <n v="74.5"/>
    <n v="298"/>
    <x v="68"/>
    <d v="2025-03-11T00:00:00"/>
    <x v="1"/>
    <x v="4"/>
    <n v="4"/>
    <x v="0"/>
    <x v="8"/>
    <x v="3"/>
    <x v="10"/>
    <x v="1"/>
  </r>
  <r>
    <x v="1886"/>
    <x v="10"/>
    <x v="4"/>
    <n v="68.599999999999994"/>
    <n v="823.19999999999993"/>
    <x v="68"/>
    <d v="2025-03-13T00:00:00"/>
    <x v="2"/>
    <x v="0"/>
    <n v="5"/>
    <x v="0"/>
    <x v="8"/>
    <x v="2"/>
    <x v="10"/>
    <x v="2"/>
  </r>
  <r>
    <x v="1887"/>
    <x v="5"/>
    <x v="21"/>
    <n v="36.4"/>
    <n v="509.59999999999997"/>
    <x v="68"/>
    <d v="2025-03-12T00:00:00"/>
    <x v="2"/>
    <x v="0"/>
    <n v="3"/>
    <x v="0"/>
    <x v="9"/>
    <x v="1"/>
    <x v="10"/>
    <x v="2"/>
  </r>
  <r>
    <x v="1888"/>
    <x v="16"/>
    <x v="9"/>
    <n v="67.599999999999994"/>
    <n v="338"/>
    <x v="69"/>
    <d v="2025-03-14T00:00:00"/>
    <x v="2"/>
    <x v="4"/>
    <n v="3"/>
    <x v="0"/>
    <x v="9"/>
    <x v="2"/>
    <x v="10"/>
    <x v="2"/>
  </r>
  <r>
    <x v="1889"/>
    <x v="15"/>
    <x v="0"/>
    <n v="46.3"/>
    <n v="46.3"/>
    <x v="69"/>
    <d v="2025-03-12T00:00:00"/>
    <x v="1"/>
    <x v="2"/>
    <n v="4"/>
    <x v="0"/>
    <x v="9"/>
    <x v="3"/>
    <x v="10"/>
    <x v="1"/>
  </r>
  <r>
    <x v="1890"/>
    <x v="1"/>
    <x v="2"/>
    <n v="124.2"/>
    <n v="372.6"/>
    <x v="69"/>
    <d v="2025-03-13T00:00:00"/>
    <x v="2"/>
    <x v="1"/>
    <n v="5"/>
    <x v="0"/>
    <x v="11"/>
    <x v="1"/>
    <x v="10"/>
    <x v="2"/>
  </r>
  <r>
    <x v="1891"/>
    <x v="10"/>
    <x v="1"/>
    <n v="37"/>
    <n v="74"/>
    <x v="69"/>
    <d v="2025-03-17T00:00:00"/>
    <x v="1"/>
    <x v="0"/>
    <n v="4"/>
    <x v="0"/>
    <x v="11"/>
    <x v="4"/>
    <x v="10"/>
    <x v="1"/>
  </r>
  <r>
    <x v="1892"/>
    <x v="5"/>
    <x v="0"/>
    <n v="41.8"/>
    <n v="41.8"/>
    <x v="69"/>
    <d v="2025-03-12T00:00:00"/>
    <x v="1"/>
    <x v="2"/>
    <n v="4"/>
    <x v="0"/>
    <x v="31"/>
    <x v="3"/>
    <x v="10"/>
    <x v="1"/>
  </r>
  <r>
    <x v="1893"/>
    <x v="9"/>
    <x v="1"/>
    <n v="57.2"/>
    <n v="114.4"/>
    <x v="69"/>
    <d v="2025-03-13T00:00:00"/>
    <x v="1"/>
    <x v="2"/>
    <n v="3"/>
    <x v="0"/>
    <x v="20"/>
    <x v="1"/>
    <x v="10"/>
    <x v="1"/>
  </r>
  <r>
    <x v="1894"/>
    <x v="6"/>
    <x v="1"/>
    <n v="47.1"/>
    <n v="94.2"/>
    <x v="69"/>
    <d v="2025-03-13T00:00:00"/>
    <x v="2"/>
    <x v="0"/>
    <n v="2"/>
    <x v="0"/>
    <x v="20"/>
    <x v="1"/>
    <x v="10"/>
    <x v="2"/>
  </r>
  <r>
    <x v="1895"/>
    <x v="5"/>
    <x v="2"/>
    <n v="86.4"/>
    <n v="259.20000000000005"/>
    <x v="69"/>
    <d v="2025-03-12T00:00:00"/>
    <x v="1"/>
    <x v="2"/>
    <n v="3"/>
    <x v="0"/>
    <x v="52"/>
    <x v="3"/>
    <x v="10"/>
    <x v="1"/>
  </r>
  <r>
    <x v="1896"/>
    <x v="6"/>
    <x v="9"/>
    <n v="105"/>
    <n v="525"/>
    <x v="69"/>
    <d v="2025-03-14T00:00:00"/>
    <x v="1"/>
    <x v="0"/>
    <n v="4"/>
    <x v="0"/>
    <x v="13"/>
    <x v="2"/>
    <x v="10"/>
    <x v="1"/>
  </r>
  <r>
    <x v="1897"/>
    <x v="18"/>
    <x v="0"/>
    <n v="33"/>
    <n v="33"/>
    <x v="69"/>
    <d v="2025-03-14T00:00:00"/>
    <x v="1"/>
    <x v="4"/>
    <n v="4"/>
    <x v="0"/>
    <x v="21"/>
    <x v="2"/>
    <x v="10"/>
    <x v="1"/>
  </r>
  <r>
    <x v="1898"/>
    <x v="6"/>
    <x v="9"/>
    <n v="106.6"/>
    <n v="533"/>
    <x v="69"/>
    <d v="2025-03-24T00:00:00"/>
    <x v="2"/>
    <x v="2"/>
    <n v="4"/>
    <x v="0"/>
    <x v="1"/>
    <x v="10"/>
    <x v="10"/>
    <x v="2"/>
  </r>
  <r>
    <x v="1899"/>
    <x v="10"/>
    <x v="46"/>
    <n v="26.8"/>
    <n v="857.6"/>
    <x v="69"/>
    <d v="2025-03-12T00:00:00"/>
    <x v="2"/>
    <x v="2"/>
    <n v="4"/>
    <x v="0"/>
    <x v="1"/>
    <x v="3"/>
    <x v="10"/>
    <x v="2"/>
  </r>
  <r>
    <x v="1900"/>
    <x v="17"/>
    <x v="9"/>
    <n v="25.8"/>
    <n v="129"/>
    <x v="69"/>
    <d v="2025-03-11T00:00:00"/>
    <x v="2"/>
    <x v="1"/>
    <n v="5"/>
    <x v="0"/>
    <x v="3"/>
    <x v="7"/>
    <x v="10"/>
    <x v="2"/>
  </r>
  <r>
    <x v="1901"/>
    <x v="2"/>
    <x v="2"/>
    <n v="217"/>
    <n v="651"/>
    <x v="69"/>
    <d v="2025-03-12T00:00:00"/>
    <x v="2"/>
    <x v="1"/>
    <n v="3"/>
    <x v="0"/>
    <x v="3"/>
    <x v="3"/>
    <x v="10"/>
    <x v="2"/>
  </r>
  <r>
    <x v="1902"/>
    <x v="2"/>
    <x v="1"/>
    <n v="97.3"/>
    <n v="194.6"/>
    <x v="69"/>
    <d v="2025-03-12T00:00:00"/>
    <x v="1"/>
    <x v="2"/>
    <n v="2"/>
    <x v="0"/>
    <x v="3"/>
    <x v="3"/>
    <x v="10"/>
    <x v="1"/>
  </r>
  <r>
    <x v="1903"/>
    <x v="1"/>
    <x v="0"/>
    <n v="49.8"/>
    <n v="49.8"/>
    <x v="69"/>
    <d v="2025-03-12T00:00:00"/>
    <x v="2"/>
    <x v="0"/>
    <n v="4"/>
    <x v="0"/>
    <x v="3"/>
    <x v="3"/>
    <x v="10"/>
    <x v="2"/>
  </r>
  <r>
    <x v="1904"/>
    <x v="12"/>
    <x v="9"/>
    <n v="32.6"/>
    <n v="163"/>
    <x v="69"/>
    <d v="2025-03-12T00:00:00"/>
    <x v="2"/>
    <x v="0"/>
    <n v="4"/>
    <x v="0"/>
    <x v="3"/>
    <x v="3"/>
    <x v="10"/>
    <x v="2"/>
  </r>
  <r>
    <x v="1905"/>
    <x v="9"/>
    <x v="1"/>
    <n v="40.1"/>
    <n v="80.2"/>
    <x v="69"/>
    <d v="2025-03-14T00:00:00"/>
    <x v="1"/>
    <x v="1"/>
    <n v="5"/>
    <x v="0"/>
    <x v="3"/>
    <x v="2"/>
    <x v="10"/>
    <x v="1"/>
  </r>
  <r>
    <x v="1906"/>
    <x v="10"/>
    <x v="1"/>
    <n v="49.4"/>
    <n v="98.8"/>
    <x v="69"/>
    <d v="2025-03-13T00:00:00"/>
    <x v="1"/>
    <x v="1"/>
    <n v="4"/>
    <x v="0"/>
    <x v="3"/>
    <x v="1"/>
    <x v="10"/>
    <x v="1"/>
  </r>
  <r>
    <x v="1907"/>
    <x v="2"/>
    <x v="0"/>
    <n v="67.3"/>
    <n v="67.3"/>
    <x v="69"/>
    <d v="2025-03-12T00:00:00"/>
    <x v="2"/>
    <x v="0"/>
    <n v="5"/>
    <x v="0"/>
    <x v="3"/>
    <x v="3"/>
    <x v="10"/>
    <x v="2"/>
  </r>
  <r>
    <x v="1908"/>
    <x v="18"/>
    <x v="12"/>
    <n v="44.5"/>
    <n v="178"/>
    <x v="69"/>
    <d v="2025-03-14T00:00:00"/>
    <x v="0"/>
    <x v="1"/>
    <n v="4"/>
    <x v="0"/>
    <x v="3"/>
    <x v="2"/>
    <x v="10"/>
    <x v="0"/>
  </r>
  <r>
    <x v="1909"/>
    <x v="6"/>
    <x v="5"/>
    <n v="111.1"/>
    <n v="1222.0999999999999"/>
    <x v="69"/>
    <d v="2025-03-12T00:00:00"/>
    <x v="2"/>
    <x v="4"/>
    <n v="4"/>
    <x v="0"/>
    <x v="3"/>
    <x v="3"/>
    <x v="10"/>
    <x v="2"/>
  </r>
  <r>
    <x v="1910"/>
    <x v="8"/>
    <x v="2"/>
    <n v="19.7"/>
    <n v="59.099999999999994"/>
    <x v="69"/>
    <d v="2025-03-12T00:00:00"/>
    <x v="2"/>
    <x v="4"/>
    <n v="2"/>
    <x v="0"/>
    <x v="3"/>
    <x v="3"/>
    <x v="10"/>
    <x v="2"/>
  </r>
  <r>
    <x v="1911"/>
    <x v="1"/>
    <x v="0"/>
    <n v="40.299999999999997"/>
    <n v="40.299999999999997"/>
    <x v="69"/>
    <d v="2025-03-12T00:00:00"/>
    <x v="3"/>
    <x v="1"/>
    <n v="4"/>
    <x v="0"/>
    <x v="3"/>
    <x v="3"/>
    <x v="10"/>
    <x v="3"/>
  </r>
  <r>
    <x v="1912"/>
    <x v="6"/>
    <x v="1"/>
    <n v="108.8"/>
    <n v="217.6"/>
    <x v="69"/>
    <d v="2025-03-16T00:00:00"/>
    <x v="1"/>
    <x v="0"/>
    <n v="5"/>
    <x v="0"/>
    <x v="6"/>
    <x v="0"/>
    <x v="10"/>
    <x v="1"/>
  </r>
  <r>
    <x v="1913"/>
    <x v="8"/>
    <x v="2"/>
    <n v="48.2"/>
    <n v="144.60000000000002"/>
    <x v="69"/>
    <d v="2025-03-16T00:00:00"/>
    <x v="2"/>
    <x v="4"/>
    <n v="4"/>
    <x v="0"/>
    <x v="7"/>
    <x v="0"/>
    <x v="10"/>
    <x v="2"/>
  </r>
  <r>
    <x v="1914"/>
    <x v="2"/>
    <x v="2"/>
    <n v="104.7"/>
    <n v="314.10000000000002"/>
    <x v="69"/>
    <d v="2025-03-13T00:00:00"/>
    <x v="2"/>
    <x v="0"/>
    <n v="3"/>
    <x v="0"/>
    <x v="7"/>
    <x v="1"/>
    <x v="10"/>
    <x v="2"/>
  </r>
  <r>
    <x v="1915"/>
    <x v="1"/>
    <x v="1"/>
    <n v="80.599999999999994"/>
    <n v="161.19999999999999"/>
    <x v="69"/>
    <d v="2025-03-11T00:00:00"/>
    <x v="2"/>
    <x v="1"/>
    <n v="4"/>
    <x v="0"/>
    <x v="8"/>
    <x v="7"/>
    <x v="10"/>
    <x v="2"/>
  </r>
  <r>
    <x v="1916"/>
    <x v="6"/>
    <x v="0"/>
    <n v="65.5"/>
    <n v="65.5"/>
    <x v="69"/>
    <d v="2025-03-13T00:00:00"/>
    <x v="3"/>
    <x v="1"/>
    <n v="4"/>
    <x v="0"/>
    <x v="8"/>
    <x v="1"/>
    <x v="10"/>
    <x v="3"/>
  </r>
  <r>
    <x v="1917"/>
    <x v="9"/>
    <x v="2"/>
    <n v="61.4"/>
    <n v="184.2"/>
    <x v="69"/>
    <d v="2025-03-13T00:00:00"/>
    <x v="2"/>
    <x v="4"/>
    <n v="5"/>
    <x v="0"/>
    <x v="8"/>
    <x v="1"/>
    <x v="10"/>
    <x v="2"/>
  </r>
  <r>
    <x v="1918"/>
    <x v="0"/>
    <x v="0"/>
    <n v="12.5"/>
    <n v="12.5"/>
    <x v="70"/>
    <d v="2025-03-15T00:00:00"/>
    <x v="2"/>
    <x v="0"/>
    <n v="3"/>
    <x v="0"/>
    <x v="8"/>
    <x v="2"/>
    <x v="10"/>
    <x v="2"/>
  </r>
  <r>
    <x v="1919"/>
    <x v="4"/>
    <x v="12"/>
    <n v="35.1"/>
    <n v="140.4"/>
    <x v="70"/>
    <d v="2025-03-13T00:00:00"/>
    <x v="1"/>
    <x v="2"/>
    <n v="3"/>
    <x v="0"/>
    <x v="17"/>
    <x v="3"/>
    <x v="10"/>
    <x v="1"/>
  </r>
  <r>
    <x v="1920"/>
    <x v="5"/>
    <x v="1"/>
    <n v="55.7"/>
    <n v="111.4"/>
    <x v="70"/>
    <d v="2025-03-13T00:00:00"/>
    <x v="1"/>
    <x v="0"/>
    <n v="3"/>
    <x v="0"/>
    <x v="26"/>
    <x v="3"/>
    <x v="10"/>
    <x v="1"/>
  </r>
  <r>
    <x v="1921"/>
    <x v="7"/>
    <x v="1"/>
    <n v="57.7"/>
    <n v="115.4"/>
    <x v="70"/>
    <d v="2025-03-14T00:00:00"/>
    <x v="1"/>
    <x v="4"/>
    <n v="3"/>
    <x v="0"/>
    <x v="9"/>
    <x v="1"/>
    <x v="10"/>
    <x v="1"/>
  </r>
  <r>
    <x v="1922"/>
    <x v="2"/>
    <x v="13"/>
    <n v="85.7"/>
    <n v="514.20000000000005"/>
    <x v="70"/>
    <d v="2025-03-13T00:00:00"/>
    <x v="1"/>
    <x v="3"/>
    <n v="5"/>
    <x v="0"/>
    <x v="9"/>
    <x v="3"/>
    <x v="10"/>
    <x v="1"/>
  </r>
  <r>
    <x v="1923"/>
    <x v="2"/>
    <x v="2"/>
    <n v="86.9"/>
    <n v="260.70000000000005"/>
    <x v="70"/>
    <d v="2025-03-14T00:00:00"/>
    <x v="2"/>
    <x v="1"/>
    <n v="4"/>
    <x v="0"/>
    <x v="11"/>
    <x v="1"/>
    <x v="10"/>
    <x v="2"/>
  </r>
  <r>
    <x v="1924"/>
    <x v="18"/>
    <x v="1"/>
    <n v="46.4"/>
    <n v="92.8"/>
    <x v="70"/>
    <d v="2025-03-15T00:00:00"/>
    <x v="2"/>
    <x v="4"/>
    <n v="4"/>
    <x v="0"/>
    <x v="11"/>
    <x v="2"/>
    <x v="10"/>
    <x v="2"/>
  </r>
  <r>
    <x v="1925"/>
    <x v="5"/>
    <x v="2"/>
    <n v="25.4"/>
    <n v="76.199999999999989"/>
    <x v="70"/>
    <d v="2025-03-12T00:00:00"/>
    <x v="2"/>
    <x v="2"/>
    <n v="5"/>
    <x v="0"/>
    <x v="18"/>
    <x v="7"/>
    <x v="10"/>
    <x v="2"/>
  </r>
  <r>
    <x v="1926"/>
    <x v="10"/>
    <x v="2"/>
    <n v="47.8"/>
    <n v="143.39999999999998"/>
    <x v="70"/>
    <d v="2025-03-12T00:00:00"/>
    <x v="0"/>
    <x v="2"/>
    <n v="5"/>
    <x v="0"/>
    <x v="19"/>
    <x v="7"/>
    <x v="10"/>
    <x v="0"/>
  </r>
  <r>
    <x v="1927"/>
    <x v="8"/>
    <x v="10"/>
    <n v="18.399999999999999"/>
    <n v="349.59999999999997"/>
    <x v="70"/>
    <d v="2025-03-14T00:00:00"/>
    <x v="3"/>
    <x v="2"/>
    <n v="4"/>
    <x v="0"/>
    <x v="20"/>
    <x v="1"/>
    <x v="10"/>
    <x v="3"/>
  </r>
  <r>
    <x v="1928"/>
    <x v="12"/>
    <x v="2"/>
    <n v="65.5"/>
    <n v="196.5"/>
    <x v="70"/>
    <d v="2025-03-20T00:00:00"/>
    <x v="2"/>
    <x v="0"/>
    <n v="4"/>
    <x v="0"/>
    <x v="21"/>
    <x v="9"/>
    <x v="10"/>
    <x v="2"/>
  </r>
  <r>
    <x v="1929"/>
    <x v="10"/>
    <x v="1"/>
    <n v="50.6"/>
    <n v="101.2"/>
    <x v="70"/>
    <d v="2025-03-15T00:00:00"/>
    <x v="1"/>
    <x v="2"/>
    <n v="2"/>
    <x v="0"/>
    <x v="21"/>
    <x v="2"/>
    <x v="10"/>
    <x v="1"/>
  </r>
  <r>
    <x v="1930"/>
    <x v="3"/>
    <x v="9"/>
    <n v="69"/>
    <n v="345"/>
    <x v="70"/>
    <d v="2025-03-16T00:00:00"/>
    <x v="1"/>
    <x v="3"/>
    <n v="4"/>
    <x v="0"/>
    <x v="21"/>
    <x v="5"/>
    <x v="10"/>
    <x v="1"/>
  </r>
  <r>
    <x v="1931"/>
    <x v="9"/>
    <x v="8"/>
    <n v="51.1"/>
    <n v="408.8"/>
    <x v="70"/>
    <d v="2025-03-14T00:00:00"/>
    <x v="2"/>
    <x v="0"/>
    <n v="4"/>
    <x v="0"/>
    <x v="1"/>
    <x v="1"/>
    <x v="10"/>
    <x v="2"/>
  </r>
  <r>
    <x v="1932"/>
    <x v="9"/>
    <x v="0"/>
    <n v="36.1"/>
    <n v="36.1"/>
    <x v="70"/>
    <d v="2025-03-13T00:00:00"/>
    <x v="2"/>
    <x v="0"/>
    <n v="5"/>
    <x v="0"/>
    <x v="34"/>
    <x v="3"/>
    <x v="10"/>
    <x v="2"/>
  </r>
  <r>
    <x v="1933"/>
    <x v="14"/>
    <x v="0"/>
    <n v="18.7"/>
    <n v="18.7"/>
    <x v="70"/>
    <d v="2025-03-13T00:00:00"/>
    <x v="1"/>
    <x v="0"/>
    <n v="4"/>
    <x v="0"/>
    <x v="3"/>
    <x v="3"/>
    <x v="10"/>
    <x v="1"/>
  </r>
  <r>
    <x v="1934"/>
    <x v="17"/>
    <x v="0"/>
    <n v="30.1"/>
    <n v="30.1"/>
    <x v="70"/>
    <d v="2025-03-15T00:00:00"/>
    <x v="2"/>
    <x v="3"/>
    <n v="3"/>
    <x v="0"/>
    <x v="3"/>
    <x v="2"/>
    <x v="10"/>
    <x v="2"/>
  </r>
  <r>
    <x v="1935"/>
    <x v="8"/>
    <x v="0"/>
    <n v="16.3"/>
    <n v="16.3"/>
    <x v="70"/>
    <d v="2025-03-13T00:00:00"/>
    <x v="1"/>
    <x v="3"/>
    <n v="4"/>
    <x v="0"/>
    <x v="3"/>
    <x v="3"/>
    <x v="10"/>
    <x v="1"/>
  </r>
  <r>
    <x v="1936"/>
    <x v="1"/>
    <x v="2"/>
    <n v="63.8"/>
    <n v="191.39999999999998"/>
    <x v="70"/>
    <d v="2025-03-17T00:00:00"/>
    <x v="2"/>
    <x v="2"/>
    <n v="3"/>
    <x v="0"/>
    <x v="3"/>
    <x v="0"/>
    <x v="10"/>
    <x v="2"/>
  </r>
  <r>
    <x v="1937"/>
    <x v="1"/>
    <x v="3"/>
    <n v="73.900000000000006"/>
    <n v="517.30000000000007"/>
    <x v="70"/>
    <d v="2025-03-12T00:00:00"/>
    <x v="2"/>
    <x v="0"/>
    <n v="3"/>
    <x v="0"/>
    <x v="3"/>
    <x v="7"/>
    <x v="10"/>
    <x v="2"/>
  </r>
  <r>
    <x v="1938"/>
    <x v="0"/>
    <x v="1"/>
    <n v="20.2"/>
    <n v="40.4"/>
    <x v="70"/>
    <d v="2025-03-13T00:00:00"/>
    <x v="1"/>
    <x v="0"/>
    <n v="3"/>
    <x v="0"/>
    <x v="3"/>
    <x v="3"/>
    <x v="10"/>
    <x v="1"/>
  </r>
  <r>
    <x v="1939"/>
    <x v="11"/>
    <x v="5"/>
    <n v="29.5"/>
    <n v="324.5"/>
    <x v="70"/>
    <d v="2025-03-13T00:00:00"/>
    <x v="1"/>
    <x v="0"/>
    <n v="4"/>
    <x v="0"/>
    <x v="3"/>
    <x v="3"/>
    <x v="10"/>
    <x v="1"/>
  </r>
  <r>
    <x v="1940"/>
    <x v="15"/>
    <x v="3"/>
    <n v="37.9"/>
    <n v="265.3"/>
    <x v="70"/>
    <d v="2025-03-13T00:00:00"/>
    <x v="1"/>
    <x v="1"/>
    <n v="4"/>
    <x v="0"/>
    <x v="3"/>
    <x v="3"/>
    <x v="10"/>
    <x v="1"/>
  </r>
  <r>
    <x v="1941"/>
    <x v="2"/>
    <x v="0"/>
    <n v="56.5"/>
    <n v="56.5"/>
    <x v="70"/>
    <d v="2025-03-13T00:00:00"/>
    <x v="2"/>
    <x v="2"/>
    <n v="3"/>
    <x v="0"/>
    <x v="3"/>
    <x v="3"/>
    <x v="10"/>
    <x v="2"/>
  </r>
  <r>
    <x v="1942"/>
    <x v="2"/>
    <x v="1"/>
    <n v="66.900000000000006"/>
    <n v="133.80000000000001"/>
    <x v="70"/>
    <d v="2025-03-18T00:00:00"/>
    <x v="1"/>
    <x v="1"/>
    <n v="2"/>
    <x v="0"/>
    <x v="25"/>
    <x v="4"/>
    <x v="10"/>
    <x v="1"/>
  </r>
  <r>
    <x v="1943"/>
    <x v="2"/>
    <x v="9"/>
    <n v="51.9"/>
    <n v="259.5"/>
    <x v="70"/>
    <d v="2025-03-15T00:00:00"/>
    <x v="1"/>
    <x v="1"/>
    <n v="4"/>
    <x v="0"/>
    <x v="7"/>
    <x v="2"/>
    <x v="10"/>
    <x v="1"/>
  </r>
  <r>
    <x v="1944"/>
    <x v="2"/>
    <x v="1"/>
    <n v="75.599999999999994"/>
    <n v="151.19999999999999"/>
    <x v="70"/>
    <d v="2025-03-15T00:00:00"/>
    <x v="1"/>
    <x v="1"/>
    <n v="4"/>
    <x v="0"/>
    <x v="8"/>
    <x v="2"/>
    <x v="10"/>
    <x v="1"/>
  </r>
  <r>
    <x v="1945"/>
    <x v="12"/>
    <x v="13"/>
    <n v="47.3"/>
    <n v="283.79999999999995"/>
    <x v="70"/>
    <d v="2025-03-23T00:00:00"/>
    <x v="1"/>
    <x v="0"/>
    <n v="4"/>
    <x v="0"/>
    <x v="8"/>
    <x v="11"/>
    <x v="10"/>
    <x v="1"/>
  </r>
  <r>
    <x v="1946"/>
    <x v="4"/>
    <x v="0"/>
    <n v="20.6"/>
    <n v="20.6"/>
    <x v="70"/>
    <d v="2025-03-13T00:00:00"/>
    <x v="0"/>
    <x v="0"/>
    <n v="3"/>
    <x v="0"/>
    <x v="8"/>
    <x v="3"/>
    <x v="10"/>
    <x v="0"/>
  </r>
  <r>
    <x v="1947"/>
    <x v="6"/>
    <x v="2"/>
    <n v="49.7"/>
    <n v="149.10000000000002"/>
    <x v="70"/>
    <d v="2025-03-14T00:00:00"/>
    <x v="1"/>
    <x v="0"/>
    <n v="3"/>
    <x v="0"/>
    <x v="8"/>
    <x v="1"/>
    <x v="10"/>
    <x v="1"/>
  </r>
  <r>
    <x v="1948"/>
    <x v="3"/>
    <x v="0"/>
    <n v="37.9"/>
    <n v="37.9"/>
    <x v="70"/>
    <d v="2025-03-14T00:00:00"/>
    <x v="2"/>
    <x v="0"/>
    <n v="4"/>
    <x v="0"/>
    <x v="8"/>
    <x v="1"/>
    <x v="10"/>
    <x v="2"/>
  </r>
  <r>
    <x v="1949"/>
    <x v="13"/>
    <x v="20"/>
    <n v="32"/>
    <n v="480"/>
    <x v="70"/>
    <d v="2025-03-14T00:00:00"/>
    <x v="2"/>
    <x v="4"/>
    <n v="4"/>
    <x v="0"/>
    <x v="11"/>
    <x v="1"/>
    <x v="10"/>
    <x v="2"/>
  </r>
  <r>
    <x v="1950"/>
    <x v="10"/>
    <x v="16"/>
    <n v="38.5"/>
    <n v="693"/>
    <x v="71"/>
    <d v="2025-03-14T00:00:00"/>
    <x v="1"/>
    <x v="0"/>
    <n v="5"/>
    <x v="0"/>
    <x v="11"/>
    <x v="3"/>
    <x v="10"/>
    <x v="1"/>
  </r>
  <r>
    <x v="1951"/>
    <x v="0"/>
    <x v="12"/>
    <n v="11.7"/>
    <n v="46.8"/>
    <x v="71"/>
    <d v="2025-03-15T00:00:00"/>
    <x v="2"/>
    <x v="1"/>
    <n v="4"/>
    <x v="0"/>
    <x v="20"/>
    <x v="1"/>
    <x v="10"/>
    <x v="2"/>
  </r>
  <r>
    <x v="1952"/>
    <x v="3"/>
    <x v="13"/>
    <n v="83.8"/>
    <n v="502.79999999999995"/>
    <x v="71"/>
    <d v="2025-03-14T00:00:00"/>
    <x v="1"/>
    <x v="0"/>
    <n v="4"/>
    <x v="0"/>
    <x v="21"/>
    <x v="3"/>
    <x v="10"/>
    <x v="1"/>
  </r>
  <r>
    <x v="1953"/>
    <x v="0"/>
    <x v="3"/>
    <n v="14"/>
    <n v="98"/>
    <x v="71"/>
    <d v="2025-03-16T00:00:00"/>
    <x v="1"/>
    <x v="0"/>
    <n v="3"/>
    <x v="0"/>
    <x v="22"/>
    <x v="2"/>
    <x v="10"/>
    <x v="1"/>
  </r>
  <r>
    <x v="1954"/>
    <x v="16"/>
    <x v="12"/>
    <n v="77.3"/>
    <n v="309.2"/>
    <x v="71"/>
    <d v="2025-03-15T00:00:00"/>
    <x v="2"/>
    <x v="4"/>
    <n v="5"/>
    <x v="0"/>
    <x v="3"/>
    <x v="1"/>
    <x v="10"/>
    <x v="2"/>
  </r>
  <r>
    <x v="1955"/>
    <x v="2"/>
    <x v="1"/>
    <n v="76.900000000000006"/>
    <n v="153.80000000000001"/>
    <x v="71"/>
    <d v="2025-03-17T00:00:00"/>
    <x v="2"/>
    <x v="0"/>
    <n v="3"/>
    <x v="0"/>
    <x v="3"/>
    <x v="5"/>
    <x v="10"/>
    <x v="2"/>
  </r>
  <r>
    <x v="1956"/>
    <x v="1"/>
    <x v="0"/>
    <n v="48"/>
    <n v="48"/>
    <x v="71"/>
    <d v="2025-03-15T00:00:00"/>
    <x v="2"/>
    <x v="1"/>
    <n v="5"/>
    <x v="0"/>
    <x v="3"/>
    <x v="1"/>
    <x v="10"/>
    <x v="2"/>
  </r>
  <r>
    <x v="1957"/>
    <x v="2"/>
    <x v="0"/>
    <n v="94.5"/>
    <n v="94.5"/>
    <x v="71"/>
    <d v="2025-03-16T00:00:00"/>
    <x v="1"/>
    <x v="1"/>
    <n v="3"/>
    <x v="0"/>
    <x v="3"/>
    <x v="2"/>
    <x v="10"/>
    <x v="1"/>
  </r>
  <r>
    <x v="1958"/>
    <x v="10"/>
    <x v="2"/>
    <n v="58.4"/>
    <n v="175.2"/>
    <x v="71"/>
    <d v="2025-03-15T00:00:00"/>
    <x v="2"/>
    <x v="1"/>
    <n v="5"/>
    <x v="0"/>
    <x v="3"/>
    <x v="1"/>
    <x v="10"/>
    <x v="2"/>
  </r>
  <r>
    <x v="1959"/>
    <x v="7"/>
    <x v="15"/>
    <n v="42.2"/>
    <n v="548.6"/>
    <x v="71"/>
    <d v="2025-03-13T00:00:00"/>
    <x v="1"/>
    <x v="0"/>
    <n v="4"/>
    <x v="0"/>
    <x v="25"/>
    <x v="7"/>
    <x v="10"/>
    <x v="1"/>
  </r>
  <r>
    <x v="1960"/>
    <x v="6"/>
    <x v="1"/>
    <n v="152.19999999999999"/>
    <n v="304.39999999999998"/>
    <x v="71"/>
    <d v="2025-03-14T00:00:00"/>
    <x v="1"/>
    <x v="4"/>
    <n v="3"/>
    <x v="0"/>
    <x v="25"/>
    <x v="3"/>
    <x v="10"/>
    <x v="1"/>
  </r>
  <r>
    <x v="1961"/>
    <x v="6"/>
    <x v="25"/>
    <n v="72"/>
    <n v="1728"/>
    <x v="71"/>
    <d v="2025-03-14T00:00:00"/>
    <x v="1"/>
    <x v="0"/>
    <n v="3"/>
    <x v="0"/>
    <x v="6"/>
    <x v="3"/>
    <x v="10"/>
    <x v="1"/>
  </r>
  <r>
    <x v="1962"/>
    <x v="1"/>
    <x v="44"/>
    <n v="70.900000000000006"/>
    <n v="1630.7"/>
    <x v="71"/>
    <d v="2025-03-14T00:00:00"/>
    <x v="2"/>
    <x v="2"/>
    <n v="4"/>
    <x v="0"/>
    <x v="8"/>
    <x v="3"/>
    <x v="10"/>
    <x v="2"/>
  </r>
  <r>
    <x v="1963"/>
    <x v="2"/>
    <x v="1"/>
    <n v="53.7"/>
    <n v="107.4"/>
    <x v="71"/>
    <d v="2025-03-14T00:00:00"/>
    <x v="1"/>
    <x v="2"/>
    <n v="5"/>
    <x v="0"/>
    <x v="8"/>
    <x v="3"/>
    <x v="10"/>
    <x v="1"/>
  </r>
  <r>
    <x v="1964"/>
    <x v="9"/>
    <x v="12"/>
    <n v="42.9"/>
    <n v="171.6"/>
    <x v="71"/>
    <d v="2025-03-14T00:00:00"/>
    <x v="2"/>
    <x v="2"/>
    <n v="2"/>
    <x v="0"/>
    <x v="9"/>
    <x v="3"/>
    <x v="10"/>
    <x v="2"/>
  </r>
  <r>
    <x v="1965"/>
    <x v="2"/>
    <x v="3"/>
    <n v="107.5"/>
    <n v="752.5"/>
    <x v="71"/>
    <d v="2025-03-14T00:00:00"/>
    <x v="1"/>
    <x v="1"/>
    <n v="4"/>
    <x v="0"/>
    <x v="11"/>
    <x v="3"/>
    <x v="10"/>
    <x v="1"/>
  </r>
  <r>
    <x v="1966"/>
    <x v="17"/>
    <x v="27"/>
    <n v="21.5"/>
    <n v="344"/>
    <x v="71"/>
    <d v="2025-03-14T00:00:00"/>
    <x v="1"/>
    <x v="1"/>
    <n v="3"/>
    <x v="0"/>
    <x v="32"/>
    <x v="3"/>
    <x v="10"/>
    <x v="1"/>
  </r>
  <r>
    <x v="1967"/>
    <x v="3"/>
    <x v="9"/>
    <n v="85.3"/>
    <n v="426.5"/>
    <x v="71"/>
    <d v="2025-03-15T00:00:00"/>
    <x v="2"/>
    <x v="3"/>
    <n v="4"/>
    <x v="0"/>
    <x v="18"/>
    <x v="1"/>
    <x v="10"/>
    <x v="2"/>
  </r>
  <r>
    <x v="1968"/>
    <x v="7"/>
    <x v="9"/>
    <n v="80.8"/>
    <n v="404"/>
    <x v="71"/>
    <d v="2025-03-21T00:00:00"/>
    <x v="3"/>
    <x v="1"/>
    <n v="3"/>
    <x v="0"/>
    <x v="19"/>
    <x v="9"/>
    <x v="10"/>
    <x v="3"/>
  </r>
  <r>
    <x v="1969"/>
    <x v="2"/>
    <x v="2"/>
    <n v="123.1"/>
    <n v="369.29999999999995"/>
    <x v="71"/>
    <d v="2025-03-15T00:00:00"/>
    <x v="0"/>
    <x v="2"/>
    <n v="4"/>
    <x v="0"/>
    <x v="21"/>
    <x v="1"/>
    <x v="10"/>
    <x v="0"/>
  </r>
  <r>
    <x v="1970"/>
    <x v="8"/>
    <x v="1"/>
    <n v="36.9"/>
    <n v="73.8"/>
    <x v="71"/>
    <d v="2025-03-15T00:00:00"/>
    <x v="2"/>
    <x v="2"/>
    <n v="2"/>
    <x v="0"/>
    <x v="51"/>
    <x v="1"/>
    <x v="10"/>
    <x v="2"/>
  </r>
  <r>
    <x v="1971"/>
    <x v="11"/>
    <x v="9"/>
    <n v="40"/>
    <n v="200"/>
    <x v="71"/>
    <d v="2025-03-14T00:00:00"/>
    <x v="1"/>
    <x v="0"/>
    <n v="4"/>
    <x v="0"/>
    <x v="1"/>
    <x v="3"/>
    <x v="10"/>
    <x v="1"/>
  </r>
  <r>
    <x v="1972"/>
    <x v="6"/>
    <x v="2"/>
    <n v="55.5"/>
    <n v="166.5"/>
    <x v="71"/>
    <d v="2025-03-14T00:00:00"/>
    <x v="1"/>
    <x v="4"/>
    <n v="5"/>
    <x v="0"/>
    <x v="1"/>
    <x v="3"/>
    <x v="10"/>
    <x v="1"/>
  </r>
  <r>
    <x v="1973"/>
    <x v="0"/>
    <x v="12"/>
    <n v="20.5"/>
    <n v="82"/>
    <x v="71"/>
    <d v="2025-03-17T00:00:00"/>
    <x v="2"/>
    <x v="4"/>
    <n v="4"/>
    <x v="0"/>
    <x v="1"/>
    <x v="5"/>
    <x v="10"/>
    <x v="2"/>
  </r>
  <r>
    <x v="1974"/>
    <x v="18"/>
    <x v="12"/>
    <n v="50.1"/>
    <n v="200.4"/>
    <x v="71"/>
    <d v="2025-03-14T00:00:00"/>
    <x v="2"/>
    <x v="4"/>
    <n v="4"/>
    <x v="0"/>
    <x v="1"/>
    <x v="3"/>
    <x v="10"/>
    <x v="2"/>
  </r>
  <r>
    <x v="1975"/>
    <x v="9"/>
    <x v="0"/>
    <n v="35.9"/>
    <n v="35.9"/>
    <x v="71"/>
    <d v="2025-03-15T00:00:00"/>
    <x v="1"/>
    <x v="1"/>
    <n v="5"/>
    <x v="0"/>
    <x v="1"/>
    <x v="1"/>
    <x v="10"/>
    <x v="1"/>
  </r>
  <r>
    <x v="1976"/>
    <x v="13"/>
    <x v="12"/>
    <n v="29.4"/>
    <n v="117.6"/>
    <x v="72"/>
    <d v="2025-03-15T00:00:00"/>
    <x v="1"/>
    <x v="2"/>
    <n v="5"/>
    <x v="0"/>
    <x v="33"/>
    <x v="3"/>
    <x v="10"/>
    <x v="1"/>
  </r>
  <r>
    <x v="1977"/>
    <x v="8"/>
    <x v="9"/>
    <n v="29.1"/>
    <n v="145.5"/>
    <x v="72"/>
    <d v="2025-03-22T00:00:00"/>
    <x v="3"/>
    <x v="2"/>
    <n v="3"/>
    <x v="0"/>
    <x v="33"/>
    <x v="9"/>
    <x v="10"/>
    <x v="3"/>
  </r>
  <r>
    <x v="1978"/>
    <x v="8"/>
    <x v="2"/>
    <n v="33.5"/>
    <n v="100.5"/>
    <x v="72"/>
    <d v="2025-03-26T00:00:00"/>
    <x v="1"/>
    <x v="0"/>
    <n v="5"/>
    <x v="0"/>
    <x v="22"/>
    <x v="13"/>
    <x v="10"/>
    <x v="1"/>
  </r>
  <r>
    <x v="1979"/>
    <x v="4"/>
    <x v="7"/>
    <n v="36"/>
    <n v="360"/>
    <x v="72"/>
    <d v="2025-03-14T00:00:00"/>
    <x v="1"/>
    <x v="3"/>
    <n v="5"/>
    <x v="0"/>
    <x v="3"/>
    <x v="7"/>
    <x v="10"/>
    <x v="1"/>
  </r>
  <r>
    <x v="1980"/>
    <x v="16"/>
    <x v="2"/>
    <n v="57.3"/>
    <n v="171.89999999999998"/>
    <x v="72"/>
    <d v="2025-03-18T00:00:00"/>
    <x v="2"/>
    <x v="0"/>
    <n v="5"/>
    <x v="0"/>
    <x v="3"/>
    <x v="5"/>
    <x v="10"/>
    <x v="2"/>
  </r>
  <r>
    <x v="1981"/>
    <x v="1"/>
    <x v="0"/>
    <n v="81.400000000000006"/>
    <n v="81.400000000000006"/>
    <x v="72"/>
    <d v="2025-03-15T00:00:00"/>
    <x v="2"/>
    <x v="2"/>
    <n v="5"/>
    <x v="0"/>
    <x v="3"/>
    <x v="3"/>
    <x v="10"/>
    <x v="2"/>
  </r>
  <r>
    <x v="1982"/>
    <x v="10"/>
    <x v="1"/>
    <n v="35.299999999999997"/>
    <n v="70.599999999999994"/>
    <x v="72"/>
    <d v="2025-03-18T00:00:00"/>
    <x v="1"/>
    <x v="0"/>
    <n v="5"/>
    <x v="0"/>
    <x v="3"/>
    <x v="5"/>
    <x v="10"/>
    <x v="1"/>
  </r>
  <r>
    <x v="1983"/>
    <x v="3"/>
    <x v="0"/>
    <n v="36.1"/>
    <n v="36.1"/>
    <x v="72"/>
    <d v="2025-03-15T00:00:00"/>
    <x v="2"/>
    <x v="4"/>
    <n v="4"/>
    <x v="0"/>
    <x v="3"/>
    <x v="3"/>
    <x v="10"/>
    <x v="2"/>
  </r>
  <r>
    <x v="1984"/>
    <x v="1"/>
    <x v="1"/>
    <n v="36.700000000000003"/>
    <n v="73.400000000000006"/>
    <x v="72"/>
    <d v="2025-03-16T00:00:00"/>
    <x v="2"/>
    <x v="0"/>
    <n v="5"/>
    <x v="0"/>
    <x v="3"/>
    <x v="1"/>
    <x v="10"/>
    <x v="2"/>
  </r>
  <r>
    <x v="1985"/>
    <x v="10"/>
    <x v="0"/>
    <n v="20.9"/>
    <n v="20.9"/>
    <x v="72"/>
    <d v="2025-03-16T00:00:00"/>
    <x v="2"/>
    <x v="0"/>
    <n v="2"/>
    <x v="0"/>
    <x v="3"/>
    <x v="1"/>
    <x v="10"/>
    <x v="2"/>
  </r>
  <r>
    <x v="1986"/>
    <x v="12"/>
    <x v="2"/>
    <n v="58.8"/>
    <n v="176.39999999999998"/>
    <x v="72"/>
    <d v="2025-03-18T00:00:00"/>
    <x v="1"/>
    <x v="0"/>
    <n v="5"/>
    <x v="0"/>
    <x v="25"/>
    <x v="5"/>
    <x v="10"/>
    <x v="1"/>
  </r>
  <r>
    <x v="1987"/>
    <x v="2"/>
    <x v="2"/>
    <n v="97.6"/>
    <n v="292.79999999999995"/>
    <x v="73"/>
    <d v="2025-03-17T00:00:00"/>
    <x v="0"/>
    <x v="0"/>
    <n v="4"/>
    <x v="0"/>
    <x v="6"/>
    <x v="1"/>
    <x v="10"/>
    <x v="0"/>
  </r>
  <r>
    <x v="1988"/>
    <x v="1"/>
    <x v="1"/>
    <n v="58.7"/>
    <n v="117.4"/>
    <x v="73"/>
    <d v="2025-03-18T00:00:00"/>
    <x v="2"/>
    <x v="0"/>
    <n v="3"/>
    <x v="0"/>
    <x v="6"/>
    <x v="2"/>
    <x v="10"/>
    <x v="2"/>
  </r>
  <r>
    <x v="1989"/>
    <x v="6"/>
    <x v="9"/>
    <n v="71.900000000000006"/>
    <n v="359.5"/>
    <x v="73"/>
    <d v="2025-03-16T00:00:00"/>
    <x v="0"/>
    <x v="0"/>
    <n v="3"/>
    <x v="0"/>
    <x v="6"/>
    <x v="3"/>
    <x v="10"/>
    <x v="0"/>
  </r>
  <r>
    <x v="1990"/>
    <x v="1"/>
    <x v="1"/>
    <n v="62.4"/>
    <n v="124.8"/>
    <x v="73"/>
    <d v="2025-03-17T00:00:00"/>
    <x v="0"/>
    <x v="0"/>
    <n v="3"/>
    <x v="0"/>
    <x v="8"/>
    <x v="1"/>
    <x v="10"/>
    <x v="0"/>
  </r>
  <r>
    <x v="1991"/>
    <x v="6"/>
    <x v="27"/>
    <n v="53.8"/>
    <n v="860.8"/>
    <x v="73"/>
    <d v="2025-03-16T00:00:00"/>
    <x v="2"/>
    <x v="1"/>
    <n v="4"/>
    <x v="0"/>
    <x v="8"/>
    <x v="3"/>
    <x v="10"/>
    <x v="2"/>
  </r>
  <r>
    <x v="1992"/>
    <x v="9"/>
    <x v="0"/>
    <n v="43.8"/>
    <n v="43.8"/>
    <x v="73"/>
    <d v="2025-03-22T00:00:00"/>
    <x v="2"/>
    <x v="0"/>
    <n v="5"/>
    <x v="0"/>
    <x v="8"/>
    <x v="6"/>
    <x v="10"/>
    <x v="2"/>
  </r>
  <r>
    <x v="1993"/>
    <x v="5"/>
    <x v="2"/>
    <n v="53.6"/>
    <n v="160.80000000000001"/>
    <x v="73"/>
    <d v="2025-03-16T00:00:00"/>
    <x v="1"/>
    <x v="3"/>
    <n v="4"/>
    <x v="0"/>
    <x v="8"/>
    <x v="3"/>
    <x v="10"/>
    <x v="1"/>
  </r>
  <r>
    <x v="1994"/>
    <x v="12"/>
    <x v="1"/>
    <n v="84.3"/>
    <n v="168.6"/>
    <x v="73"/>
    <d v="2025-03-18T00:00:00"/>
    <x v="1"/>
    <x v="4"/>
    <n v="3"/>
    <x v="0"/>
    <x v="8"/>
    <x v="2"/>
    <x v="10"/>
    <x v="1"/>
  </r>
  <r>
    <x v="1995"/>
    <x v="6"/>
    <x v="11"/>
    <n v="117.9"/>
    <n v="1061.1000000000001"/>
    <x v="73"/>
    <d v="2025-03-16T00:00:00"/>
    <x v="2"/>
    <x v="1"/>
    <n v="5"/>
    <x v="0"/>
    <x v="8"/>
    <x v="3"/>
    <x v="10"/>
    <x v="2"/>
  </r>
  <r>
    <x v="1996"/>
    <x v="4"/>
    <x v="8"/>
    <n v="30"/>
    <n v="240"/>
    <x v="73"/>
    <d v="2025-03-16T00:00:00"/>
    <x v="2"/>
    <x v="1"/>
    <n v="4"/>
    <x v="0"/>
    <x v="26"/>
    <x v="3"/>
    <x v="10"/>
    <x v="2"/>
  </r>
  <r>
    <x v="1997"/>
    <x v="14"/>
    <x v="2"/>
    <n v="37.299999999999997"/>
    <n v="111.89999999999999"/>
    <x v="73"/>
    <d v="2025-03-16T00:00:00"/>
    <x v="1"/>
    <x v="2"/>
    <n v="4"/>
    <x v="0"/>
    <x v="9"/>
    <x v="3"/>
    <x v="10"/>
    <x v="1"/>
  </r>
  <r>
    <x v="1998"/>
    <x v="4"/>
    <x v="11"/>
    <n v="25.1"/>
    <n v="225.9"/>
    <x v="73"/>
    <d v="2025-03-17T00:00:00"/>
    <x v="1"/>
    <x v="1"/>
    <n v="5"/>
    <x v="0"/>
    <x v="11"/>
    <x v="1"/>
    <x v="10"/>
    <x v="1"/>
  </r>
  <r>
    <x v="1999"/>
    <x v="8"/>
    <x v="5"/>
    <n v="36"/>
    <n v="396"/>
    <x v="73"/>
    <d v="2025-03-25T00:00:00"/>
    <x v="1"/>
    <x v="1"/>
    <n v="4"/>
    <x v="0"/>
    <x v="18"/>
    <x v="14"/>
    <x v="10"/>
    <x v="1"/>
  </r>
  <r>
    <x v="2000"/>
    <x v="16"/>
    <x v="2"/>
    <n v="48.5"/>
    <n v="145.5"/>
    <x v="73"/>
    <d v="2025-03-19T00:00:00"/>
    <x v="2"/>
    <x v="1"/>
    <n v="4"/>
    <x v="0"/>
    <x v="19"/>
    <x v="5"/>
    <x v="10"/>
    <x v="2"/>
  </r>
  <r>
    <x v="2001"/>
    <x v="17"/>
    <x v="13"/>
    <n v="21.1"/>
    <n v="126.60000000000001"/>
    <x v="73"/>
    <d v="2025-03-16T00:00:00"/>
    <x v="1"/>
    <x v="1"/>
    <n v="5"/>
    <x v="0"/>
    <x v="21"/>
    <x v="3"/>
    <x v="10"/>
    <x v="1"/>
  </r>
  <r>
    <x v="2002"/>
    <x v="15"/>
    <x v="21"/>
    <n v="43.2"/>
    <n v="604.80000000000007"/>
    <x v="73"/>
    <d v="2025-03-16T00:00:00"/>
    <x v="3"/>
    <x v="0"/>
    <n v="3"/>
    <x v="0"/>
    <x v="21"/>
    <x v="3"/>
    <x v="10"/>
    <x v="3"/>
  </r>
  <r>
    <x v="2003"/>
    <x v="9"/>
    <x v="1"/>
    <n v="21.1"/>
    <n v="42.2"/>
    <x v="73"/>
    <d v="2025-03-16T00:00:00"/>
    <x v="0"/>
    <x v="3"/>
    <n v="3"/>
    <x v="0"/>
    <x v="21"/>
    <x v="3"/>
    <x v="10"/>
    <x v="0"/>
  </r>
  <r>
    <x v="2004"/>
    <x v="6"/>
    <x v="12"/>
    <n v="41.3"/>
    <n v="165.2"/>
    <x v="73"/>
    <d v="2025-03-17T00:00:00"/>
    <x v="2"/>
    <x v="3"/>
    <n v="5"/>
    <x v="0"/>
    <x v="1"/>
    <x v="1"/>
    <x v="10"/>
    <x v="2"/>
  </r>
  <r>
    <x v="2005"/>
    <x v="8"/>
    <x v="1"/>
    <n v="15.3"/>
    <n v="30.6"/>
    <x v="73"/>
    <d v="2025-03-18T00:00:00"/>
    <x v="0"/>
    <x v="2"/>
    <n v="5"/>
    <x v="0"/>
    <x v="1"/>
    <x v="2"/>
    <x v="10"/>
    <x v="0"/>
  </r>
  <r>
    <x v="2006"/>
    <x v="1"/>
    <x v="0"/>
    <n v="54.6"/>
    <n v="54.6"/>
    <x v="73"/>
    <d v="2025-03-17T00:00:00"/>
    <x v="1"/>
    <x v="1"/>
    <n v="3"/>
    <x v="0"/>
    <x v="2"/>
    <x v="1"/>
    <x v="10"/>
    <x v="1"/>
  </r>
  <r>
    <x v="2007"/>
    <x v="8"/>
    <x v="0"/>
    <n v="15.9"/>
    <n v="15.9"/>
    <x v="73"/>
    <d v="2025-03-16T00:00:00"/>
    <x v="1"/>
    <x v="0"/>
    <n v="3"/>
    <x v="0"/>
    <x v="22"/>
    <x v="3"/>
    <x v="10"/>
    <x v="1"/>
  </r>
  <r>
    <x v="2008"/>
    <x v="9"/>
    <x v="0"/>
    <n v="50.2"/>
    <n v="50.2"/>
    <x v="73"/>
    <d v="2025-03-17T00:00:00"/>
    <x v="2"/>
    <x v="3"/>
    <n v="5"/>
    <x v="0"/>
    <x v="34"/>
    <x v="1"/>
    <x v="10"/>
    <x v="2"/>
  </r>
  <r>
    <x v="2009"/>
    <x v="11"/>
    <x v="12"/>
    <n v="85.1"/>
    <n v="340.4"/>
    <x v="73"/>
    <d v="2025-03-16T00:00:00"/>
    <x v="2"/>
    <x v="3"/>
    <n v="2"/>
    <x v="0"/>
    <x v="34"/>
    <x v="3"/>
    <x v="10"/>
    <x v="2"/>
  </r>
  <r>
    <x v="2010"/>
    <x v="11"/>
    <x v="1"/>
    <n v="41.4"/>
    <n v="82.8"/>
    <x v="73"/>
    <d v="2025-03-16T00:00:00"/>
    <x v="2"/>
    <x v="0"/>
    <n v="5"/>
    <x v="0"/>
    <x v="3"/>
    <x v="3"/>
    <x v="10"/>
    <x v="2"/>
  </r>
  <r>
    <x v="2011"/>
    <x v="4"/>
    <x v="3"/>
    <n v="32.700000000000003"/>
    <n v="228.90000000000003"/>
    <x v="73"/>
    <d v="2025-03-16T00:00:00"/>
    <x v="2"/>
    <x v="2"/>
    <n v="3"/>
    <x v="0"/>
    <x v="3"/>
    <x v="3"/>
    <x v="10"/>
    <x v="2"/>
  </r>
  <r>
    <x v="2012"/>
    <x v="4"/>
    <x v="1"/>
    <n v="41.6"/>
    <n v="83.2"/>
    <x v="73"/>
    <d v="2025-03-17T00:00:00"/>
    <x v="1"/>
    <x v="4"/>
    <n v="3"/>
    <x v="0"/>
    <x v="3"/>
    <x v="1"/>
    <x v="10"/>
    <x v="1"/>
  </r>
  <r>
    <x v="2013"/>
    <x v="5"/>
    <x v="12"/>
    <n v="64.8"/>
    <n v="259.2"/>
    <x v="73"/>
    <d v="2025-03-16T00:00:00"/>
    <x v="0"/>
    <x v="2"/>
    <n v="4"/>
    <x v="0"/>
    <x v="3"/>
    <x v="3"/>
    <x v="10"/>
    <x v="0"/>
  </r>
  <r>
    <x v="2014"/>
    <x v="15"/>
    <x v="1"/>
    <n v="33.6"/>
    <n v="67.2"/>
    <x v="73"/>
    <d v="2025-03-16T00:00:00"/>
    <x v="1"/>
    <x v="0"/>
    <n v="5"/>
    <x v="0"/>
    <x v="3"/>
    <x v="3"/>
    <x v="10"/>
    <x v="1"/>
  </r>
  <r>
    <x v="2015"/>
    <x v="6"/>
    <x v="2"/>
    <n v="100.7"/>
    <n v="302.10000000000002"/>
    <x v="73"/>
    <d v="2025-03-16T00:00:00"/>
    <x v="0"/>
    <x v="1"/>
    <n v="4"/>
    <x v="0"/>
    <x v="3"/>
    <x v="3"/>
    <x v="10"/>
    <x v="0"/>
  </r>
  <r>
    <x v="2016"/>
    <x v="4"/>
    <x v="1"/>
    <n v="49.3"/>
    <n v="98.6"/>
    <x v="74"/>
    <d v="2025-03-18T00:00:00"/>
    <x v="2"/>
    <x v="4"/>
    <n v="5"/>
    <x v="0"/>
    <x v="3"/>
    <x v="1"/>
    <x v="11"/>
    <x v="2"/>
  </r>
  <r>
    <x v="2017"/>
    <x v="2"/>
    <x v="13"/>
    <n v="97"/>
    <n v="582"/>
    <x v="74"/>
    <d v="2025-03-19T00:00:00"/>
    <x v="1"/>
    <x v="2"/>
    <n v="5"/>
    <x v="0"/>
    <x v="3"/>
    <x v="2"/>
    <x v="11"/>
    <x v="1"/>
  </r>
  <r>
    <x v="2018"/>
    <x v="0"/>
    <x v="13"/>
    <n v="25.2"/>
    <n v="151.19999999999999"/>
    <x v="74"/>
    <d v="2025-03-19T00:00:00"/>
    <x v="2"/>
    <x v="4"/>
    <n v="5"/>
    <x v="0"/>
    <x v="3"/>
    <x v="2"/>
    <x v="11"/>
    <x v="2"/>
  </r>
  <r>
    <x v="2019"/>
    <x v="0"/>
    <x v="5"/>
    <n v="12.2"/>
    <n v="134.19999999999999"/>
    <x v="74"/>
    <d v="2025-03-17T00:00:00"/>
    <x v="0"/>
    <x v="0"/>
    <n v="3"/>
    <x v="0"/>
    <x v="3"/>
    <x v="3"/>
    <x v="11"/>
    <x v="0"/>
  </r>
  <r>
    <x v="2020"/>
    <x v="8"/>
    <x v="3"/>
    <n v="38.799999999999997"/>
    <n v="271.59999999999997"/>
    <x v="74"/>
    <d v="2025-03-18T00:00:00"/>
    <x v="2"/>
    <x v="1"/>
    <n v="3"/>
    <x v="0"/>
    <x v="23"/>
    <x v="1"/>
    <x v="11"/>
    <x v="2"/>
  </r>
  <r>
    <x v="2021"/>
    <x v="2"/>
    <x v="12"/>
    <n v="53.2"/>
    <n v="212.8"/>
    <x v="74"/>
    <d v="2025-03-17T00:00:00"/>
    <x v="1"/>
    <x v="0"/>
    <n v="5"/>
    <x v="0"/>
    <x v="8"/>
    <x v="3"/>
    <x v="11"/>
    <x v="1"/>
  </r>
  <r>
    <x v="2022"/>
    <x v="6"/>
    <x v="3"/>
    <n v="151"/>
    <n v="1057"/>
    <x v="74"/>
    <d v="2025-03-17T00:00:00"/>
    <x v="3"/>
    <x v="1"/>
    <n v="3"/>
    <x v="0"/>
    <x v="8"/>
    <x v="3"/>
    <x v="11"/>
    <x v="3"/>
  </r>
  <r>
    <x v="2023"/>
    <x v="1"/>
    <x v="1"/>
    <n v="37.1"/>
    <n v="74.2"/>
    <x v="74"/>
    <d v="2025-03-17T00:00:00"/>
    <x v="2"/>
    <x v="4"/>
    <n v="4"/>
    <x v="0"/>
    <x v="8"/>
    <x v="3"/>
    <x v="11"/>
    <x v="2"/>
  </r>
  <r>
    <x v="2024"/>
    <x v="5"/>
    <x v="1"/>
    <n v="38.9"/>
    <n v="77.8"/>
    <x v="74"/>
    <d v="2025-03-17T00:00:00"/>
    <x v="1"/>
    <x v="4"/>
    <n v="4"/>
    <x v="0"/>
    <x v="8"/>
    <x v="3"/>
    <x v="11"/>
    <x v="1"/>
  </r>
  <r>
    <x v="2025"/>
    <x v="10"/>
    <x v="1"/>
    <n v="35.200000000000003"/>
    <n v="70.400000000000006"/>
    <x v="74"/>
    <d v="2025-03-17T00:00:00"/>
    <x v="1"/>
    <x v="0"/>
    <n v="5"/>
    <x v="0"/>
    <x v="17"/>
    <x v="3"/>
    <x v="11"/>
    <x v="1"/>
  </r>
  <r>
    <x v="2026"/>
    <x v="0"/>
    <x v="1"/>
    <n v="22.3"/>
    <n v="44.6"/>
    <x v="74"/>
    <d v="2025-03-18T00:00:00"/>
    <x v="2"/>
    <x v="1"/>
    <n v="4"/>
    <x v="0"/>
    <x v="9"/>
    <x v="1"/>
    <x v="11"/>
    <x v="2"/>
  </r>
  <r>
    <x v="2027"/>
    <x v="9"/>
    <x v="0"/>
    <n v="43.3"/>
    <n v="43.3"/>
    <x v="74"/>
    <d v="2025-03-19T00:00:00"/>
    <x v="2"/>
    <x v="0"/>
    <n v="5"/>
    <x v="0"/>
    <x v="11"/>
    <x v="2"/>
    <x v="11"/>
    <x v="2"/>
  </r>
  <r>
    <x v="2028"/>
    <x v="6"/>
    <x v="13"/>
    <n v="75.900000000000006"/>
    <n v="455.40000000000003"/>
    <x v="74"/>
    <d v="2025-03-22T00:00:00"/>
    <x v="1"/>
    <x v="0"/>
    <n v="4"/>
    <x v="0"/>
    <x v="11"/>
    <x v="4"/>
    <x v="11"/>
    <x v="1"/>
  </r>
  <r>
    <x v="2029"/>
    <x v="6"/>
    <x v="2"/>
    <n v="78.7"/>
    <n v="236.10000000000002"/>
    <x v="74"/>
    <d v="2025-03-20T00:00:00"/>
    <x v="2"/>
    <x v="2"/>
    <n v="3"/>
    <x v="0"/>
    <x v="11"/>
    <x v="5"/>
    <x v="11"/>
    <x v="2"/>
  </r>
  <r>
    <x v="2030"/>
    <x v="1"/>
    <x v="0"/>
    <n v="66.3"/>
    <n v="66.3"/>
    <x v="74"/>
    <d v="2025-03-20T00:00:00"/>
    <x v="2"/>
    <x v="0"/>
    <n v="5"/>
    <x v="0"/>
    <x v="19"/>
    <x v="5"/>
    <x v="11"/>
    <x v="2"/>
  </r>
  <r>
    <x v="2031"/>
    <x v="8"/>
    <x v="1"/>
    <n v="33.6"/>
    <n v="67.2"/>
    <x v="74"/>
    <d v="2025-03-16T00:00:00"/>
    <x v="1"/>
    <x v="0"/>
    <n v="3"/>
    <x v="0"/>
    <x v="19"/>
    <x v="7"/>
    <x v="11"/>
    <x v="1"/>
  </r>
  <r>
    <x v="2032"/>
    <x v="2"/>
    <x v="3"/>
    <n v="61.4"/>
    <n v="429.8"/>
    <x v="74"/>
    <d v="2025-03-17T00:00:00"/>
    <x v="1"/>
    <x v="4"/>
    <n v="4"/>
    <x v="0"/>
    <x v="19"/>
    <x v="3"/>
    <x v="11"/>
    <x v="1"/>
  </r>
  <r>
    <x v="2033"/>
    <x v="8"/>
    <x v="1"/>
    <n v="17.5"/>
    <n v="35"/>
    <x v="74"/>
    <d v="2025-03-19T00:00:00"/>
    <x v="2"/>
    <x v="0"/>
    <n v="4"/>
    <x v="0"/>
    <x v="21"/>
    <x v="2"/>
    <x v="11"/>
    <x v="2"/>
  </r>
  <r>
    <x v="2034"/>
    <x v="8"/>
    <x v="1"/>
    <n v="32.5"/>
    <n v="65"/>
    <x v="74"/>
    <d v="2025-03-19T00:00:00"/>
    <x v="2"/>
    <x v="1"/>
    <n v="4"/>
    <x v="0"/>
    <x v="21"/>
    <x v="2"/>
    <x v="11"/>
    <x v="2"/>
  </r>
  <r>
    <x v="2035"/>
    <x v="4"/>
    <x v="0"/>
    <n v="34.6"/>
    <n v="34.6"/>
    <x v="74"/>
    <d v="2025-03-17T00:00:00"/>
    <x v="2"/>
    <x v="4"/>
    <n v="4"/>
    <x v="0"/>
    <x v="21"/>
    <x v="3"/>
    <x v="11"/>
    <x v="2"/>
  </r>
  <r>
    <x v="2036"/>
    <x v="2"/>
    <x v="0"/>
    <n v="75.900000000000006"/>
    <n v="75.900000000000006"/>
    <x v="74"/>
    <d v="2025-03-16T00:00:00"/>
    <x v="1"/>
    <x v="1"/>
    <n v="5"/>
    <x v="0"/>
    <x v="21"/>
    <x v="7"/>
    <x v="11"/>
    <x v="1"/>
  </r>
  <r>
    <x v="2037"/>
    <x v="1"/>
    <x v="2"/>
    <n v="42.1"/>
    <n v="126.30000000000001"/>
    <x v="74"/>
    <d v="2025-03-19T00:00:00"/>
    <x v="1"/>
    <x v="1"/>
    <n v="3"/>
    <x v="0"/>
    <x v="21"/>
    <x v="2"/>
    <x v="11"/>
    <x v="1"/>
  </r>
  <r>
    <x v="2038"/>
    <x v="7"/>
    <x v="2"/>
    <n v="65.3"/>
    <n v="195.89999999999998"/>
    <x v="74"/>
    <d v="2025-03-23T00:00:00"/>
    <x v="1"/>
    <x v="0"/>
    <n v="4"/>
    <x v="0"/>
    <x v="1"/>
    <x v="6"/>
    <x v="11"/>
    <x v="1"/>
  </r>
  <r>
    <x v="2039"/>
    <x v="15"/>
    <x v="0"/>
    <n v="20.6"/>
    <n v="20.6"/>
    <x v="74"/>
    <d v="2025-03-19T00:00:00"/>
    <x v="1"/>
    <x v="3"/>
    <n v="4"/>
    <x v="0"/>
    <x v="42"/>
    <x v="2"/>
    <x v="11"/>
    <x v="1"/>
  </r>
  <r>
    <x v="2040"/>
    <x v="8"/>
    <x v="3"/>
    <n v="16.5"/>
    <n v="115.5"/>
    <x v="74"/>
    <d v="2025-03-17T00:00:00"/>
    <x v="1"/>
    <x v="1"/>
    <n v="3"/>
    <x v="0"/>
    <x v="2"/>
    <x v="3"/>
    <x v="11"/>
    <x v="1"/>
  </r>
  <r>
    <x v="2041"/>
    <x v="16"/>
    <x v="7"/>
    <n v="36.200000000000003"/>
    <n v="362"/>
    <x v="74"/>
    <d v="2025-03-18T00:00:00"/>
    <x v="1"/>
    <x v="0"/>
    <n v="5"/>
    <x v="0"/>
    <x v="2"/>
    <x v="1"/>
    <x v="11"/>
    <x v="1"/>
  </r>
  <r>
    <x v="2042"/>
    <x v="6"/>
    <x v="0"/>
    <n v="53.2"/>
    <n v="53.2"/>
    <x v="74"/>
    <d v="2025-03-17T00:00:00"/>
    <x v="2"/>
    <x v="0"/>
    <n v="3"/>
    <x v="0"/>
    <x v="22"/>
    <x v="3"/>
    <x v="11"/>
    <x v="2"/>
  </r>
  <r>
    <x v="2043"/>
    <x v="2"/>
    <x v="21"/>
    <n v="176"/>
    <n v="2464"/>
    <x v="74"/>
    <d v="2025-03-17T00:00:00"/>
    <x v="2"/>
    <x v="0"/>
    <n v="3"/>
    <x v="0"/>
    <x v="3"/>
    <x v="3"/>
    <x v="11"/>
    <x v="2"/>
  </r>
  <r>
    <x v="2044"/>
    <x v="1"/>
    <x v="0"/>
    <n v="52.4"/>
    <n v="52.4"/>
    <x v="74"/>
    <d v="2025-03-17T00:00:00"/>
    <x v="1"/>
    <x v="1"/>
    <n v="4"/>
    <x v="0"/>
    <x v="3"/>
    <x v="3"/>
    <x v="11"/>
    <x v="1"/>
  </r>
  <r>
    <x v="2045"/>
    <x v="10"/>
    <x v="2"/>
    <n v="48.2"/>
    <n v="144.60000000000002"/>
    <x v="74"/>
    <d v="2025-03-17T00:00:00"/>
    <x v="2"/>
    <x v="1"/>
    <n v="5"/>
    <x v="0"/>
    <x v="3"/>
    <x v="3"/>
    <x v="11"/>
    <x v="2"/>
  </r>
  <r>
    <x v="2046"/>
    <x v="15"/>
    <x v="0"/>
    <n v="51.6"/>
    <n v="51.6"/>
    <x v="74"/>
    <d v="2025-03-20T00:00:00"/>
    <x v="2"/>
    <x v="2"/>
    <n v="3"/>
    <x v="0"/>
    <x v="3"/>
    <x v="5"/>
    <x v="11"/>
    <x v="2"/>
  </r>
  <r>
    <x v="2047"/>
    <x v="0"/>
    <x v="12"/>
    <n v="33.700000000000003"/>
    <n v="134.80000000000001"/>
    <x v="75"/>
    <d v="2025-03-18T00:00:00"/>
    <x v="1"/>
    <x v="0"/>
    <n v="4"/>
    <x v="0"/>
    <x v="3"/>
    <x v="3"/>
    <x v="11"/>
    <x v="1"/>
  </r>
  <r>
    <x v="2048"/>
    <x v="4"/>
    <x v="7"/>
    <n v="36.299999999999997"/>
    <n v="363"/>
    <x v="75"/>
    <d v="2025-03-19T00:00:00"/>
    <x v="2"/>
    <x v="4"/>
    <n v="3"/>
    <x v="0"/>
    <x v="3"/>
    <x v="1"/>
    <x v="11"/>
    <x v="2"/>
  </r>
  <r>
    <x v="2049"/>
    <x v="8"/>
    <x v="0"/>
    <n v="23.4"/>
    <n v="23.4"/>
    <x v="75"/>
    <d v="2025-03-22T00:00:00"/>
    <x v="2"/>
    <x v="1"/>
    <n v="5"/>
    <x v="0"/>
    <x v="3"/>
    <x v="0"/>
    <x v="11"/>
    <x v="2"/>
  </r>
  <r>
    <x v="2050"/>
    <x v="15"/>
    <x v="8"/>
    <n v="56.6"/>
    <n v="452.8"/>
    <x v="75"/>
    <d v="2025-03-19T00:00:00"/>
    <x v="2"/>
    <x v="1"/>
    <n v="4"/>
    <x v="0"/>
    <x v="3"/>
    <x v="1"/>
    <x v="11"/>
    <x v="2"/>
  </r>
  <r>
    <x v="2051"/>
    <x v="15"/>
    <x v="1"/>
    <n v="26.8"/>
    <n v="53.6"/>
    <x v="75"/>
    <d v="2025-03-18T00:00:00"/>
    <x v="1"/>
    <x v="0"/>
    <n v="4"/>
    <x v="0"/>
    <x v="4"/>
    <x v="3"/>
    <x v="11"/>
    <x v="1"/>
  </r>
  <r>
    <x v="2052"/>
    <x v="0"/>
    <x v="2"/>
    <n v="11.3"/>
    <n v="33.900000000000006"/>
    <x v="75"/>
    <d v="2025-03-19T00:00:00"/>
    <x v="1"/>
    <x v="2"/>
    <n v="4"/>
    <x v="0"/>
    <x v="25"/>
    <x v="1"/>
    <x v="11"/>
    <x v="1"/>
  </r>
  <r>
    <x v="2053"/>
    <x v="6"/>
    <x v="2"/>
    <n v="60.1"/>
    <n v="180.3"/>
    <x v="75"/>
    <d v="2025-03-20T00:00:00"/>
    <x v="2"/>
    <x v="0"/>
    <n v="4"/>
    <x v="0"/>
    <x v="7"/>
    <x v="2"/>
    <x v="11"/>
    <x v="2"/>
  </r>
  <r>
    <x v="2054"/>
    <x v="0"/>
    <x v="5"/>
    <n v="27.7"/>
    <n v="304.7"/>
    <x v="75"/>
    <d v="2025-03-22T00:00:00"/>
    <x v="2"/>
    <x v="0"/>
    <n v="4"/>
    <x v="0"/>
    <x v="8"/>
    <x v="0"/>
    <x v="11"/>
    <x v="2"/>
  </r>
  <r>
    <x v="2055"/>
    <x v="15"/>
    <x v="0"/>
    <n v="71.400000000000006"/>
    <n v="71.400000000000006"/>
    <x v="75"/>
    <d v="2025-03-20T00:00:00"/>
    <x v="1"/>
    <x v="0"/>
    <n v="5"/>
    <x v="0"/>
    <x v="8"/>
    <x v="2"/>
    <x v="11"/>
    <x v="1"/>
  </r>
  <r>
    <x v="2056"/>
    <x v="2"/>
    <x v="1"/>
    <n v="66.7"/>
    <n v="133.4"/>
    <x v="75"/>
    <d v="2025-03-18T00:00:00"/>
    <x v="2"/>
    <x v="0"/>
    <n v="5"/>
    <x v="0"/>
    <x v="8"/>
    <x v="3"/>
    <x v="11"/>
    <x v="2"/>
  </r>
  <r>
    <x v="2057"/>
    <x v="13"/>
    <x v="9"/>
    <n v="39.1"/>
    <n v="195.5"/>
    <x v="75"/>
    <d v="2025-03-18T00:00:00"/>
    <x v="2"/>
    <x v="0"/>
    <n v="4"/>
    <x v="0"/>
    <x v="8"/>
    <x v="3"/>
    <x v="11"/>
    <x v="2"/>
  </r>
  <r>
    <x v="2058"/>
    <x v="8"/>
    <x v="12"/>
    <n v="24.9"/>
    <n v="99.6"/>
    <x v="75"/>
    <d v="2025-03-22T00:00:00"/>
    <x v="1"/>
    <x v="1"/>
    <n v="5"/>
    <x v="0"/>
    <x v="8"/>
    <x v="0"/>
    <x v="11"/>
    <x v="1"/>
  </r>
  <r>
    <x v="2059"/>
    <x v="5"/>
    <x v="9"/>
    <n v="29.2"/>
    <n v="146"/>
    <x v="75"/>
    <d v="2025-03-18T00:00:00"/>
    <x v="1"/>
    <x v="0"/>
    <n v="5"/>
    <x v="0"/>
    <x v="17"/>
    <x v="3"/>
    <x v="11"/>
    <x v="1"/>
  </r>
  <r>
    <x v="2060"/>
    <x v="13"/>
    <x v="21"/>
    <n v="28.3"/>
    <n v="396.2"/>
    <x v="75"/>
    <d v="2025-03-19T00:00:00"/>
    <x v="2"/>
    <x v="1"/>
    <n v="4"/>
    <x v="0"/>
    <x v="11"/>
    <x v="1"/>
    <x v="11"/>
    <x v="2"/>
  </r>
  <r>
    <x v="2061"/>
    <x v="9"/>
    <x v="2"/>
    <n v="37.799999999999997"/>
    <n v="113.39999999999999"/>
    <x v="75"/>
    <d v="2025-03-18T00:00:00"/>
    <x v="2"/>
    <x v="0"/>
    <n v="3"/>
    <x v="0"/>
    <x v="11"/>
    <x v="3"/>
    <x v="11"/>
    <x v="2"/>
  </r>
  <r>
    <x v="2062"/>
    <x v="14"/>
    <x v="3"/>
    <n v="28.1"/>
    <n v="196.70000000000002"/>
    <x v="75"/>
    <d v="2025-03-23T00:00:00"/>
    <x v="2"/>
    <x v="2"/>
    <n v="4"/>
    <x v="0"/>
    <x v="11"/>
    <x v="4"/>
    <x v="11"/>
    <x v="2"/>
  </r>
  <r>
    <x v="2063"/>
    <x v="1"/>
    <x v="2"/>
    <n v="59.7"/>
    <n v="179.10000000000002"/>
    <x v="75"/>
    <d v="2025-03-19T00:00:00"/>
    <x v="2"/>
    <x v="2"/>
    <n v="4"/>
    <x v="0"/>
    <x v="11"/>
    <x v="1"/>
    <x v="11"/>
    <x v="2"/>
  </r>
  <r>
    <x v="2064"/>
    <x v="16"/>
    <x v="0"/>
    <n v="71.900000000000006"/>
    <n v="71.900000000000006"/>
    <x v="75"/>
    <d v="2025-03-18T00:00:00"/>
    <x v="1"/>
    <x v="1"/>
    <n v="3"/>
    <x v="0"/>
    <x v="11"/>
    <x v="3"/>
    <x v="11"/>
    <x v="1"/>
  </r>
  <r>
    <x v="2065"/>
    <x v="1"/>
    <x v="1"/>
    <n v="56.9"/>
    <n v="113.8"/>
    <x v="75"/>
    <d v="2025-03-18T00:00:00"/>
    <x v="1"/>
    <x v="2"/>
    <n v="4"/>
    <x v="0"/>
    <x v="13"/>
    <x v="3"/>
    <x v="11"/>
    <x v="1"/>
  </r>
  <r>
    <x v="2066"/>
    <x v="8"/>
    <x v="1"/>
    <n v="15.8"/>
    <n v="31.6"/>
    <x v="75"/>
    <d v="2025-03-20T00:00:00"/>
    <x v="2"/>
    <x v="2"/>
    <n v="3"/>
    <x v="0"/>
    <x v="1"/>
    <x v="2"/>
    <x v="11"/>
    <x v="2"/>
  </r>
  <r>
    <x v="2067"/>
    <x v="11"/>
    <x v="12"/>
    <n v="61.7"/>
    <n v="246.8"/>
    <x v="75"/>
    <d v="2025-03-19T00:00:00"/>
    <x v="2"/>
    <x v="2"/>
    <n v="4"/>
    <x v="0"/>
    <x v="22"/>
    <x v="1"/>
    <x v="11"/>
    <x v="2"/>
  </r>
  <r>
    <x v="2068"/>
    <x v="2"/>
    <x v="7"/>
    <n v="105.2"/>
    <n v="1052"/>
    <x v="75"/>
    <d v="2025-03-19T00:00:00"/>
    <x v="1"/>
    <x v="1"/>
    <n v="2"/>
    <x v="0"/>
    <x v="3"/>
    <x v="1"/>
    <x v="11"/>
    <x v="1"/>
  </r>
  <r>
    <x v="2069"/>
    <x v="0"/>
    <x v="1"/>
    <n v="17"/>
    <n v="34"/>
    <x v="75"/>
    <d v="2025-03-19T00:00:00"/>
    <x v="2"/>
    <x v="2"/>
    <n v="4"/>
    <x v="0"/>
    <x v="3"/>
    <x v="1"/>
    <x v="11"/>
    <x v="2"/>
  </r>
  <r>
    <x v="2070"/>
    <x v="6"/>
    <x v="2"/>
    <n v="84.1"/>
    <n v="252.29999999999998"/>
    <x v="75"/>
    <d v="2025-03-18T00:00:00"/>
    <x v="1"/>
    <x v="2"/>
    <n v="4"/>
    <x v="0"/>
    <x v="3"/>
    <x v="3"/>
    <x v="11"/>
    <x v="1"/>
  </r>
  <r>
    <x v="2071"/>
    <x v="3"/>
    <x v="12"/>
    <n v="59.5"/>
    <n v="238"/>
    <x v="75"/>
    <d v="2025-03-22T00:00:00"/>
    <x v="1"/>
    <x v="0"/>
    <n v="5"/>
    <x v="0"/>
    <x v="3"/>
    <x v="0"/>
    <x v="11"/>
    <x v="1"/>
  </r>
  <r>
    <x v="2072"/>
    <x v="8"/>
    <x v="1"/>
    <n v="57.5"/>
    <n v="115"/>
    <x v="75"/>
    <d v="2025-03-19T00:00:00"/>
    <x v="1"/>
    <x v="1"/>
    <n v="5"/>
    <x v="0"/>
    <x v="3"/>
    <x v="1"/>
    <x v="11"/>
    <x v="1"/>
  </r>
  <r>
    <x v="2073"/>
    <x v="8"/>
    <x v="0"/>
    <n v="34.299999999999997"/>
    <n v="34.299999999999997"/>
    <x v="75"/>
    <d v="2025-03-18T00:00:00"/>
    <x v="2"/>
    <x v="4"/>
    <n v="5"/>
    <x v="0"/>
    <x v="3"/>
    <x v="3"/>
    <x v="11"/>
    <x v="2"/>
  </r>
  <r>
    <x v="2074"/>
    <x v="5"/>
    <x v="1"/>
    <n v="27.8"/>
    <n v="55.6"/>
    <x v="76"/>
    <d v="2025-03-20T00:00:00"/>
    <x v="2"/>
    <x v="0"/>
    <n v="4"/>
    <x v="0"/>
    <x v="3"/>
    <x v="1"/>
    <x v="11"/>
    <x v="2"/>
  </r>
  <r>
    <x v="2075"/>
    <x v="12"/>
    <x v="1"/>
    <n v="85"/>
    <n v="170"/>
    <x v="76"/>
    <d v="2025-03-18T00:00:00"/>
    <x v="1"/>
    <x v="2"/>
    <n v="5"/>
    <x v="0"/>
    <x v="3"/>
    <x v="7"/>
    <x v="11"/>
    <x v="1"/>
  </r>
  <r>
    <x v="2076"/>
    <x v="6"/>
    <x v="1"/>
    <n v="95"/>
    <n v="190"/>
    <x v="76"/>
    <d v="2025-03-20T00:00:00"/>
    <x v="2"/>
    <x v="0"/>
    <n v="4"/>
    <x v="0"/>
    <x v="3"/>
    <x v="1"/>
    <x v="11"/>
    <x v="2"/>
  </r>
  <r>
    <x v="2077"/>
    <x v="16"/>
    <x v="1"/>
    <n v="32"/>
    <n v="64"/>
    <x v="76"/>
    <d v="2025-03-20T00:00:00"/>
    <x v="1"/>
    <x v="0"/>
    <n v="3"/>
    <x v="0"/>
    <x v="3"/>
    <x v="1"/>
    <x v="11"/>
    <x v="1"/>
  </r>
  <r>
    <x v="2078"/>
    <x v="2"/>
    <x v="1"/>
    <n v="65.2"/>
    <n v="130.4"/>
    <x v="76"/>
    <d v="2025-03-19T00:00:00"/>
    <x v="2"/>
    <x v="1"/>
    <n v="4"/>
    <x v="0"/>
    <x v="3"/>
    <x v="3"/>
    <x v="11"/>
    <x v="2"/>
  </r>
  <r>
    <x v="2079"/>
    <x v="17"/>
    <x v="12"/>
    <n v="22"/>
    <n v="88"/>
    <x v="76"/>
    <d v="2025-03-19T00:00:00"/>
    <x v="1"/>
    <x v="1"/>
    <n v="5"/>
    <x v="0"/>
    <x v="3"/>
    <x v="3"/>
    <x v="11"/>
    <x v="1"/>
  </r>
  <r>
    <x v="2080"/>
    <x v="15"/>
    <x v="2"/>
    <n v="69.400000000000006"/>
    <n v="208.20000000000002"/>
    <x v="76"/>
    <d v="2025-03-21T00:00:00"/>
    <x v="1"/>
    <x v="1"/>
    <n v="5"/>
    <x v="0"/>
    <x v="3"/>
    <x v="2"/>
    <x v="11"/>
    <x v="1"/>
  </r>
  <r>
    <x v="2081"/>
    <x v="10"/>
    <x v="13"/>
    <n v="31.5"/>
    <n v="189"/>
    <x v="76"/>
    <d v="2025-03-20T00:00:00"/>
    <x v="2"/>
    <x v="0"/>
    <n v="5"/>
    <x v="0"/>
    <x v="3"/>
    <x v="1"/>
    <x v="11"/>
    <x v="2"/>
  </r>
  <r>
    <x v="2082"/>
    <x v="6"/>
    <x v="0"/>
    <n v="45.8"/>
    <n v="45.8"/>
    <x v="76"/>
    <d v="2025-03-22T00:00:00"/>
    <x v="3"/>
    <x v="0"/>
    <n v="4"/>
    <x v="0"/>
    <x v="3"/>
    <x v="5"/>
    <x v="11"/>
    <x v="3"/>
  </r>
  <r>
    <x v="2083"/>
    <x v="19"/>
    <x v="12"/>
    <n v="12.8"/>
    <n v="51.2"/>
    <x v="76"/>
    <d v="2025-03-25T00:00:00"/>
    <x v="2"/>
    <x v="1"/>
    <n v="3"/>
    <x v="0"/>
    <x v="5"/>
    <x v="6"/>
    <x v="11"/>
    <x v="2"/>
  </r>
  <r>
    <x v="2084"/>
    <x v="5"/>
    <x v="2"/>
    <n v="115.3"/>
    <n v="345.9"/>
    <x v="76"/>
    <d v="2025-03-19T00:00:00"/>
    <x v="2"/>
    <x v="2"/>
    <n v="5"/>
    <x v="0"/>
    <x v="6"/>
    <x v="3"/>
    <x v="11"/>
    <x v="2"/>
  </r>
  <r>
    <x v="2085"/>
    <x v="5"/>
    <x v="1"/>
    <n v="85"/>
    <n v="170"/>
    <x v="76"/>
    <d v="2025-03-20T00:00:00"/>
    <x v="2"/>
    <x v="1"/>
    <n v="4"/>
    <x v="0"/>
    <x v="7"/>
    <x v="1"/>
    <x v="11"/>
    <x v="2"/>
  </r>
  <r>
    <x v="2086"/>
    <x v="8"/>
    <x v="2"/>
    <n v="56.6"/>
    <n v="169.8"/>
    <x v="76"/>
    <d v="2025-03-19T00:00:00"/>
    <x v="2"/>
    <x v="1"/>
    <n v="5"/>
    <x v="0"/>
    <x v="7"/>
    <x v="3"/>
    <x v="11"/>
    <x v="2"/>
  </r>
  <r>
    <x v="2087"/>
    <x v="15"/>
    <x v="6"/>
    <n v="46.3"/>
    <n v="1250.0999999999999"/>
    <x v="76"/>
    <d v="2025-03-21T00:00:00"/>
    <x v="1"/>
    <x v="0"/>
    <n v="4"/>
    <x v="0"/>
    <x v="7"/>
    <x v="2"/>
    <x v="11"/>
    <x v="1"/>
  </r>
  <r>
    <x v="2088"/>
    <x v="14"/>
    <x v="12"/>
    <n v="23"/>
    <n v="92"/>
    <x v="76"/>
    <d v="2025-03-22T00:00:00"/>
    <x v="1"/>
    <x v="3"/>
    <n v="5"/>
    <x v="0"/>
    <x v="7"/>
    <x v="5"/>
    <x v="11"/>
    <x v="1"/>
  </r>
  <r>
    <x v="2089"/>
    <x v="8"/>
    <x v="13"/>
    <n v="42.1"/>
    <n v="252.60000000000002"/>
    <x v="76"/>
    <d v="2025-03-20T00:00:00"/>
    <x v="1"/>
    <x v="4"/>
    <n v="4"/>
    <x v="0"/>
    <x v="8"/>
    <x v="1"/>
    <x v="11"/>
    <x v="1"/>
  </r>
  <r>
    <x v="2090"/>
    <x v="5"/>
    <x v="3"/>
    <n v="57.4"/>
    <n v="401.8"/>
    <x v="76"/>
    <d v="2025-03-22T00:00:00"/>
    <x v="2"/>
    <x v="1"/>
    <n v="2"/>
    <x v="0"/>
    <x v="8"/>
    <x v="5"/>
    <x v="11"/>
    <x v="2"/>
  </r>
  <r>
    <x v="2091"/>
    <x v="0"/>
    <x v="13"/>
    <n v="13.2"/>
    <n v="79.199999999999989"/>
    <x v="76"/>
    <d v="2025-03-22T00:00:00"/>
    <x v="1"/>
    <x v="2"/>
    <n v="4"/>
    <x v="0"/>
    <x v="8"/>
    <x v="5"/>
    <x v="11"/>
    <x v="1"/>
  </r>
  <r>
    <x v="2092"/>
    <x v="6"/>
    <x v="2"/>
    <n v="52.3"/>
    <n v="156.89999999999998"/>
    <x v="76"/>
    <d v="2025-03-19T00:00:00"/>
    <x v="1"/>
    <x v="1"/>
    <n v="4"/>
    <x v="0"/>
    <x v="8"/>
    <x v="3"/>
    <x v="11"/>
    <x v="1"/>
  </r>
  <r>
    <x v="2093"/>
    <x v="8"/>
    <x v="1"/>
    <n v="15.7"/>
    <n v="31.4"/>
    <x v="76"/>
    <d v="2025-03-21T00:00:00"/>
    <x v="1"/>
    <x v="1"/>
    <n v="5"/>
    <x v="0"/>
    <x v="8"/>
    <x v="2"/>
    <x v="11"/>
    <x v="1"/>
  </r>
  <r>
    <x v="2094"/>
    <x v="7"/>
    <x v="2"/>
    <n v="35"/>
    <n v="105"/>
    <x v="76"/>
    <d v="2025-03-21T00:00:00"/>
    <x v="2"/>
    <x v="1"/>
    <n v="5"/>
    <x v="0"/>
    <x v="9"/>
    <x v="2"/>
    <x v="11"/>
    <x v="2"/>
  </r>
  <r>
    <x v="2095"/>
    <x v="4"/>
    <x v="2"/>
    <n v="26.6"/>
    <n v="79.800000000000011"/>
    <x v="76"/>
    <d v="2025-03-18T00:00:00"/>
    <x v="1"/>
    <x v="1"/>
    <n v="5"/>
    <x v="0"/>
    <x v="11"/>
    <x v="7"/>
    <x v="11"/>
    <x v="1"/>
  </r>
  <r>
    <x v="2096"/>
    <x v="4"/>
    <x v="8"/>
    <n v="47.9"/>
    <n v="383.2"/>
    <x v="77"/>
    <d v="2025-03-20T00:00:00"/>
    <x v="2"/>
    <x v="3"/>
    <n v="5"/>
    <x v="0"/>
    <x v="20"/>
    <x v="3"/>
    <x v="11"/>
    <x v="2"/>
  </r>
  <r>
    <x v="2097"/>
    <x v="5"/>
    <x v="0"/>
    <n v="80.099999999999994"/>
    <n v="80.099999999999994"/>
    <x v="77"/>
    <d v="2025-03-20T00:00:00"/>
    <x v="1"/>
    <x v="2"/>
    <n v="4"/>
    <x v="0"/>
    <x v="21"/>
    <x v="3"/>
    <x v="11"/>
    <x v="1"/>
  </r>
  <r>
    <x v="2098"/>
    <x v="6"/>
    <x v="9"/>
    <n v="50.4"/>
    <n v="252"/>
    <x v="77"/>
    <d v="2025-03-20T00:00:00"/>
    <x v="1"/>
    <x v="1"/>
    <n v="5"/>
    <x v="0"/>
    <x v="21"/>
    <x v="3"/>
    <x v="11"/>
    <x v="1"/>
  </r>
  <r>
    <x v="2099"/>
    <x v="10"/>
    <x v="3"/>
    <n v="43.3"/>
    <n v="303.09999999999997"/>
    <x v="77"/>
    <d v="2025-03-20T00:00:00"/>
    <x v="1"/>
    <x v="2"/>
    <n v="4"/>
    <x v="0"/>
    <x v="21"/>
    <x v="3"/>
    <x v="11"/>
    <x v="1"/>
  </r>
  <r>
    <x v="2100"/>
    <x v="10"/>
    <x v="12"/>
    <n v="57.5"/>
    <n v="230"/>
    <x v="77"/>
    <d v="2025-03-20T00:00:00"/>
    <x v="2"/>
    <x v="1"/>
    <n v="5"/>
    <x v="0"/>
    <x v="1"/>
    <x v="3"/>
    <x v="11"/>
    <x v="2"/>
  </r>
  <r>
    <x v="2101"/>
    <x v="9"/>
    <x v="15"/>
    <n v="24.8"/>
    <n v="322.40000000000003"/>
    <x v="77"/>
    <d v="2025-03-20T00:00:00"/>
    <x v="1"/>
    <x v="0"/>
    <n v="4"/>
    <x v="0"/>
    <x v="57"/>
    <x v="3"/>
    <x v="11"/>
    <x v="1"/>
  </r>
  <r>
    <x v="2102"/>
    <x v="2"/>
    <x v="11"/>
    <n v="85.7"/>
    <n v="771.30000000000007"/>
    <x v="77"/>
    <d v="2025-03-20T00:00:00"/>
    <x v="2"/>
    <x v="0"/>
    <n v="4"/>
    <x v="0"/>
    <x v="42"/>
    <x v="3"/>
    <x v="11"/>
    <x v="2"/>
  </r>
  <r>
    <x v="2103"/>
    <x v="7"/>
    <x v="0"/>
    <n v="47.1"/>
    <n v="47.1"/>
    <x v="77"/>
    <d v="2025-03-21T00:00:00"/>
    <x v="2"/>
    <x v="0"/>
    <n v="4"/>
    <x v="0"/>
    <x v="2"/>
    <x v="1"/>
    <x v="11"/>
    <x v="2"/>
  </r>
  <r>
    <x v="2104"/>
    <x v="5"/>
    <x v="7"/>
    <n v="83.2"/>
    <n v="832"/>
    <x v="77"/>
    <d v="2025-03-23T00:00:00"/>
    <x v="2"/>
    <x v="0"/>
    <n v="4"/>
    <x v="0"/>
    <x v="33"/>
    <x v="5"/>
    <x v="11"/>
    <x v="2"/>
  </r>
  <r>
    <x v="2105"/>
    <x v="2"/>
    <x v="2"/>
    <n v="157"/>
    <n v="471"/>
    <x v="77"/>
    <d v="2025-03-21T00:00:00"/>
    <x v="2"/>
    <x v="0"/>
    <n v="5"/>
    <x v="0"/>
    <x v="22"/>
    <x v="1"/>
    <x v="11"/>
    <x v="2"/>
  </r>
  <r>
    <x v="2106"/>
    <x v="16"/>
    <x v="12"/>
    <n v="33.700000000000003"/>
    <n v="134.80000000000001"/>
    <x v="77"/>
    <d v="2025-03-20T00:00:00"/>
    <x v="1"/>
    <x v="2"/>
    <n v="5"/>
    <x v="0"/>
    <x v="22"/>
    <x v="3"/>
    <x v="11"/>
    <x v="1"/>
  </r>
  <r>
    <x v="2107"/>
    <x v="2"/>
    <x v="2"/>
    <n v="60.8"/>
    <n v="182.39999999999998"/>
    <x v="77"/>
    <d v="2025-03-23T00:00:00"/>
    <x v="2"/>
    <x v="1"/>
    <n v="3"/>
    <x v="0"/>
    <x v="3"/>
    <x v="5"/>
    <x v="11"/>
    <x v="2"/>
  </r>
  <r>
    <x v="2108"/>
    <x v="7"/>
    <x v="0"/>
    <n v="57.6"/>
    <n v="57.6"/>
    <x v="77"/>
    <d v="2025-03-20T00:00:00"/>
    <x v="1"/>
    <x v="1"/>
    <n v="2"/>
    <x v="0"/>
    <x v="3"/>
    <x v="3"/>
    <x v="11"/>
    <x v="1"/>
  </r>
  <r>
    <x v="2109"/>
    <x v="10"/>
    <x v="0"/>
    <n v="32"/>
    <n v="32"/>
    <x v="77"/>
    <d v="2025-03-21T00:00:00"/>
    <x v="1"/>
    <x v="0"/>
    <n v="4"/>
    <x v="0"/>
    <x v="3"/>
    <x v="1"/>
    <x v="11"/>
    <x v="1"/>
  </r>
  <r>
    <x v="2110"/>
    <x v="10"/>
    <x v="12"/>
    <n v="23.5"/>
    <n v="94"/>
    <x v="77"/>
    <d v="2025-03-20T00:00:00"/>
    <x v="2"/>
    <x v="0"/>
    <n v="5"/>
    <x v="0"/>
    <x v="3"/>
    <x v="3"/>
    <x v="11"/>
    <x v="2"/>
  </r>
  <r>
    <x v="2111"/>
    <x v="12"/>
    <x v="2"/>
    <n v="44.8"/>
    <n v="134.39999999999998"/>
    <x v="77"/>
    <d v="2025-03-20T00:00:00"/>
    <x v="3"/>
    <x v="4"/>
    <n v="4"/>
    <x v="0"/>
    <x v="3"/>
    <x v="3"/>
    <x v="11"/>
    <x v="3"/>
  </r>
  <r>
    <x v="2112"/>
    <x v="0"/>
    <x v="8"/>
    <n v="11.7"/>
    <n v="93.6"/>
    <x v="77"/>
    <d v="2025-03-20T00:00:00"/>
    <x v="1"/>
    <x v="2"/>
    <n v="5"/>
    <x v="0"/>
    <x v="3"/>
    <x v="3"/>
    <x v="11"/>
    <x v="1"/>
  </r>
  <r>
    <x v="2113"/>
    <x v="7"/>
    <x v="1"/>
    <n v="38.799999999999997"/>
    <n v="77.599999999999994"/>
    <x v="77"/>
    <d v="2025-03-22T00:00:00"/>
    <x v="2"/>
    <x v="2"/>
    <n v="4"/>
    <x v="0"/>
    <x v="3"/>
    <x v="2"/>
    <x v="11"/>
    <x v="2"/>
  </r>
  <r>
    <x v="2114"/>
    <x v="5"/>
    <x v="21"/>
    <n v="86.9"/>
    <n v="1216.6000000000001"/>
    <x v="77"/>
    <d v="2025-03-24T00:00:00"/>
    <x v="2"/>
    <x v="1"/>
    <n v="4"/>
    <x v="0"/>
    <x v="3"/>
    <x v="0"/>
    <x v="11"/>
    <x v="2"/>
  </r>
  <r>
    <x v="2115"/>
    <x v="8"/>
    <x v="0"/>
    <n v="18.3"/>
    <n v="18.3"/>
    <x v="77"/>
    <d v="2025-03-20T00:00:00"/>
    <x v="2"/>
    <x v="0"/>
    <n v="4"/>
    <x v="0"/>
    <x v="3"/>
    <x v="3"/>
    <x v="11"/>
    <x v="2"/>
  </r>
  <r>
    <x v="2116"/>
    <x v="5"/>
    <x v="0"/>
    <n v="47.5"/>
    <n v="47.5"/>
    <x v="77"/>
    <d v="2025-03-23T00:00:00"/>
    <x v="1"/>
    <x v="4"/>
    <n v="5"/>
    <x v="0"/>
    <x v="3"/>
    <x v="5"/>
    <x v="11"/>
    <x v="1"/>
  </r>
  <r>
    <x v="2117"/>
    <x v="1"/>
    <x v="1"/>
    <n v="78.599999999999994"/>
    <n v="157.19999999999999"/>
    <x v="77"/>
    <d v="2025-03-20T00:00:00"/>
    <x v="1"/>
    <x v="2"/>
    <n v="5"/>
    <x v="0"/>
    <x v="3"/>
    <x v="3"/>
    <x v="11"/>
    <x v="1"/>
  </r>
  <r>
    <x v="2118"/>
    <x v="6"/>
    <x v="12"/>
    <n v="87.3"/>
    <n v="349.2"/>
    <x v="77"/>
    <d v="2025-03-20T00:00:00"/>
    <x v="1"/>
    <x v="0"/>
    <n v="4"/>
    <x v="0"/>
    <x v="3"/>
    <x v="3"/>
    <x v="11"/>
    <x v="1"/>
  </r>
  <r>
    <x v="2119"/>
    <x v="9"/>
    <x v="1"/>
    <n v="63.2"/>
    <n v="126.4"/>
    <x v="77"/>
    <d v="2025-03-19T00:00:00"/>
    <x v="1"/>
    <x v="4"/>
    <n v="3"/>
    <x v="0"/>
    <x v="3"/>
    <x v="7"/>
    <x v="11"/>
    <x v="1"/>
  </r>
  <r>
    <x v="2120"/>
    <x v="5"/>
    <x v="9"/>
    <n v="33.700000000000003"/>
    <n v="168.5"/>
    <x v="77"/>
    <d v="2025-03-20T00:00:00"/>
    <x v="2"/>
    <x v="0"/>
    <n v="4"/>
    <x v="0"/>
    <x v="3"/>
    <x v="3"/>
    <x v="11"/>
    <x v="2"/>
  </r>
  <r>
    <x v="2121"/>
    <x v="2"/>
    <x v="2"/>
    <n v="107.4"/>
    <n v="322.20000000000005"/>
    <x v="77"/>
    <d v="2025-04-01T00:00:00"/>
    <x v="2"/>
    <x v="1"/>
    <n v="5"/>
    <x v="0"/>
    <x v="3"/>
    <x v="10"/>
    <x v="11"/>
    <x v="2"/>
  </r>
  <r>
    <x v="2122"/>
    <x v="4"/>
    <x v="12"/>
    <n v="22.2"/>
    <n v="88.8"/>
    <x v="77"/>
    <d v="2025-03-20T00:00:00"/>
    <x v="0"/>
    <x v="1"/>
    <n v="5"/>
    <x v="0"/>
    <x v="24"/>
    <x v="3"/>
    <x v="11"/>
    <x v="0"/>
  </r>
  <r>
    <x v="2123"/>
    <x v="18"/>
    <x v="2"/>
    <n v="52.8"/>
    <n v="158.39999999999998"/>
    <x v="77"/>
    <d v="2025-03-20T00:00:00"/>
    <x v="1"/>
    <x v="3"/>
    <n v="5"/>
    <x v="0"/>
    <x v="24"/>
    <x v="3"/>
    <x v="11"/>
    <x v="1"/>
  </r>
  <r>
    <x v="2124"/>
    <x v="8"/>
    <x v="2"/>
    <n v="41.5"/>
    <n v="124.5"/>
    <x v="77"/>
    <d v="2025-03-22T00:00:00"/>
    <x v="2"/>
    <x v="0"/>
    <n v="4"/>
    <x v="0"/>
    <x v="25"/>
    <x v="2"/>
    <x v="11"/>
    <x v="2"/>
  </r>
  <r>
    <x v="2125"/>
    <x v="12"/>
    <x v="8"/>
    <n v="103.5"/>
    <n v="828"/>
    <x v="77"/>
    <d v="2025-03-22T00:00:00"/>
    <x v="2"/>
    <x v="0"/>
    <n v="5"/>
    <x v="0"/>
    <x v="23"/>
    <x v="2"/>
    <x v="11"/>
    <x v="2"/>
  </r>
  <r>
    <x v="2126"/>
    <x v="4"/>
    <x v="21"/>
    <n v="37.5"/>
    <n v="525"/>
    <x v="77"/>
    <d v="2025-03-19T00:00:00"/>
    <x v="2"/>
    <x v="1"/>
    <n v="5"/>
    <x v="0"/>
    <x v="6"/>
    <x v="7"/>
    <x v="11"/>
    <x v="2"/>
  </r>
  <r>
    <x v="2127"/>
    <x v="15"/>
    <x v="8"/>
    <n v="44.4"/>
    <n v="355.2"/>
    <x v="77"/>
    <d v="2025-03-25T00:00:00"/>
    <x v="2"/>
    <x v="3"/>
    <n v="5"/>
    <x v="0"/>
    <x v="7"/>
    <x v="4"/>
    <x v="11"/>
    <x v="2"/>
  </r>
  <r>
    <x v="2128"/>
    <x v="8"/>
    <x v="2"/>
    <n v="26.2"/>
    <n v="78.599999999999994"/>
    <x v="77"/>
    <d v="2025-03-20T00:00:00"/>
    <x v="1"/>
    <x v="0"/>
    <n v="4"/>
    <x v="0"/>
    <x v="8"/>
    <x v="3"/>
    <x v="11"/>
    <x v="1"/>
  </r>
  <r>
    <x v="2129"/>
    <x v="1"/>
    <x v="3"/>
    <n v="32.200000000000003"/>
    <n v="225.40000000000003"/>
    <x v="77"/>
    <d v="2025-03-20T00:00:00"/>
    <x v="2"/>
    <x v="1"/>
    <n v="5"/>
    <x v="0"/>
    <x v="8"/>
    <x v="3"/>
    <x v="11"/>
    <x v="2"/>
  </r>
  <r>
    <x v="2130"/>
    <x v="8"/>
    <x v="0"/>
    <n v="17.399999999999999"/>
    <n v="17.399999999999999"/>
    <x v="77"/>
    <d v="2025-03-23T00:00:00"/>
    <x v="0"/>
    <x v="2"/>
    <n v="3"/>
    <x v="0"/>
    <x v="8"/>
    <x v="5"/>
    <x v="11"/>
    <x v="0"/>
  </r>
  <r>
    <x v="2131"/>
    <x v="8"/>
    <x v="13"/>
    <n v="72.3"/>
    <n v="433.79999999999995"/>
    <x v="77"/>
    <d v="2025-03-22T00:00:00"/>
    <x v="2"/>
    <x v="0"/>
    <n v="4"/>
    <x v="0"/>
    <x v="8"/>
    <x v="2"/>
    <x v="11"/>
    <x v="2"/>
  </r>
  <r>
    <x v="2132"/>
    <x v="8"/>
    <x v="5"/>
    <n v="24.3"/>
    <n v="267.3"/>
    <x v="77"/>
    <d v="2025-03-20T00:00:00"/>
    <x v="1"/>
    <x v="0"/>
    <n v="4"/>
    <x v="0"/>
    <x v="8"/>
    <x v="3"/>
    <x v="11"/>
    <x v="1"/>
  </r>
  <r>
    <x v="2133"/>
    <x v="13"/>
    <x v="2"/>
    <n v="49.1"/>
    <n v="147.30000000000001"/>
    <x v="77"/>
    <d v="2025-03-25T00:00:00"/>
    <x v="1"/>
    <x v="2"/>
    <n v="2"/>
    <x v="0"/>
    <x v="8"/>
    <x v="4"/>
    <x v="11"/>
    <x v="1"/>
  </r>
  <r>
    <x v="2134"/>
    <x v="2"/>
    <x v="7"/>
    <n v="234.7"/>
    <n v="2347"/>
    <x v="77"/>
    <d v="2025-03-20T00:00:00"/>
    <x v="1"/>
    <x v="3"/>
    <n v="3"/>
    <x v="0"/>
    <x v="8"/>
    <x v="3"/>
    <x v="11"/>
    <x v="1"/>
  </r>
  <r>
    <x v="2135"/>
    <x v="3"/>
    <x v="9"/>
    <n v="76.099999999999994"/>
    <n v="380.5"/>
    <x v="77"/>
    <d v="2025-03-21T00:00:00"/>
    <x v="1"/>
    <x v="1"/>
    <n v="3"/>
    <x v="0"/>
    <x v="17"/>
    <x v="1"/>
    <x v="11"/>
    <x v="1"/>
  </r>
  <r>
    <x v="2136"/>
    <x v="1"/>
    <x v="2"/>
    <n v="93.9"/>
    <n v="281.70000000000005"/>
    <x v="77"/>
    <d v="2025-03-20T00:00:00"/>
    <x v="1"/>
    <x v="1"/>
    <n v="2"/>
    <x v="0"/>
    <x v="11"/>
    <x v="3"/>
    <x v="11"/>
    <x v="1"/>
  </r>
  <r>
    <x v="2137"/>
    <x v="2"/>
    <x v="12"/>
    <n v="187"/>
    <n v="748"/>
    <x v="78"/>
    <d v="2025-03-23T00:00:00"/>
    <x v="1"/>
    <x v="0"/>
    <n v="4"/>
    <x v="0"/>
    <x v="11"/>
    <x v="2"/>
    <x v="11"/>
    <x v="1"/>
  </r>
  <r>
    <x v="2138"/>
    <x v="8"/>
    <x v="1"/>
    <n v="18"/>
    <n v="36"/>
    <x v="78"/>
    <d v="2025-03-21T00:00:00"/>
    <x v="2"/>
    <x v="1"/>
    <n v="5"/>
    <x v="0"/>
    <x v="53"/>
    <x v="3"/>
    <x v="11"/>
    <x v="2"/>
  </r>
  <r>
    <x v="2139"/>
    <x v="4"/>
    <x v="0"/>
    <n v="24.4"/>
    <n v="24.4"/>
    <x v="78"/>
    <d v="2025-03-21T00:00:00"/>
    <x v="2"/>
    <x v="4"/>
    <n v="5"/>
    <x v="0"/>
    <x v="21"/>
    <x v="3"/>
    <x v="11"/>
    <x v="2"/>
  </r>
  <r>
    <x v="2140"/>
    <x v="10"/>
    <x v="1"/>
    <n v="38.799999999999997"/>
    <n v="77.599999999999994"/>
    <x v="78"/>
    <d v="2025-03-21T00:00:00"/>
    <x v="1"/>
    <x v="4"/>
    <n v="3"/>
    <x v="0"/>
    <x v="3"/>
    <x v="3"/>
    <x v="11"/>
    <x v="1"/>
  </r>
  <r>
    <x v="2141"/>
    <x v="3"/>
    <x v="0"/>
    <n v="59.7"/>
    <n v="59.7"/>
    <x v="78"/>
    <d v="2025-03-23T00:00:00"/>
    <x v="1"/>
    <x v="3"/>
    <n v="4"/>
    <x v="0"/>
    <x v="3"/>
    <x v="2"/>
    <x v="11"/>
    <x v="1"/>
  </r>
  <r>
    <x v="2142"/>
    <x v="7"/>
    <x v="0"/>
    <n v="31.2"/>
    <n v="31.2"/>
    <x v="78"/>
    <d v="2025-03-21T00:00:00"/>
    <x v="1"/>
    <x v="1"/>
    <n v="5"/>
    <x v="0"/>
    <x v="3"/>
    <x v="3"/>
    <x v="11"/>
    <x v="1"/>
  </r>
  <r>
    <x v="2143"/>
    <x v="0"/>
    <x v="0"/>
    <n v="16.8"/>
    <n v="16.8"/>
    <x v="78"/>
    <d v="2025-03-21T00:00:00"/>
    <x v="2"/>
    <x v="2"/>
    <n v="3"/>
    <x v="0"/>
    <x v="3"/>
    <x v="3"/>
    <x v="11"/>
    <x v="2"/>
  </r>
  <r>
    <x v="2144"/>
    <x v="8"/>
    <x v="0"/>
    <n v="46"/>
    <n v="46"/>
    <x v="78"/>
    <d v="2025-03-21T00:00:00"/>
    <x v="1"/>
    <x v="0"/>
    <n v="4"/>
    <x v="0"/>
    <x v="3"/>
    <x v="3"/>
    <x v="11"/>
    <x v="1"/>
  </r>
  <r>
    <x v="2145"/>
    <x v="9"/>
    <x v="8"/>
    <n v="42.2"/>
    <n v="337.6"/>
    <x v="78"/>
    <d v="2025-03-23T00:00:00"/>
    <x v="2"/>
    <x v="3"/>
    <n v="5"/>
    <x v="0"/>
    <x v="3"/>
    <x v="2"/>
    <x v="11"/>
    <x v="2"/>
  </r>
  <r>
    <x v="2146"/>
    <x v="1"/>
    <x v="2"/>
    <n v="71.5"/>
    <n v="214.5"/>
    <x v="78"/>
    <d v="2025-04-03T00:00:00"/>
    <x v="2"/>
    <x v="0"/>
    <n v="4"/>
    <x v="0"/>
    <x v="3"/>
    <x v="12"/>
    <x v="11"/>
    <x v="2"/>
  </r>
  <r>
    <x v="2147"/>
    <x v="1"/>
    <x v="1"/>
    <n v="76.599999999999994"/>
    <n v="153.19999999999999"/>
    <x v="78"/>
    <d v="2025-03-20T00:00:00"/>
    <x v="1"/>
    <x v="0"/>
    <n v="5"/>
    <x v="0"/>
    <x v="3"/>
    <x v="7"/>
    <x v="11"/>
    <x v="1"/>
  </r>
  <r>
    <x v="2148"/>
    <x v="12"/>
    <x v="1"/>
    <n v="87.3"/>
    <n v="174.6"/>
    <x v="78"/>
    <d v="2025-03-28T00:00:00"/>
    <x v="2"/>
    <x v="3"/>
    <n v="5"/>
    <x v="0"/>
    <x v="3"/>
    <x v="9"/>
    <x v="11"/>
    <x v="2"/>
  </r>
  <r>
    <x v="2149"/>
    <x v="1"/>
    <x v="0"/>
    <n v="63"/>
    <n v="63"/>
    <x v="78"/>
    <d v="2025-03-23T00:00:00"/>
    <x v="1"/>
    <x v="3"/>
    <n v="4"/>
    <x v="0"/>
    <x v="3"/>
    <x v="2"/>
    <x v="11"/>
    <x v="1"/>
  </r>
  <r>
    <x v="2150"/>
    <x v="8"/>
    <x v="1"/>
    <n v="41.7"/>
    <n v="83.4"/>
    <x v="78"/>
    <d v="2025-03-21T00:00:00"/>
    <x v="2"/>
    <x v="4"/>
    <n v="3"/>
    <x v="0"/>
    <x v="43"/>
    <x v="3"/>
    <x v="11"/>
    <x v="2"/>
  </r>
  <r>
    <x v="2151"/>
    <x v="6"/>
    <x v="1"/>
    <n v="76.099999999999994"/>
    <n v="152.19999999999999"/>
    <x v="78"/>
    <d v="2025-03-20T00:00:00"/>
    <x v="2"/>
    <x v="4"/>
    <n v="5"/>
    <x v="0"/>
    <x v="16"/>
    <x v="7"/>
    <x v="11"/>
    <x v="2"/>
  </r>
  <r>
    <x v="2152"/>
    <x v="13"/>
    <x v="1"/>
    <n v="28.5"/>
    <n v="57"/>
    <x v="78"/>
    <d v="2025-03-21T00:00:00"/>
    <x v="2"/>
    <x v="0"/>
    <n v="5"/>
    <x v="0"/>
    <x v="4"/>
    <x v="3"/>
    <x v="11"/>
    <x v="2"/>
  </r>
  <r>
    <x v="2153"/>
    <x v="0"/>
    <x v="12"/>
    <n v="32.1"/>
    <n v="128.4"/>
    <x v="78"/>
    <d v="2025-03-21T00:00:00"/>
    <x v="2"/>
    <x v="1"/>
    <n v="5"/>
    <x v="0"/>
    <x v="25"/>
    <x v="3"/>
    <x v="11"/>
    <x v="2"/>
  </r>
  <r>
    <x v="2154"/>
    <x v="4"/>
    <x v="2"/>
    <n v="39"/>
    <n v="117"/>
    <x v="78"/>
    <d v="2025-03-23T00:00:00"/>
    <x v="1"/>
    <x v="1"/>
    <n v="5"/>
    <x v="0"/>
    <x v="25"/>
    <x v="2"/>
    <x v="11"/>
    <x v="1"/>
  </r>
  <r>
    <x v="2155"/>
    <x v="6"/>
    <x v="0"/>
    <n v="78.5"/>
    <n v="78.5"/>
    <x v="78"/>
    <d v="2025-03-21T00:00:00"/>
    <x v="1"/>
    <x v="1"/>
    <n v="4"/>
    <x v="0"/>
    <x v="6"/>
    <x v="3"/>
    <x v="11"/>
    <x v="1"/>
  </r>
  <r>
    <x v="2156"/>
    <x v="4"/>
    <x v="9"/>
    <n v="49.7"/>
    <n v="248.5"/>
    <x v="78"/>
    <d v="2025-03-22T00:00:00"/>
    <x v="2"/>
    <x v="0"/>
    <n v="4"/>
    <x v="0"/>
    <x v="6"/>
    <x v="1"/>
    <x v="11"/>
    <x v="2"/>
  </r>
  <r>
    <x v="2157"/>
    <x v="1"/>
    <x v="12"/>
    <n v="68.400000000000006"/>
    <n v="273.60000000000002"/>
    <x v="78"/>
    <d v="2025-03-21T00:00:00"/>
    <x v="2"/>
    <x v="2"/>
    <n v="5"/>
    <x v="0"/>
    <x v="7"/>
    <x v="3"/>
    <x v="11"/>
    <x v="2"/>
  </r>
  <r>
    <x v="2158"/>
    <x v="3"/>
    <x v="1"/>
    <n v="72.900000000000006"/>
    <n v="145.80000000000001"/>
    <x v="78"/>
    <d v="2025-03-23T00:00:00"/>
    <x v="0"/>
    <x v="0"/>
    <n v="5"/>
    <x v="0"/>
    <x v="7"/>
    <x v="2"/>
    <x v="11"/>
    <x v="0"/>
  </r>
  <r>
    <x v="2159"/>
    <x v="5"/>
    <x v="15"/>
    <n v="30.3"/>
    <n v="393.90000000000003"/>
    <x v="78"/>
    <d v="2025-03-21T00:00:00"/>
    <x v="1"/>
    <x v="4"/>
    <n v="4"/>
    <x v="0"/>
    <x v="7"/>
    <x v="3"/>
    <x v="11"/>
    <x v="1"/>
  </r>
  <r>
    <x v="2160"/>
    <x v="6"/>
    <x v="5"/>
    <n v="57.9"/>
    <n v="636.9"/>
    <x v="78"/>
    <d v="2025-03-21T00:00:00"/>
    <x v="2"/>
    <x v="0"/>
    <n v="4"/>
    <x v="0"/>
    <x v="8"/>
    <x v="3"/>
    <x v="11"/>
    <x v="2"/>
  </r>
  <r>
    <x v="2161"/>
    <x v="1"/>
    <x v="0"/>
    <n v="96.7"/>
    <n v="96.7"/>
    <x v="78"/>
    <d v="2025-03-21T00:00:00"/>
    <x v="1"/>
    <x v="0"/>
    <n v="4"/>
    <x v="0"/>
    <x v="8"/>
    <x v="3"/>
    <x v="11"/>
    <x v="1"/>
  </r>
  <r>
    <x v="2162"/>
    <x v="8"/>
    <x v="4"/>
    <n v="27.6"/>
    <n v="331.20000000000005"/>
    <x v="78"/>
    <d v="2025-03-22T00:00:00"/>
    <x v="1"/>
    <x v="2"/>
    <n v="5"/>
    <x v="0"/>
    <x v="8"/>
    <x v="1"/>
    <x v="11"/>
    <x v="1"/>
  </r>
  <r>
    <x v="2163"/>
    <x v="6"/>
    <x v="12"/>
    <n v="64.7"/>
    <n v="258.8"/>
    <x v="78"/>
    <d v="2025-03-20T00:00:00"/>
    <x v="1"/>
    <x v="3"/>
    <n v="5"/>
    <x v="0"/>
    <x v="8"/>
    <x v="7"/>
    <x v="11"/>
    <x v="1"/>
  </r>
  <r>
    <x v="2164"/>
    <x v="10"/>
    <x v="13"/>
    <n v="30.5"/>
    <n v="183"/>
    <x v="78"/>
    <d v="2025-03-21T00:00:00"/>
    <x v="1"/>
    <x v="4"/>
    <n v="4"/>
    <x v="0"/>
    <x v="8"/>
    <x v="3"/>
    <x v="11"/>
    <x v="1"/>
  </r>
  <r>
    <x v="2165"/>
    <x v="6"/>
    <x v="47"/>
    <n v="106"/>
    <n v="7420"/>
    <x v="79"/>
    <d v="2025-03-23T00:00:00"/>
    <x v="1"/>
    <x v="4"/>
    <n v="5"/>
    <x v="0"/>
    <x v="8"/>
    <x v="1"/>
    <x v="11"/>
    <x v="1"/>
  </r>
  <r>
    <x v="2166"/>
    <x v="12"/>
    <x v="9"/>
    <n v="76.8"/>
    <n v="384"/>
    <x v="79"/>
    <d v="2025-03-27T00:00:00"/>
    <x v="0"/>
    <x v="1"/>
    <n v="3"/>
    <x v="0"/>
    <x v="18"/>
    <x v="4"/>
    <x v="11"/>
    <x v="0"/>
  </r>
  <r>
    <x v="2167"/>
    <x v="6"/>
    <x v="1"/>
    <n v="80.400000000000006"/>
    <n v="160.80000000000001"/>
    <x v="79"/>
    <d v="2025-03-22T00:00:00"/>
    <x v="2"/>
    <x v="2"/>
    <n v="4"/>
    <x v="0"/>
    <x v="13"/>
    <x v="3"/>
    <x v="11"/>
    <x v="2"/>
  </r>
  <r>
    <x v="2168"/>
    <x v="6"/>
    <x v="12"/>
    <n v="69.099999999999994"/>
    <n v="276.39999999999998"/>
    <x v="79"/>
    <d v="2025-03-22T00:00:00"/>
    <x v="1"/>
    <x v="1"/>
    <n v="5"/>
    <x v="0"/>
    <x v="21"/>
    <x v="3"/>
    <x v="11"/>
    <x v="1"/>
  </r>
  <r>
    <x v="2169"/>
    <x v="18"/>
    <x v="1"/>
    <n v="76.400000000000006"/>
    <n v="152.80000000000001"/>
    <x v="79"/>
    <d v="2025-03-21T00:00:00"/>
    <x v="1"/>
    <x v="3"/>
    <n v="4"/>
    <x v="0"/>
    <x v="21"/>
    <x v="7"/>
    <x v="11"/>
    <x v="1"/>
  </r>
  <r>
    <x v="2170"/>
    <x v="2"/>
    <x v="1"/>
    <n v="61.3"/>
    <n v="122.6"/>
    <x v="79"/>
    <d v="2025-03-22T00:00:00"/>
    <x v="2"/>
    <x v="1"/>
    <n v="3"/>
    <x v="0"/>
    <x v="21"/>
    <x v="3"/>
    <x v="11"/>
    <x v="2"/>
  </r>
  <r>
    <x v="2171"/>
    <x v="7"/>
    <x v="0"/>
    <n v="58"/>
    <n v="58"/>
    <x v="79"/>
    <d v="2025-03-22T00:00:00"/>
    <x v="1"/>
    <x v="3"/>
    <n v="3"/>
    <x v="0"/>
    <x v="1"/>
    <x v="3"/>
    <x v="11"/>
    <x v="1"/>
  </r>
  <r>
    <x v="2172"/>
    <x v="2"/>
    <x v="8"/>
    <n v="102.3"/>
    <n v="818.4"/>
    <x v="79"/>
    <d v="2025-03-23T00:00:00"/>
    <x v="1"/>
    <x v="2"/>
    <n v="4"/>
    <x v="0"/>
    <x v="42"/>
    <x v="1"/>
    <x v="11"/>
    <x v="1"/>
  </r>
  <r>
    <x v="2173"/>
    <x v="19"/>
    <x v="1"/>
    <n v="13.8"/>
    <n v="27.6"/>
    <x v="79"/>
    <d v="2025-03-22T00:00:00"/>
    <x v="2"/>
    <x v="4"/>
    <n v="5"/>
    <x v="0"/>
    <x v="2"/>
    <x v="3"/>
    <x v="11"/>
    <x v="2"/>
  </r>
  <r>
    <x v="2174"/>
    <x v="8"/>
    <x v="2"/>
    <n v="33.299999999999997"/>
    <n v="99.899999999999991"/>
    <x v="79"/>
    <d v="2025-03-24T00:00:00"/>
    <x v="2"/>
    <x v="2"/>
    <n v="4"/>
    <x v="0"/>
    <x v="22"/>
    <x v="2"/>
    <x v="11"/>
    <x v="2"/>
  </r>
  <r>
    <x v="2175"/>
    <x v="10"/>
    <x v="0"/>
    <n v="27.4"/>
    <n v="27.4"/>
    <x v="79"/>
    <d v="2025-03-24T00:00:00"/>
    <x v="1"/>
    <x v="0"/>
    <n v="5"/>
    <x v="0"/>
    <x v="22"/>
    <x v="2"/>
    <x v="11"/>
    <x v="1"/>
  </r>
  <r>
    <x v="2176"/>
    <x v="14"/>
    <x v="1"/>
    <n v="25.6"/>
    <n v="51.2"/>
    <x v="79"/>
    <d v="2025-03-22T00:00:00"/>
    <x v="2"/>
    <x v="1"/>
    <n v="3"/>
    <x v="0"/>
    <x v="3"/>
    <x v="3"/>
    <x v="11"/>
    <x v="2"/>
  </r>
  <r>
    <x v="2177"/>
    <x v="13"/>
    <x v="0"/>
    <n v="58.4"/>
    <n v="58.4"/>
    <x v="79"/>
    <d v="2025-03-22T00:00:00"/>
    <x v="2"/>
    <x v="2"/>
    <n v="5"/>
    <x v="0"/>
    <x v="3"/>
    <x v="3"/>
    <x v="11"/>
    <x v="2"/>
  </r>
  <r>
    <x v="2178"/>
    <x v="11"/>
    <x v="17"/>
    <n v="27"/>
    <n v="810"/>
    <x v="79"/>
    <d v="2025-03-22T00:00:00"/>
    <x v="2"/>
    <x v="4"/>
    <n v="4"/>
    <x v="0"/>
    <x v="3"/>
    <x v="3"/>
    <x v="11"/>
    <x v="2"/>
  </r>
  <r>
    <x v="2179"/>
    <x v="0"/>
    <x v="12"/>
    <n v="14.2"/>
    <n v="56.8"/>
    <x v="79"/>
    <d v="2025-03-22T00:00:00"/>
    <x v="1"/>
    <x v="0"/>
    <n v="5"/>
    <x v="0"/>
    <x v="3"/>
    <x v="3"/>
    <x v="11"/>
    <x v="1"/>
  </r>
  <r>
    <x v="2180"/>
    <x v="7"/>
    <x v="1"/>
    <n v="68"/>
    <n v="136"/>
    <x v="79"/>
    <d v="2025-03-31T00:00:00"/>
    <x v="1"/>
    <x v="2"/>
    <n v="3"/>
    <x v="0"/>
    <x v="3"/>
    <x v="14"/>
    <x v="11"/>
    <x v="1"/>
  </r>
  <r>
    <x v="2181"/>
    <x v="8"/>
    <x v="0"/>
    <n v="30.7"/>
    <n v="30.7"/>
    <x v="79"/>
    <d v="2025-03-22T00:00:00"/>
    <x v="1"/>
    <x v="0"/>
    <n v="4"/>
    <x v="0"/>
    <x v="3"/>
    <x v="3"/>
    <x v="11"/>
    <x v="1"/>
  </r>
  <r>
    <x v="2182"/>
    <x v="17"/>
    <x v="15"/>
    <n v="51.6"/>
    <n v="670.80000000000007"/>
    <x v="79"/>
    <d v="2025-03-24T00:00:00"/>
    <x v="3"/>
    <x v="1"/>
    <n v="5"/>
    <x v="0"/>
    <x v="3"/>
    <x v="2"/>
    <x v="11"/>
    <x v="3"/>
  </r>
  <r>
    <x v="2183"/>
    <x v="8"/>
    <x v="2"/>
    <n v="20.6"/>
    <n v="61.800000000000004"/>
    <x v="79"/>
    <d v="2025-03-25T00:00:00"/>
    <x v="2"/>
    <x v="4"/>
    <n v="5"/>
    <x v="0"/>
    <x v="3"/>
    <x v="5"/>
    <x v="11"/>
    <x v="2"/>
  </r>
  <r>
    <x v="2184"/>
    <x v="8"/>
    <x v="0"/>
    <n v="24.8"/>
    <n v="24.8"/>
    <x v="79"/>
    <d v="2025-03-22T00:00:00"/>
    <x v="1"/>
    <x v="4"/>
    <n v="4"/>
    <x v="0"/>
    <x v="3"/>
    <x v="3"/>
    <x v="11"/>
    <x v="1"/>
  </r>
  <r>
    <x v="2185"/>
    <x v="0"/>
    <x v="3"/>
    <n v="11.2"/>
    <n v="78.399999999999991"/>
    <x v="79"/>
    <d v="2025-03-24T00:00:00"/>
    <x v="1"/>
    <x v="1"/>
    <n v="4"/>
    <x v="0"/>
    <x v="3"/>
    <x v="2"/>
    <x v="11"/>
    <x v="1"/>
  </r>
  <r>
    <x v="2186"/>
    <x v="11"/>
    <x v="1"/>
    <n v="51.2"/>
    <n v="102.4"/>
    <x v="79"/>
    <d v="2025-03-22T00:00:00"/>
    <x v="2"/>
    <x v="1"/>
    <n v="5"/>
    <x v="0"/>
    <x v="3"/>
    <x v="3"/>
    <x v="11"/>
    <x v="2"/>
  </r>
  <r>
    <x v="2187"/>
    <x v="7"/>
    <x v="13"/>
    <n v="90.5"/>
    <n v="543"/>
    <x v="79"/>
    <d v="2025-03-22T00:00:00"/>
    <x v="2"/>
    <x v="1"/>
    <n v="2"/>
    <x v="0"/>
    <x v="3"/>
    <x v="3"/>
    <x v="11"/>
    <x v="2"/>
  </r>
  <r>
    <x v="2188"/>
    <x v="1"/>
    <x v="1"/>
    <n v="42.4"/>
    <n v="84.8"/>
    <x v="79"/>
    <d v="2025-03-22T00:00:00"/>
    <x v="1"/>
    <x v="1"/>
    <n v="5"/>
    <x v="0"/>
    <x v="4"/>
    <x v="3"/>
    <x v="11"/>
    <x v="1"/>
  </r>
  <r>
    <x v="2189"/>
    <x v="1"/>
    <x v="1"/>
    <n v="38.200000000000003"/>
    <n v="76.400000000000006"/>
    <x v="79"/>
    <d v="2025-03-22T00:00:00"/>
    <x v="1"/>
    <x v="0"/>
    <n v="4"/>
    <x v="0"/>
    <x v="5"/>
    <x v="3"/>
    <x v="11"/>
    <x v="1"/>
  </r>
  <r>
    <x v="2190"/>
    <x v="2"/>
    <x v="11"/>
    <n v="121.3"/>
    <n v="1091.7"/>
    <x v="79"/>
    <d v="2025-03-26T00:00:00"/>
    <x v="1"/>
    <x v="0"/>
    <n v="4"/>
    <x v="0"/>
    <x v="6"/>
    <x v="0"/>
    <x v="11"/>
    <x v="1"/>
  </r>
  <r>
    <x v="2191"/>
    <x v="6"/>
    <x v="1"/>
    <n v="46.9"/>
    <n v="93.8"/>
    <x v="79"/>
    <d v="2025-03-28T00:00:00"/>
    <x v="1"/>
    <x v="0"/>
    <n v="4"/>
    <x v="0"/>
    <x v="8"/>
    <x v="6"/>
    <x v="11"/>
    <x v="1"/>
  </r>
  <r>
    <x v="2192"/>
    <x v="10"/>
    <x v="0"/>
    <n v="55.3"/>
    <n v="55.3"/>
    <x v="79"/>
    <d v="2025-03-23T00:00:00"/>
    <x v="1"/>
    <x v="0"/>
    <n v="4"/>
    <x v="0"/>
    <x v="8"/>
    <x v="1"/>
    <x v="11"/>
    <x v="1"/>
  </r>
  <r>
    <x v="2193"/>
    <x v="2"/>
    <x v="2"/>
    <n v="70.599999999999994"/>
    <n v="211.79999999999998"/>
    <x v="80"/>
    <d v="2025-03-22T00:00:00"/>
    <x v="2"/>
    <x v="0"/>
    <n v="3"/>
    <x v="0"/>
    <x v="8"/>
    <x v="7"/>
    <x v="11"/>
    <x v="2"/>
  </r>
  <r>
    <x v="2194"/>
    <x v="14"/>
    <x v="12"/>
    <n v="26.1"/>
    <n v="104.4"/>
    <x v="80"/>
    <d v="2025-03-24T00:00:00"/>
    <x v="1"/>
    <x v="0"/>
    <n v="4"/>
    <x v="0"/>
    <x v="8"/>
    <x v="1"/>
    <x v="11"/>
    <x v="1"/>
  </r>
  <r>
    <x v="2195"/>
    <x v="9"/>
    <x v="5"/>
    <n v="34.5"/>
    <n v="379.5"/>
    <x v="80"/>
    <d v="2025-03-26T00:00:00"/>
    <x v="1"/>
    <x v="2"/>
    <n v="4"/>
    <x v="0"/>
    <x v="17"/>
    <x v="5"/>
    <x v="11"/>
    <x v="1"/>
  </r>
  <r>
    <x v="2196"/>
    <x v="1"/>
    <x v="1"/>
    <n v="64.2"/>
    <n v="128.4"/>
    <x v="80"/>
    <d v="2025-03-23T00:00:00"/>
    <x v="2"/>
    <x v="0"/>
    <n v="3"/>
    <x v="0"/>
    <x v="17"/>
    <x v="3"/>
    <x v="11"/>
    <x v="2"/>
  </r>
  <r>
    <x v="2197"/>
    <x v="2"/>
    <x v="12"/>
    <n v="145.69999999999999"/>
    <n v="582.79999999999995"/>
    <x v="80"/>
    <d v="2025-03-23T00:00:00"/>
    <x v="2"/>
    <x v="0"/>
    <n v="2"/>
    <x v="0"/>
    <x v="17"/>
    <x v="3"/>
    <x v="11"/>
    <x v="2"/>
  </r>
  <r>
    <x v="2198"/>
    <x v="12"/>
    <x v="1"/>
    <n v="78.5"/>
    <n v="157"/>
    <x v="80"/>
    <d v="2025-03-23T00:00:00"/>
    <x v="1"/>
    <x v="2"/>
    <n v="4"/>
    <x v="0"/>
    <x v="26"/>
    <x v="3"/>
    <x v="11"/>
    <x v="1"/>
  </r>
  <r>
    <x v="2199"/>
    <x v="1"/>
    <x v="0"/>
    <n v="34.200000000000003"/>
    <n v="34.200000000000003"/>
    <x v="80"/>
    <d v="2025-03-24T00:00:00"/>
    <x v="1"/>
    <x v="0"/>
    <n v="4"/>
    <x v="0"/>
    <x v="9"/>
    <x v="1"/>
    <x v="11"/>
    <x v="1"/>
  </r>
  <r>
    <x v="2200"/>
    <x v="19"/>
    <x v="0"/>
    <n v="26.2"/>
    <n v="26.2"/>
    <x v="80"/>
    <d v="2025-03-23T00:00:00"/>
    <x v="1"/>
    <x v="2"/>
    <n v="4"/>
    <x v="0"/>
    <x v="9"/>
    <x v="3"/>
    <x v="11"/>
    <x v="1"/>
  </r>
  <r>
    <x v="2201"/>
    <x v="6"/>
    <x v="12"/>
    <n v="53.2"/>
    <n v="212.8"/>
    <x v="80"/>
    <d v="2025-03-23T00:00:00"/>
    <x v="1"/>
    <x v="1"/>
    <n v="3"/>
    <x v="0"/>
    <x v="11"/>
    <x v="3"/>
    <x v="11"/>
    <x v="1"/>
  </r>
  <r>
    <x v="2202"/>
    <x v="1"/>
    <x v="0"/>
    <n v="35.4"/>
    <n v="35.4"/>
    <x v="80"/>
    <d v="2025-03-26T00:00:00"/>
    <x v="1"/>
    <x v="1"/>
    <n v="2"/>
    <x v="0"/>
    <x v="18"/>
    <x v="5"/>
    <x v="11"/>
    <x v="1"/>
  </r>
  <r>
    <x v="2203"/>
    <x v="14"/>
    <x v="1"/>
    <n v="21.3"/>
    <n v="42.6"/>
    <x v="80"/>
    <d v="2025-03-23T00:00:00"/>
    <x v="1"/>
    <x v="2"/>
    <n v="4"/>
    <x v="0"/>
    <x v="20"/>
    <x v="3"/>
    <x v="11"/>
    <x v="1"/>
  </r>
  <r>
    <x v="2204"/>
    <x v="8"/>
    <x v="12"/>
    <n v="32.9"/>
    <n v="131.6"/>
    <x v="80"/>
    <d v="2025-03-25T00:00:00"/>
    <x v="2"/>
    <x v="4"/>
    <n v="5"/>
    <x v="0"/>
    <x v="21"/>
    <x v="2"/>
    <x v="11"/>
    <x v="2"/>
  </r>
  <r>
    <x v="2205"/>
    <x v="5"/>
    <x v="20"/>
    <n v="85.5"/>
    <n v="1282.5"/>
    <x v="80"/>
    <d v="2025-03-24T00:00:00"/>
    <x v="2"/>
    <x v="3"/>
    <n v="3"/>
    <x v="0"/>
    <x v="21"/>
    <x v="1"/>
    <x v="11"/>
    <x v="2"/>
  </r>
  <r>
    <x v="2206"/>
    <x v="4"/>
    <x v="0"/>
    <n v="26.8"/>
    <n v="26.8"/>
    <x v="80"/>
    <d v="2025-03-23T00:00:00"/>
    <x v="2"/>
    <x v="0"/>
    <n v="3"/>
    <x v="0"/>
    <x v="2"/>
    <x v="3"/>
    <x v="11"/>
    <x v="2"/>
  </r>
  <r>
    <x v="2207"/>
    <x v="9"/>
    <x v="18"/>
    <n v="31.7"/>
    <n v="824.19999999999993"/>
    <x v="80"/>
    <d v="2025-03-22T00:00:00"/>
    <x v="2"/>
    <x v="3"/>
    <n v="4"/>
    <x v="0"/>
    <x v="2"/>
    <x v="7"/>
    <x v="11"/>
    <x v="2"/>
  </r>
  <r>
    <x v="2208"/>
    <x v="1"/>
    <x v="1"/>
    <n v="78.3"/>
    <n v="156.6"/>
    <x v="80"/>
    <d v="2025-03-24T00:00:00"/>
    <x v="2"/>
    <x v="1"/>
    <n v="3"/>
    <x v="0"/>
    <x v="3"/>
    <x v="1"/>
    <x v="11"/>
    <x v="2"/>
  </r>
  <r>
    <x v="2209"/>
    <x v="6"/>
    <x v="0"/>
    <n v="43.9"/>
    <n v="43.9"/>
    <x v="80"/>
    <d v="2025-03-23T00:00:00"/>
    <x v="1"/>
    <x v="0"/>
    <n v="4"/>
    <x v="0"/>
    <x v="3"/>
    <x v="3"/>
    <x v="11"/>
    <x v="1"/>
  </r>
  <r>
    <x v="2210"/>
    <x v="18"/>
    <x v="2"/>
    <n v="84"/>
    <n v="252"/>
    <x v="80"/>
    <d v="2025-03-24T00:00:00"/>
    <x v="0"/>
    <x v="3"/>
    <n v="5"/>
    <x v="0"/>
    <x v="3"/>
    <x v="1"/>
    <x v="11"/>
    <x v="0"/>
  </r>
  <r>
    <x v="2211"/>
    <x v="0"/>
    <x v="2"/>
    <n v="11.4"/>
    <n v="34.200000000000003"/>
    <x v="80"/>
    <d v="2025-03-23T00:00:00"/>
    <x v="1"/>
    <x v="4"/>
    <n v="4"/>
    <x v="0"/>
    <x v="3"/>
    <x v="3"/>
    <x v="11"/>
    <x v="1"/>
  </r>
  <r>
    <x v="2212"/>
    <x v="12"/>
    <x v="8"/>
    <n v="47.5"/>
    <n v="380"/>
    <x v="80"/>
    <d v="2025-03-30T00:00:00"/>
    <x v="2"/>
    <x v="0"/>
    <n v="4"/>
    <x v="0"/>
    <x v="3"/>
    <x v="9"/>
    <x v="11"/>
    <x v="2"/>
  </r>
  <r>
    <x v="2213"/>
    <x v="9"/>
    <x v="5"/>
    <n v="50.5"/>
    <n v="555.5"/>
    <x v="80"/>
    <d v="2025-03-24T00:00:00"/>
    <x v="1"/>
    <x v="2"/>
    <n v="4"/>
    <x v="0"/>
    <x v="3"/>
    <x v="1"/>
    <x v="11"/>
    <x v="1"/>
  </r>
  <r>
    <x v="2214"/>
    <x v="15"/>
    <x v="0"/>
    <n v="36.299999999999997"/>
    <n v="36.299999999999997"/>
    <x v="80"/>
    <d v="2025-03-25T00:00:00"/>
    <x v="3"/>
    <x v="0"/>
    <n v="3"/>
    <x v="0"/>
    <x v="8"/>
    <x v="2"/>
    <x v="11"/>
    <x v="3"/>
  </r>
  <r>
    <x v="2215"/>
    <x v="8"/>
    <x v="1"/>
    <n v="35.4"/>
    <n v="70.8"/>
    <x v="80"/>
    <d v="2025-03-23T00:00:00"/>
    <x v="2"/>
    <x v="0"/>
    <n v="4"/>
    <x v="0"/>
    <x v="17"/>
    <x v="3"/>
    <x v="11"/>
    <x v="2"/>
  </r>
  <r>
    <x v="2216"/>
    <x v="1"/>
    <x v="2"/>
    <n v="45.9"/>
    <n v="137.69999999999999"/>
    <x v="81"/>
    <d v="2025-03-24T00:00:00"/>
    <x v="1"/>
    <x v="3"/>
    <n v="4"/>
    <x v="0"/>
    <x v="9"/>
    <x v="3"/>
    <x v="12"/>
    <x v="1"/>
  </r>
  <r>
    <x v="2217"/>
    <x v="6"/>
    <x v="7"/>
    <n v="41.2"/>
    <n v="412"/>
    <x v="81"/>
    <d v="2025-03-27T00:00:00"/>
    <x v="1"/>
    <x v="0"/>
    <n v="4"/>
    <x v="0"/>
    <x v="11"/>
    <x v="5"/>
    <x v="12"/>
    <x v="1"/>
  </r>
  <r>
    <x v="2218"/>
    <x v="17"/>
    <x v="1"/>
    <n v="45.1"/>
    <n v="90.2"/>
    <x v="81"/>
    <d v="2025-03-24T00:00:00"/>
    <x v="1"/>
    <x v="1"/>
    <n v="3"/>
    <x v="0"/>
    <x v="21"/>
    <x v="3"/>
    <x v="12"/>
    <x v="1"/>
  </r>
  <r>
    <x v="2219"/>
    <x v="6"/>
    <x v="7"/>
    <n v="63.6"/>
    <n v="636"/>
    <x v="81"/>
    <d v="2025-03-23T00:00:00"/>
    <x v="1"/>
    <x v="2"/>
    <n v="4"/>
    <x v="0"/>
    <x v="1"/>
    <x v="7"/>
    <x v="12"/>
    <x v="1"/>
  </r>
  <r>
    <x v="2220"/>
    <x v="8"/>
    <x v="0"/>
    <n v="70.5"/>
    <n v="70.5"/>
    <x v="81"/>
    <d v="2025-03-24T00:00:00"/>
    <x v="1"/>
    <x v="0"/>
    <n v="4"/>
    <x v="0"/>
    <x v="3"/>
    <x v="3"/>
    <x v="12"/>
    <x v="1"/>
  </r>
  <r>
    <x v="2221"/>
    <x v="6"/>
    <x v="0"/>
    <n v="41.3"/>
    <n v="41.3"/>
    <x v="81"/>
    <d v="2025-03-23T00:00:00"/>
    <x v="1"/>
    <x v="4"/>
    <n v="4"/>
    <x v="0"/>
    <x v="3"/>
    <x v="7"/>
    <x v="12"/>
    <x v="1"/>
  </r>
  <r>
    <x v="2222"/>
    <x v="4"/>
    <x v="0"/>
    <n v="35.299999999999997"/>
    <n v="35.299999999999997"/>
    <x v="81"/>
    <d v="2025-03-26T00:00:00"/>
    <x v="2"/>
    <x v="4"/>
    <n v="5"/>
    <x v="0"/>
    <x v="3"/>
    <x v="2"/>
    <x v="12"/>
    <x v="2"/>
  </r>
  <r>
    <x v="2223"/>
    <x v="8"/>
    <x v="9"/>
    <n v="34.700000000000003"/>
    <n v="173.5"/>
    <x v="81"/>
    <d v="2025-03-24T00:00:00"/>
    <x v="2"/>
    <x v="0"/>
    <n v="5"/>
    <x v="0"/>
    <x v="3"/>
    <x v="3"/>
    <x v="12"/>
    <x v="2"/>
  </r>
  <r>
    <x v="2224"/>
    <x v="8"/>
    <x v="2"/>
    <n v="26.1"/>
    <n v="78.300000000000011"/>
    <x v="81"/>
    <d v="2025-03-24T00:00:00"/>
    <x v="2"/>
    <x v="0"/>
    <n v="4"/>
    <x v="0"/>
    <x v="3"/>
    <x v="3"/>
    <x v="12"/>
    <x v="2"/>
  </r>
  <r>
    <x v="2225"/>
    <x v="9"/>
    <x v="9"/>
    <n v="22.6"/>
    <n v="113"/>
    <x v="81"/>
    <d v="2025-03-23T00:00:00"/>
    <x v="2"/>
    <x v="1"/>
    <n v="5"/>
    <x v="0"/>
    <x v="3"/>
    <x v="7"/>
    <x v="12"/>
    <x v="2"/>
  </r>
  <r>
    <x v="2226"/>
    <x v="2"/>
    <x v="1"/>
    <n v="154.4"/>
    <n v="308.8"/>
    <x v="81"/>
    <d v="2025-03-26T00:00:00"/>
    <x v="1"/>
    <x v="1"/>
    <n v="3"/>
    <x v="0"/>
    <x v="3"/>
    <x v="2"/>
    <x v="12"/>
    <x v="1"/>
  </r>
  <r>
    <x v="2227"/>
    <x v="8"/>
    <x v="1"/>
    <n v="18.399999999999999"/>
    <n v="36.799999999999997"/>
    <x v="81"/>
    <d v="2025-03-24T00:00:00"/>
    <x v="1"/>
    <x v="0"/>
    <n v="4"/>
    <x v="0"/>
    <x v="3"/>
    <x v="3"/>
    <x v="12"/>
    <x v="1"/>
  </r>
  <r>
    <x v="2228"/>
    <x v="14"/>
    <x v="0"/>
    <n v="25"/>
    <n v="25"/>
    <x v="81"/>
    <d v="2025-03-26T00:00:00"/>
    <x v="2"/>
    <x v="0"/>
    <n v="4"/>
    <x v="0"/>
    <x v="3"/>
    <x v="2"/>
    <x v="12"/>
    <x v="2"/>
  </r>
  <r>
    <x v="2229"/>
    <x v="2"/>
    <x v="13"/>
    <n v="105.6"/>
    <n v="633.59999999999991"/>
    <x v="81"/>
    <d v="2025-03-23T00:00:00"/>
    <x v="2"/>
    <x v="0"/>
    <n v="4"/>
    <x v="0"/>
    <x v="3"/>
    <x v="7"/>
    <x v="12"/>
    <x v="2"/>
  </r>
  <r>
    <x v="2230"/>
    <x v="18"/>
    <x v="8"/>
    <n v="59.6"/>
    <n v="476.8"/>
    <x v="81"/>
    <d v="2025-03-23T00:00:00"/>
    <x v="2"/>
    <x v="0"/>
    <n v="5"/>
    <x v="0"/>
    <x v="23"/>
    <x v="7"/>
    <x v="12"/>
    <x v="2"/>
  </r>
  <r>
    <x v="2231"/>
    <x v="15"/>
    <x v="2"/>
    <n v="75.400000000000006"/>
    <n v="226.20000000000002"/>
    <x v="81"/>
    <d v="2025-03-28T00:00:00"/>
    <x v="1"/>
    <x v="0"/>
    <n v="3"/>
    <x v="0"/>
    <x v="7"/>
    <x v="0"/>
    <x v="12"/>
    <x v="1"/>
  </r>
  <r>
    <x v="2232"/>
    <x v="7"/>
    <x v="0"/>
    <n v="104.4"/>
    <n v="104.4"/>
    <x v="81"/>
    <d v="2025-03-24T00:00:00"/>
    <x v="2"/>
    <x v="0"/>
    <n v="4"/>
    <x v="0"/>
    <x v="8"/>
    <x v="3"/>
    <x v="12"/>
    <x v="2"/>
  </r>
  <r>
    <x v="2233"/>
    <x v="2"/>
    <x v="7"/>
    <n v="208.2"/>
    <n v="2082"/>
    <x v="81"/>
    <d v="2025-03-24T00:00:00"/>
    <x v="1"/>
    <x v="0"/>
    <n v="5"/>
    <x v="0"/>
    <x v="8"/>
    <x v="3"/>
    <x v="12"/>
    <x v="1"/>
  </r>
  <r>
    <x v="2234"/>
    <x v="6"/>
    <x v="1"/>
    <n v="45"/>
    <n v="90"/>
    <x v="81"/>
    <d v="2025-03-26T00:00:00"/>
    <x v="2"/>
    <x v="0"/>
    <n v="4"/>
    <x v="0"/>
    <x v="10"/>
    <x v="2"/>
    <x v="12"/>
    <x v="2"/>
  </r>
  <r>
    <x v="2235"/>
    <x v="15"/>
    <x v="1"/>
    <n v="20.3"/>
    <n v="40.6"/>
    <x v="82"/>
    <d v="2025-03-26T00:00:00"/>
    <x v="0"/>
    <x v="1"/>
    <n v="4"/>
    <x v="0"/>
    <x v="11"/>
    <x v="1"/>
    <x v="12"/>
    <x v="0"/>
  </r>
  <r>
    <x v="2236"/>
    <x v="2"/>
    <x v="2"/>
    <n v="94.4"/>
    <n v="283.20000000000005"/>
    <x v="82"/>
    <d v="2025-03-25T00:00:00"/>
    <x v="2"/>
    <x v="0"/>
    <n v="5"/>
    <x v="0"/>
    <x v="11"/>
    <x v="3"/>
    <x v="12"/>
    <x v="2"/>
  </r>
  <r>
    <x v="2237"/>
    <x v="9"/>
    <x v="0"/>
    <n v="49"/>
    <n v="49"/>
    <x v="82"/>
    <d v="2025-03-26T00:00:00"/>
    <x v="2"/>
    <x v="0"/>
    <n v="5"/>
    <x v="0"/>
    <x v="20"/>
    <x v="1"/>
    <x v="12"/>
    <x v="2"/>
  </r>
  <r>
    <x v="2238"/>
    <x v="4"/>
    <x v="1"/>
    <n v="27.2"/>
    <n v="54.4"/>
    <x v="82"/>
    <d v="2025-03-26T00:00:00"/>
    <x v="1"/>
    <x v="0"/>
    <n v="5"/>
    <x v="0"/>
    <x v="1"/>
    <x v="1"/>
    <x v="12"/>
    <x v="1"/>
  </r>
  <r>
    <x v="2239"/>
    <x v="2"/>
    <x v="13"/>
    <n v="72.599999999999994"/>
    <n v="435.59999999999997"/>
    <x v="82"/>
    <d v="2025-03-25T00:00:00"/>
    <x v="2"/>
    <x v="0"/>
    <n v="5"/>
    <x v="0"/>
    <x v="2"/>
    <x v="3"/>
    <x v="12"/>
    <x v="2"/>
  </r>
  <r>
    <x v="2240"/>
    <x v="15"/>
    <x v="12"/>
    <n v="62.4"/>
    <n v="249.6"/>
    <x v="82"/>
    <d v="2025-03-25T00:00:00"/>
    <x v="2"/>
    <x v="0"/>
    <n v="4"/>
    <x v="0"/>
    <x v="3"/>
    <x v="3"/>
    <x v="12"/>
    <x v="2"/>
  </r>
  <r>
    <x v="2241"/>
    <x v="8"/>
    <x v="2"/>
    <n v="19.100000000000001"/>
    <n v="57.300000000000004"/>
    <x v="82"/>
    <d v="2025-03-26T00:00:00"/>
    <x v="1"/>
    <x v="0"/>
    <n v="3"/>
    <x v="0"/>
    <x v="3"/>
    <x v="1"/>
    <x v="12"/>
    <x v="1"/>
  </r>
  <r>
    <x v="2242"/>
    <x v="10"/>
    <x v="0"/>
    <n v="29.6"/>
    <n v="29.6"/>
    <x v="82"/>
    <d v="2025-03-28T00:00:00"/>
    <x v="1"/>
    <x v="0"/>
    <n v="2"/>
    <x v="0"/>
    <x v="3"/>
    <x v="5"/>
    <x v="12"/>
    <x v="1"/>
  </r>
  <r>
    <x v="2243"/>
    <x v="8"/>
    <x v="1"/>
    <n v="18.899999999999999"/>
    <n v="37.799999999999997"/>
    <x v="82"/>
    <d v="2025-03-26T00:00:00"/>
    <x v="2"/>
    <x v="4"/>
    <n v="5"/>
    <x v="0"/>
    <x v="3"/>
    <x v="1"/>
    <x v="12"/>
    <x v="2"/>
  </r>
  <r>
    <x v="2244"/>
    <x v="10"/>
    <x v="9"/>
    <n v="41.4"/>
    <n v="207"/>
    <x v="82"/>
    <d v="2025-03-25T00:00:00"/>
    <x v="1"/>
    <x v="3"/>
    <n v="4"/>
    <x v="0"/>
    <x v="3"/>
    <x v="3"/>
    <x v="12"/>
    <x v="1"/>
  </r>
  <r>
    <x v="2245"/>
    <x v="2"/>
    <x v="0"/>
    <n v="118.4"/>
    <n v="118.4"/>
    <x v="82"/>
    <d v="2025-03-25T00:00:00"/>
    <x v="2"/>
    <x v="0"/>
    <n v="5"/>
    <x v="0"/>
    <x v="3"/>
    <x v="3"/>
    <x v="12"/>
    <x v="2"/>
  </r>
  <r>
    <x v="2246"/>
    <x v="2"/>
    <x v="1"/>
    <n v="125.3"/>
    <n v="250.6"/>
    <x v="82"/>
    <d v="2025-03-27T00:00:00"/>
    <x v="2"/>
    <x v="0"/>
    <n v="5"/>
    <x v="0"/>
    <x v="3"/>
    <x v="2"/>
    <x v="12"/>
    <x v="2"/>
  </r>
  <r>
    <x v="2247"/>
    <x v="3"/>
    <x v="1"/>
    <n v="85.8"/>
    <n v="171.6"/>
    <x v="82"/>
    <d v="2025-03-25T00:00:00"/>
    <x v="2"/>
    <x v="1"/>
    <n v="2"/>
    <x v="0"/>
    <x v="3"/>
    <x v="3"/>
    <x v="12"/>
    <x v="2"/>
  </r>
  <r>
    <x v="2248"/>
    <x v="6"/>
    <x v="0"/>
    <n v="44.2"/>
    <n v="44.2"/>
    <x v="82"/>
    <d v="2025-03-27T00:00:00"/>
    <x v="1"/>
    <x v="1"/>
    <n v="4"/>
    <x v="0"/>
    <x v="3"/>
    <x v="2"/>
    <x v="12"/>
    <x v="1"/>
  </r>
  <r>
    <x v="2249"/>
    <x v="5"/>
    <x v="12"/>
    <n v="74.099999999999994"/>
    <n v="296.39999999999998"/>
    <x v="82"/>
    <d v="2025-03-26T00:00:00"/>
    <x v="2"/>
    <x v="0"/>
    <n v="4"/>
    <x v="0"/>
    <x v="3"/>
    <x v="1"/>
    <x v="12"/>
    <x v="2"/>
  </r>
  <r>
    <x v="2250"/>
    <x v="8"/>
    <x v="0"/>
    <n v="33.799999999999997"/>
    <n v="33.799999999999997"/>
    <x v="82"/>
    <d v="2025-03-25T00:00:00"/>
    <x v="2"/>
    <x v="2"/>
    <n v="5"/>
    <x v="0"/>
    <x v="24"/>
    <x v="3"/>
    <x v="12"/>
    <x v="2"/>
  </r>
  <r>
    <x v="2251"/>
    <x v="1"/>
    <x v="1"/>
    <n v="39.1"/>
    <n v="78.2"/>
    <x v="82"/>
    <d v="2025-03-25T00:00:00"/>
    <x v="1"/>
    <x v="0"/>
    <n v="3"/>
    <x v="0"/>
    <x v="24"/>
    <x v="3"/>
    <x v="12"/>
    <x v="1"/>
  </r>
  <r>
    <x v="2252"/>
    <x v="0"/>
    <x v="0"/>
    <n v="37.200000000000003"/>
    <n v="37.200000000000003"/>
    <x v="82"/>
    <d v="2025-03-25T00:00:00"/>
    <x v="1"/>
    <x v="0"/>
    <n v="3"/>
    <x v="0"/>
    <x v="16"/>
    <x v="3"/>
    <x v="12"/>
    <x v="1"/>
  </r>
  <r>
    <x v="2253"/>
    <x v="15"/>
    <x v="2"/>
    <n v="33.9"/>
    <n v="101.69999999999999"/>
    <x v="82"/>
    <d v="2025-03-26T00:00:00"/>
    <x v="1"/>
    <x v="2"/>
    <n v="4"/>
    <x v="0"/>
    <x v="6"/>
    <x v="1"/>
    <x v="12"/>
    <x v="1"/>
  </r>
  <r>
    <x v="2254"/>
    <x v="7"/>
    <x v="20"/>
    <n v="73.3"/>
    <n v="1099.5"/>
    <x v="82"/>
    <d v="2025-03-27T00:00:00"/>
    <x v="2"/>
    <x v="2"/>
    <n v="3"/>
    <x v="0"/>
    <x v="8"/>
    <x v="2"/>
    <x v="12"/>
    <x v="2"/>
  </r>
  <r>
    <x v="2255"/>
    <x v="8"/>
    <x v="12"/>
    <n v="35"/>
    <n v="140"/>
    <x v="82"/>
    <d v="2025-03-26T00:00:00"/>
    <x v="2"/>
    <x v="1"/>
    <n v="4"/>
    <x v="0"/>
    <x v="8"/>
    <x v="1"/>
    <x v="12"/>
    <x v="2"/>
  </r>
  <r>
    <x v="2256"/>
    <x v="0"/>
    <x v="2"/>
    <n v="22.2"/>
    <n v="66.599999999999994"/>
    <x v="82"/>
    <d v="2025-03-25T00:00:00"/>
    <x v="1"/>
    <x v="1"/>
    <n v="4"/>
    <x v="0"/>
    <x v="17"/>
    <x v="3"/>
    <x v="12"/>
    <x v="1"/>
  </r>
  <r>
    <x v="2257"/>
    <x v="10"/>
    <x v="0"/>
    <n v="32.4"/>
    <n v="32.4"/>
    <x v="82"/>
    <d v="2025-03-25T00:00:00"/>
    <x v="2"/>
    <x v="0"/>
    <n v="4"/>
    <x v="0"/>
    <x v="11"/>
    <x v="3"/>
    <x v="12"/>
    <x v="2"/>
  </r>
  <r>
    <x v="2258"/>
    <x v="5"/>
    <x v="2"/>
    <n v="88.4"/>
    <n v="265.20000000000005"/>
    <x v="83"/>
    <d v="2025-03-27T00:00:00"/>
    <x v="2"/>
    <x v="1"/>
    <n v="3"/>
    <x v="0"/>
    <x v="11"/>
    <x v="1"/>
    <x v="12"/>
    <x v="2"/>
  </r>
  <r>
    <x v="2259"/>
    <x v="5"/>
    <x v="27"/>
    <n v="30.5"/>
    <n v="488"/>
    <x v="83"/>
    <d v="2025-03-26T00:00:00"/>
    <x v="2"/>
    <x v="2"/>
    <n v="4"/>
    <x v="0"/>
    <x v="11"/>
    <x v="3"/>
    <x v="12"/>
    <x v="2"/>
  </r>
  <r>
    <x v="2260"/>
    <x v="1"/>
    <x v="13"/>
    <n v="38.1"/>
    <n v="228.60000000000002"/>
    <x v="83"/>
    <d v="2025-03-27T00:00:00"/>
    <x v="2"/>
    <x v="0"/>
    <n v="3"/>
    <x v="0"/>
    <x v="11"/>
    <x v="1"/>
    <x v="12"/>
    <x v="2"/>
  </r>
  <r>
    <x v="2261"/>
    <x v="10"/>
    <x v="9"/>
    <n v="37.6"/>
    <n v="188"/>
    <x v="83"/>
    <d v="2025-03-29T00:00:00"/>
    <x v="1"/>
    <x v="0"/>
    <n v="4"/>
    <x v="0"/>
    <x v="11"/>
    <x v="5"/>
    <x v="12"/>
    <x v="1"/>
  </r>
  <r>
    <x v="2262"/>
    <x v="15"/>
    <x v="1"/>
    <n v="31.4"/>
    <n v="62.8"/>
    <x v="83"/>
    <d v="2025-03-26T00:00:00"/>
    <x v="1"/>
    <x v="0"/>
    <n v="5"/>
    <x v="0"/>
    <x v="11"/>
    <x v="3"/>
    <x v="12"/>
    <x v="1"/>
  </r>
  <r>
    <x v="2263"/>
    <x v="6"/>
    <x v="1"/>
    <n v="61.5"/>
    <n v="123"/>
    <x v="83"/>
    <d v="2025-03-26T00:00:00"/>
    <x v="1"/>
    <x v="3"/>
    <n v="4"/>
    <x v="0"/>
    <x v="31"/>
    <x v="3"/>
    <x v="12"/>
    <x v="1"/>
  </r>
  <r>
    <x v="2264"/>
    <x v="6"/>
    <x v="0"/>
    <n v="72.599999999999994"/>
    <n v="72.599999999999994"/>
    <x v="83"/>
    <d v="2025-03-26T00:00:00"/>
    <x v="1"/>
    <x v="0"/>
    <n v="3"/>
    <x v="0"/>
    <x v="21"/>
    <x v="3"/>
    <x v="12"/>
    <x v="1"/>
  </r>
  <r>
    <x v="2265"/>
    <x v="9"/>
    <x v="2"/>
    <n v="26.9"/>
    <n v="80.699999999999989"/>
    <x v="83"/>
    <d v="2025-03-30T00:00:00"/>
    <x v="3"/>
    <x v="4"/>
    <n v="3"/>
    <x v="0"/>
    <x v="46"/>
    <x v="0"/>
    <x v="12"/>
    <x v="3"/>
  </r>
  <r>
    <x v="2266"/>
    <x v="17"/>
    <x v="4"/>
    <n v="29.4"/>
    <n v="352.79999999999995"/>
    <x v="83"/>
    <d v="2025-03-26T00:00:00"/>
    <x v="2"/>
    <x v="1"/>
    <n v="4"/>
    <x v="0"/>
    <x v="51"/>
    <x v="3"/>
    <x v="12"/>
    <x v="2"/>
  </r>
  <r>
    <x v="2267"/>
    <x v="17"/>
    <x v="1"/>
    <n v="42.1"/>
    <n v="84.2"/>
    <x v="83"/>
    <d v="2025-03-26T00:00:00"/>
    <x v="2"/>
    <x v="3"/>
    <n v="3"/>
    <x v="0"/>
    <x v="1"/>
    <x v="3"/>
    <x v="12"/>
    <x v="2"/>
  </r>
  <r>
    <x v="2268"/>
    <x v="5"/>
    <x v="0"/>
    <n v="40.5"/>
    <n v="40.5"/>
    <x v="83"/>
    <d v="2025-03-26T00:00:00"/>
    <x v="2"/>
    <x v="2"/>
    <n v="3"/>
    <x v="0"/>
    <x v="1"/>
    <x v="3"/>
    <x v="12"/>
    <x v="2"/>
  </r>
  <r>
    <x v="2269"/>
    <x v="2"/>
    <x v="12"/>
    <n v="182.3"/>
    <n v="729.2"/>
    <x v="83"/>
    <d v="2025-03-26T00:00:00"/>
    <x v="2"/>
    <x v="1"/>
    <n v="4"/>
    <x v="0"/>
    <x v="1"/>
    <x v="3"/>
    <x v="12"/>
    <x v="2"/>
  </r>
  <r>
    <x v="2270"/>
    <x v="2"/>
    <x v="9"/>
    <n v="157"/>
    <n v="785"/>
    <x v="83"/>
    <d v="2025-03-28T00:00:00"/>
    <x v="2"/>
    <x v="1"/>
    <n v="5"/>
    <x v="0"/>
    <x v="2"/>
    <x v="2"/>
    <x v="12"/>
    <x v="2"/>
  </r>
  <r>
    <x v="2271"/>
    <x v="17"/>
    <x v="9"/>
    <n v="45.2"/>
    <n v="226"/>
    <x v="83"/>
    <d v="2025-03-28T00:00:00"/>
    <x v="2"/>
    <x v="1"/>
    <n v="4"/>
    <x v="0"/>
    <x v="22"/>
    <x v="2"/>
    <x v="12"/>
    <x v="2"/>
  </r>
  <r>
    <x v="2272"/>
    <x v="15"/>
    <x v="12"/>
    <n v="27.4"/>
    <n v="109.6"/>
    <x v="83"/>
    <d v="2025-03-27T00:00:00"/>
    <x v="2"/>
    <x v="0"/>
    <n v="4"/>
    <x v="0"/>
    <x v="3"/>
    <x v="1"/>
    <x v="12"/>
    <x v="2"/>
  </r>
  <r>
    <x v="2273"/>
    <x v="5"/>
    <x v="9"/>
    <n v="34.1"/>
    <n v="170.5"/>
    <x v="83"/>
    <d v="2025-03-27T00:00:00"/>
    <x v="1"/>
    <x v="0"/>
    <n v="5"/>
    <x v="0"/>
    <x v="3"/>
    <x v="1"/>
    <x v="12"/>
    <x v="1"/>
  </r>
  <r>
    <x v="2274"/>
    <x v="0"/>
    <x v="1"/>
    <n v="26"/>
    <n v="52"/>
    <x v="83"/>
    <d v="2025-03-27T00:00:00"/>
    <x v="1"/>
    <x v="2"/>
    <n v="3"/>
    <x v="0"/>
    <x v="3"/>
    <x v="1"/>
    <x v="12"/>
    <x v="1"/>
  </r>
  <r>
    <x v="2275"/>
    <x v="8"/>
    <x v="3"/>
    <n v="19.399999999999999"/>
    <n v="135.79999999999998"/>
    <x v="83"/>
    <d v="2025-03-27T00:00:00"/>
    <x v="0"/>
    <x v="1"/>
    <n v="3"/>
    <x v="0"/>
    <x v="3"/>
    <x v="1"/>
    <x v="12"/>
    <x v="0"/>
  </r>
  <r>
    <x v="2276"/>
    <x v="16"/>
    <x v="2"/>
    <n v="30.3"/>
    <n v="90.9"/>
    <x v="83"/>
    <d v="2025-03-28T00:00:00"/>
    <x v="2"/>
    <x v="1"/>
    <n v="5"/>
    <x v="0"/>
    <x v="3"/>
    <x v="2"/>
    <x v="12"/>
    <x v="2"/>
  </r>
  <r>
    <x v="2277"/>
    <x v="2"/>
    <x v="2"/>
    <n v="101.4"/>
    <n v="304.20000000000005"/>
    <x v="83"/>
    <d v="2025-03-26T00:00:00"/>
    <x v="1"/>
    <x v="0"/>
    <n v="4"/>
    <x v="0"/>
    <x v="3"/>
    <x v="3"/>
    <x v="12"/>
    <x v="1"/>
  </r>
  <r>
    <x v="2278"/>
    <x v="3"/>
    <x v="9"/>
    <n v="55.5"/>
    <n v="277.5"/>
    <x v="83"/>
    <d v="2025-03-28T00:00:00"/>
    <x v="1"/>
    <x v="1"/>
    <n v="4"/>
    <x v="0"/>
    <x v="24"/>
    <x v="2"/>
    <x v="12"/>
    <x v="1"/>
  </r>
  <r>
    <x v="2279"/>
    <x v="8"/>
    <x v="0"/>
    <n v="23.1"/>
    <n v="23.1"/>
    <x v="83"/>
    <d v="2025-03-26T00:00:00"/>
    <x v="1"/>
    <x v="0"/>
    <n v="4"/>
    <x v="0"/>
    <x v="25"/>
    <x v="3"/>
    <x v="12"/>
    <x v="1"/>
  </r>
  <r>
    <x v="2280"/>
    <x v="18"/>
    <x v="1"/>
    <n v="38.9"/>
    <n v="77.8"/>
    <x v="83"/>
    <d v="2025-03-26T00:00:00"/>
    <x v="1"/>
    <x v="2"/>
    <n v="4"/>
    <x v="0"/>
    <x v="25"/>
    <x v="3"/>
    <x v="12"/>
    <x v="1"/>
  </r>
  <r>
    <x v="2281"/>
    <x v="6"/>
    <x v="11"/>
    <n v="116.3"/>
    <n v="1046.7"/>
    <x v="83"/>
    <d v="2025-03-29T00:00:00"/>
    <x v="2"/>
    <x v="0"/>
    <n v="4"/>
    <x v="0"/>
    <x v="5"/>
    <x v="5"/>
    <x v="12"/>
    <x v="2"/>
  </r>
  <r>
    <x v="2282"/>
    <x v="16"/>
    <x v="11"/>
    <n v="64.099999999999994"/>
    <n v="576.9"/>
    <x v="83"/>
    <d v="2025-03-25T00:00:00"/>
    <x v="2"/>
    <x v="0"/>
    <n v="5"/>
    <x v="0"/>
    <x v="6"/>
    <x v="7"/>
    <x v="12"/>
    <x v="2"/>
  </r>
  <r>
    <x v="2283"/>
    <x v="2"/>
    <x v="13"/>
    <n v="109.2"/>
    <n v="655.20000000000005"/>
    <x v="83"/>
    <d v="2025-03-27T00:00:00"/>
    <x v="1"/>
    <x v="0"/>
    <n v="3"/>
    <x v="0"/>
    <x v="8"/>
    <x v="1"/>
    <x v="12"/>
    <x v="1"/>
  </r>
  <r>
    <x v="2284"/>
    <x v="10"/>
    <x v="9"/>
    <n v="23.2"/>
    <n v="116"/>
    <x v="84"/>
    <d v="2025-03-27T00:00:00"/>
    <x v="1"/>
    <x v="0"/>
    <n v="3"/>
    <x v="0"/>
    <x v="8"/>
    <x v="3"/>
    <x v="12"/>
    <x v="1"/>
  </r>
  <r>
    <x v="2285"/>
    <x v="18"/>
    <x v="13"/>
    <n v="81.2"/>
    <n v="487.20000000000005"/>
    <x v="84"/>
    <d v="2025-03-28T00:00:00"/>
    <x v="1"/>
    <x v="2"/>
    <n v="5"/>
    <x v="0"/>
    <x v="8"/>
    <x v="1"/>
    <x v="12"/>
    <x v="1"/>
  </r>
  <r>
    <x v="2286"/>
    <x v="1"/>
    <x v="21"/>
    <n v="35.700000000000003"/>
    <n v="499.80000000000007"/>
    <x v="84"/>
    <d v="2025-03-27T00:00:00"/>
    <x v="1"/>
    <x v="3"/>
    <n v="4"/>
    <x v="0"/>
    <x v="8"/>
    <x v="3"/>
    <x v="12"/>
    <x v="1"/>
  </r>
  <r>
    <x v="2287"/>
    <x v="7"/>
    <x v="1"/>
    <n v="44.5"/>
    <n v="89"/>
    <x v="84"/>
    <d v="2025-03-29T00:00:00"/>
    <x v="1"/>
    <x v="4"/>
    <n v="4"/>
    <x v="0"/>
    <x v="9"/>
    <x v="2"/>
    <x v="12"/>
    <x v="1"/>
  </r>
  <r>
    <x v="2288"/>
    <x v="1"/>
    <x v="9"/>
    <n v="32"/>
    <n v="160"/>
    <x v="84"/>
    <d v="2025-03-28T00:00:00"/>
    <x v="3"/>
    <x v="1"/>
    <n v="3"/>
    <x v="0"/>
    <x v="9"/>
    <x v="1"/>
    <x v="12"/>
    <x v="3"/>
  </r>
  <r>
    <x v="2289"/>
    <x v="8"/>
    <x v="0"/>
    <n v="25.7"/>
    <n v="25.7"/>
    <x v="84"/>
    <d v="2025-03-27T00:00:00"/>
    <x v="1"/>
    <x v="0"/>
    <n v="4"/>
    <x v="0"/>
    <x v="10"/>
    <x v="3"/>
    <x v="12"/>
    <x v="1"/>
  </r>
  <r>
    <x v="2290"/>
    <x v="16"/>
    <x v="2"/>
    <n v="65.599999999999994"/>
    <n v="196.79999999999998"/>
    <x v="84"/>
    <d v="2025-04-01T00:00:00"/>
    <x v="1"/>
    <x v="0"/>
    <n v="4"/>
    <x v="0"/>
    <x v="11"/>
    <x v="4"/>
    <x v="12"/>
    <x v="1"/>
  </r>
  <r>
    <x v="2291"/>
    <x v="1"/>
    <x v="12"/>
    <n v="52.1"/>
    <n v="208.4"/>
    <x v="84"/>
    <d v="2025-03-27T00:00:00"/>
    <x v="2"/>
    <x v="0"/>
    <n v="5"/>
    <x v="0"/>
    <x v="11"/>
    <x v="3"/>
    <x v="12"/>
    <x v="2"/>
  </r>
  <r>
    <x v="2292"/>
    <x v="8"/>
    <x v="0"/>
    <n v="31"/>
    <n v="31"/>
    <x v="84"/>
    <d v="2025-03-27T00:00:00"/>
    <x v="1"/>
    <x v="0"/>
    <n v="3"/>
    <x v="0"/>
    <x v="19"/>
    <x v="3"/>
    <x v="12"/>
    <x v="1"/>
  </r>
  <r>
    <x v="2293"/>
    <x v="8"/>
    <x v="0"/>
    <n v="32"/>
    <n v="32"/>
    <x v="84"/>
    <d v="2025-03-28T00:00:00"/>
    <x v="3"/>
    <x v="3"/>
    <n v="3"/>
    <x v="0"/>
    <x v="31"/>
    <x v="1"/>
    <x v="12"/>
    <x v="3"/>
  </r>
  <r>
    <x v="2294"/>
    <x v="16"/>
    <x v="12"/>
    <n v="58.3"/>
    <n v="233.2"/>
    <x v="84"/>
    <d v="2025-03-30T00:00:00"/>
    <x v="1"/>
    <x v="1"/>
    <n v="2"/>
    <x v="0"/>
    <x v="20"/>
    <x v="5"/>
    <x v="12"/>
    <x v="1"/>
  </r>
  <r>
    <x v="2295"/>
    <x v="8"/>
    <x v="2"/>
    <n v="31"/>
    <n v="93"/>
    <x v="84"/>
    <d v="2025-03-28T00:00:00"/>
    <x v="2"/>
    <x v="2"/>
    <n v="2"/>
    <x v="0"/>
    <x v="13"/>
    <x v="1"/>
    <x v="12"/>
    <x v="2"/>
  </r>
  <r>
    <x v="2296"/>
    <x v="3"/>
    <x v="0"/>
    <n v="40.299999999999997"/>
    <n v="40.299999999999997"/>
    <x v="84"/>
    <d v="2025-03-27T00:00:00"/>
    <x v="1"/>
    <x v="1"/>
    <n v="5"/>
    <x v="0"/>
    <x v="54"/>
    <x v="3"/>
    <x v="12"/>
    <x v="1"/>
  </r>
  <r>
    <x v="2297"/>
    <x v="6"/>
    <x v="2"/>
    <n v="47.3"/>
    <n v="141.89999999999998"/>
    <x v="84"/>
    <d v="2025-03-28T00:00:00"/>
    <x v="1"/>
    <x v="4"/>
    <n v="5"/>
    <x v="0"/>
    <x v="2"/>
    <x v="1"/>
    <x v="12"/>
    <x v="1"/>
  </r>
  <r>
    <x v="2298"/>
    <x v="2"/>
    <x v="0"/>
    <n v="82.8"/>
    <n v="82.8"/>
    <x v="84"/>
    <d v="2025-03-27T00:00:00"/>
    <x v="1"/>
    <x v="0"/>
    <n v="4"/>
    <x v="0"/>
    <x v="2"/>
    <x v="3"/>
    <x v="12"/>
    <x v="1"/>
  </r>
  <r>
    <x v="2299"/>
    <x v="8"/>
    <x v="0"/>
    <n v="18.5"/>
    <n v="18.5"/>
    <x v="84"/>
    <d v="2025-04-09T00:00:00"/>
    <x v="2"/>
    <x v="0"/>
    <n v="4"/>
    <x v="0"/>
    <x v="44"/>
    <x v="12"/>
    <x v="12"/>
    <x v="2"/>
  </r>
  <r>
    <x v="2300"/>
    <x v="3"/>
    <x v="1"/>
    <n v="60.4"/>
    <n v="120.8"/>
    <x v="84"/>
    <d v="2025-03-27T00:00:00"/>
    <x v="1"/>
    <x v="2"/>
    <n v="4"/>
    <x v="0"/>
    <x v="22"/>
    <x v="3"/>
    <x v="12"/>
    <x v="1"/>
  </r>
  <r>
    <x v="2301"/>
    <x v="6"/>
    <x v="9"/>
    <n v="80.2"/>
    <n v="401"/>
    <x v="84"/>
    <d v="2025-04-02T00:00:00"/>
    <x v="1"/>
    <x v="1"/>
    <n v="3"/>
    <x v="0"/>
    <x v="50"/>
    <x v="6"/>
    <x v="12"/>
    <x v="1"/>
  </r>
  <r>
    <x v="2302"/>
    <x v="4"/>
    <x v="0"/>
    <n v="41.5"/>
    <n v="41.5"/>
    <x v="84"/>
    <d v="2025-03-28T00:00:00"/>
    <x v="1"/>
    <x v="2"/>
    <n v="4"/>
    <x v="0"/>
    <x v="3"/>
    <x v="1"/>
    <x v="12"/>
    <x v="1"/>
  </r>
  <r>
    <x v="2303"/>
    <x v="2"/>
    <x v="1"/>
    <n v="83.9"/>
    <n v="167.8"/>
    <x v="84"/>
    <d v="2025-03-29T00:00:00"/>
    <x v="2"/>
    <x v="0"/>
    <n v="4"/>
    <x v="0"/>
    <x v="3"/>
    <x v="2"/>
    <x v="12"/>
    <x v="2"/>
  </r>
  <r>
    <x v="2304"/>
    <x v="8"/>
    <x v="1"/>
    <n v="16.7"/>
    <n v="33.4"/>
    <x v="84"/>
    <d v="2025-03-30T00:00:00"/>
    <x v="2"/>
    <x v="0"/>
    <n v="3"/>
    <x v="0"/>
    <x v="3"/>
    <x v="5"/>
    <x v="12"/>
    <x v="2"/>
  </r>
  <r>
    <x v="2305"/>
    <x v="9"/>
    <x v="1"/>
    <n v="72.900000000000006"/>
    <n v="145.80000000000001"/>
    <x v="84"/>
    <d v="2025-03-27T00:00:00"/>
    <x v="1"/>
    <x v="2"/>
    <n v="3"/>
    <x v="0"/>
    <x v="3"/>
    <x v="3"/>
    <x v="12"/>
    <x v="1"/>
  </r>
  <r>
    <x v="2306"/>
    <x v="5"/>
    <x v="1"/>
    <n v="50.2"/>
    <n v="100.4"/>
    <x v="84"/>
    <d v="2025-03-28T00:00:00"/>
    <x v="2"/>
    <x v="1"/>
    <n v="5"/>
    <x v="0"/>
    <x v="3"/>
    <x v="1"/>
    <x v="12"/>
    <x v="2"/>
  </r>
  <r>
    <x v="2307"/>
    <x v="3"/>
    <x v="1"/>
    <n v="34.200000000000003"/>
    <n v="68.400000000000006"/>
    <x v="84"/>
    <d v="2025-04-05T00:00:00"/>
    <x v="0"/>
    <x v="1"/>
    <n v="4"/>
    <x v="0"/>
    <x v="3"/>
    <x v="14"/>
    <x v="12"/>
    <x v="0"/>
  </r>
  <r>
    <x v="2308"/>
    <x v="5"/>
    <x v="1"/>
    <n v="107.9"/>
    <n v="215.8"/>
    <x v="84"/>
    <d v="2025-03-26T00:00:00"/>
    <x v="1"/>
    <x v="1"/>
    <n v="2"/>
    <x v="0"/>
    <x v="3"/>
    <x v="7"/>
    <x v="12"/>
    <x v="1"/>
  </r>
  <r>
    <x v="2309"/>
    <x v="0"/>
    <x v="2"/>
    <n v="17.5"/>
    <n v="52.5"/>
    <x v="84"/>
    <d v="2025-03-28T00:00:00"/>
    <x v="1"/>
    <x v="4"/>
    <n v="4"/>
    <x v="0"/>
    <x v="3"/>
    <x v="1"/>
    <x v="12"/>
    <x v="1"/>
  </r>
  <r>
    <x v="2310"/>
    <x v="13"/>
    <x v="20"/>
    <n v="44.7"/>
    <n v="670.5"/>
    <x v="84"/>
    <d v="2025-03-27T00:00:00"/>
    <x v="1"/>
    <x v="0"/>
    <n v="3"/>
    <x v="0"/>
    <x v="3"/>
    <x v="3"/>
    <x v="12"/>
    <x v="1"/>
  </r>
  <r>
    <x v="2311"/>
    <x v="12"/>
    <x v="13"/>
    <n v="92.7"/>
    <n v="556.20000000000005"/>
    <x v="84"/>
    <d v="2025-03-28T00:00:00"/>
    <x v="2"/>
    <x v="2"/>
    <n v="3"/>
    <x v="0"/>
    <x v="3"/>
    <x v="1"/>
    <x v="12"/>
    <x v="2"/>
  </r>
  <r>
    <x v="2312"/>
    <x v="7"/>
    <x v="2"/>
    <n v="48.8"/>
    <n v="146.39999999999998"/>
    <x v="84"/>
    <d v="2025-03-28T00:00:00"/>
    <x v="2"/>
    <x v="2"/>
    <n v="4"/>
    <x v="0"/>
    <x v="3"/>
    <x v="1"/>
    <x v="12"/>
    <x v="2"/>
  </r>
  <r>
    <x v="2313"/>
    <x v="4"/>
    <x v="27"/>
    <n v="21.3"/>
    <n v="340.8"/>
    <x v="84"/>
    <d v="2025-03-30T00:00:00"/>
    <x v="2"/>
    <x v="3"/>
    <n v="1"/>
    <x v="0"/>
    <x v="3"/>
    <x v="5"/>
    <x v="12"/>
    <x v="2"/>
  </r>
  <r>
    <x v="2314"/>
    <x v="16"/>
    <x v="0"/>
    <n v="52.5"/>
    <n v="52.5"/>
    <x v="84"/>
    <d v="2025-03-27T00:00:00"/>
    <x v="2"/>
    <x v="0"/>
    <n v="4"/>
    <x v="0"/>
    <x v="3"/>
    <x v="3"/>
    <x v="12"/>
    <x v="2"/>
  </r>
  <r>
    <x v="2315"/>
    <x v="1"/>
    <x v="1"/>
    <n v="92.4"/>
    <n v="184.8"/>
    <x v="84"/>
    <d v="2025-04-01T00:00:00"/>
    <x v="2"/>
    <x v="0"/>
    <n v="5"/>
    <x v="0"/>
    <x v="3"/>
    <x v="4"/>
    <x v="12"/>
    <x v="2"/>
  </r>
  <r>
    <x v="2316"/>
    <x v="4"/>
    <x v="5"/>
    <n v="58.3"/>
    <n v="641.29999999999995"/>
    <x v="84"/>
    <d v="2025-03-28T00:00:00"/>
    <x v="1"/>
    <x v="1"/>
    <n v="5"/>
    <x v="0"/>
    <x v="3"/>
    <x v="1"/>
    <x v="12"/>
    <x v="1"/>
  </r>
  <r>
    <x v="2317"/>
    <x v="6"/>
    <x v="44"/>
    <n v="152.6"/>
    <n v="3509.7999999999997"/>
    <x v="85"/>
    <d v="2025-03-29T00:00:00"/>
    <x v="0"/>
    <x v="0"/>
    <n v="4"/>
    <x v="0"/>
    <x v="3"/>
    <x v="1"/>
    <x v="12"/>
    <x v="0"/>
  </r>
  <r>
    <x v="2318"/>
    <x v="8"/>
    <x v="1"/>
    <n v="26"/>
    <n v="52"/>
    <x v="85"/>
    <d v="2025-03-27T00:00:00"/>
    <x v="0"/>
    <x v="0"/>
    <n v="3"/>
    <x v="0"/>
    <x v="3"/>
    <x v="7"/>
    <x v="12"/>
    <x v="0"/>
  </r>
  <r>
    <x v="2319"/>
    <x v="1"/>
    <x v="12"/>
    <n v="33.1"/>
    <n v="132.4"/>
    <x v="85"/>
    <d v="2025-03-27T00:00:00"/>
    <x v="1"/>
    <x v="2"/>
    <n v="2"/>
    <x v="0"/>
    <x v="5"/>
    <x v="7"/>
    <x v="12"/>
    <x v="1"/>
  </r>
  <r>
    <x v="2320"/>
    <x v="18"/>
    <x v="0"/>
    <n v="51.4"/>
    <n v="51.4"/>
    <x v="85"/>
    <d v="2025-03-29T00:00:00"/>
    <x v="2"/>
    <x v="1"/>
    <n v="3"/>
    <x v="0"/>
    <x v="5"/>
    <x v="1"/>
    <x v="12"/>
    <x v="2"/>
  </r>
  <r>
    <x v="2321"/>
    <x v="8"/>
    <x v="1"/>
    <n v="30.2"/>
    <n v="60.4"/>
    <x v="85"/>
    <d v="2025-03-28T00:00:00"/>
    <x v="2"/>
    <x v="2"/>
    <n v="5"/>
    <x v="0"/>
    <x v="6"/>
    <x v="3"/>
    <x v="12"/>
    <x v="2"/>
  </r>
  <r>
    <x v="2322"/>
    <x v="2"/>
    <x v="13"/>
    <n v="97"/>
    <n v="582"/>
    <x v="85"/>
    <d v="2025-03-31T00:00:00"/>
    <x v="2"/>
    <x v="0"/>
    <n v="5"/>
    <x v="0"/>
    <x v="7"/>
    <x v="5"/>
    <x v="12"/>
    <x v="2"/>
  </r>
  <r>
    <x v="2323"/>
    <x v="2"/>
    <x v="0"/>
    <n v="76.900000000000006"/>
    <n v="76.900000000000006"/>
    <x v="85"/>
    <d v="2025-03-28T00:00:00"/>
    <x v="1"/>
    <x v="1"/>
    <n v="5"/>
    <x v="0"/>
    <x v="8"/>
    <x v="3"/>
    <x v="12"/>
    <x v="1"/>
  </r>
  <r>
    <x v="2324"/>
    <x v="7"/>
    <x v="13"/>
    <n v="36.1"/>
    <n v="216.60000000000002"/>
    <x v="85"/>
    <d v="2025-03-31T00:00:00"/>
    <x v="2"/>
    <x v="0"/>
    <n v="4"/>
    <x v="0"/>
    <x v="8"/>
    <x v="5"/>
    <x v="12"/>
    <x v="2"/>
  </r>
  <r>
    <x v="2325"/>
    <x v="1"/>
    <x v="3"/>
    <n v="34.4"/>
    <n v="240.79999999999998"/>
    <x v="85"/>
    <d v="2025-03-27T00:00:00"/>
    <x v="2"/>
    <x v="2"/>
    <n v="3"/>
    <x v="0"/>
    <x v="11"/>
    <x v="7"/>
    <x v="12"/>
    <x v="2"/>
  </r>
  <r>
    <x v="2326"/>
    <x v="1"/>
    <x v="31"/>
    <n v="53.4"/>
    <n v="1495.2"/>
    <x v="85"/>
    <d v="2025-03-29T00:00:00"/>
    <x v="2"/>
    <x v="1"/>
    <n v="4"/>
    <x v="0"/>
    <x v="18"/>
    <x v="1"/>
    <x v="12"/>
    <x v="2"/>
  </r>
  <r>
    <x v="2327"/>
    <x v="2"/>
    <x v="0"/>
    <n v="77.599999999999994"/>
    <n v="77.599999999999994"/>
    <x v="85"/>
    <d v="2025-03-28T00:00:00"/>
    <x v="2"/>
    <x v="0"/>
    <n v="3"/>
    <x v="0"/>
    <x v="19"/>
    <x v="3"/>
    <x v="12"/>
    <x v="2"/>
  </r>
  <r>
    <x v="2328"/>
    <x v="1"/>
    <x v="2"/>
    <n v="71.7"/>
    <n v="215.10000000000002"/>
    <x v="85"/>
    <d v="2025-03-30T00:00:00"/>
    <x v="2"/>
    <x v="1"/>
    <n v="4"/>
    <x v="0"/>
    <x v="19"/>
    <x v="2"/>
    <x v="12"/>
    <x v="2"/>
  </r>
  <r>
    <x v="2329"/>
    <x v="3"/>
    <x v="2"/>
    <n v="80.599999999999994"/>
    <n v="241.79999999999998"/>
    <x v="85"/>
    <d v="2025-03-28T00:00:00"/>
    <x v="1"/>
    <x v="4"/>
    <n v="3"/>
    <x v="0"/>
    <x v="19"/>
    <x v="3"/>
    <x v="12"/>
    <x v="1"/>
  </r>
  <r>
    <x v="2330"/>
    <x v="1"/>
    <x v="20"/>
    <n v="70"/>
    <n v="1050"/>
    <x v="85"/>
    <d v="2025-03-29T00:00:00"/>
    <x v="1"/>
    <x v="0"/>
    <n v="4"/>
    <x v="0"/>
    <x v="20"/>
    <x v="1"/>
    <x v="12"/>
    <x v="1"/>
  </r>
  <r>
    <x v="2331"/>
    <x v="4"/>
    <x v="13"/>
    <n v="27.3"/>
    <n v="163.80000000000001"/>
    <x v="85"/>
    <d v="2025-03-29T00:00:00"/>
    <x v="2"/>
    <x v="1"/>
    <n v="3"/>
    <x v="0"/>
    <x v="2"/>
    <x v="1"/>
    <x v="12"/>
    <x v="2"/>
  </r>
  <r>
    <x v="2332"/>
    <x v="8"/>
    <x v="21"/>
    <n v="37.6"/>
    <n v="526.4"/>
    <x v="85"/>
    <d v="2025-03-29T00:00:00"/>
    <x v="1"/>
    <x v="1"/>
    <n v="4"/>
    <x v="0"/>
    <x v="3"/>
    <x v="1"/>
    <x v="12"/>
    <x v="1"/>
  </r>
  <r>
    <x v="2333"/>
    <x v="5"/>
    <x v="2"/>
    <n v="36.6"/>
    <n v="109.80000000000001"/>
    <x v="85"/>
    <d v="2025-03-29T00:00:00"/>
    <x v="2"/>
    <x v="4"/>
    <n v="4"/>
    <x v="0"/>
    <x v="3"/>
    <x v="1"/>
    <x v="12"/>
    <x v="2"/>
  </r>
  <r>
    <x v="2334"/>
    <x v="13"/>
    <x v="0"/>
    <n v="55.2"/>
    <n v="55.2"/>
    <x v="85"/>
    <d v="2025-03-29T00:00:00"/>
    <x v="1"/>
    <x v="3"/>
    <n v="4"/>
    <x v="0"/>
    <x v="3"/>
    <x v="1"/>
    <x v="12"/>
    <x v="1"/>
  </r>
  <r>
    <x v="2335"/>
    <x v="6"/>
    <x v="9"/>
    <n v="59.9"/>
    <n v="299.5"/>
    <x v="85"/>
    <d v="2025-03-29T00:00:00"/>
    <x v="1"/>
    <x v="0"/>
    <n v="4"/>
    <x v="0"/>
    <x v="3"/>
    <x v="1"/>
    <x v="12"/>
    <x v="1"/>
  </r>
  <r>
    <x v="2336"/>
    <x v="6"/>
    <x v="0"/>
    <n v="44"/>
    <n v="44"/>
    <x v="85"/>
    <d v="2025-03-28T00:00:00"/>
    <x v="2"/>
    <x v="2"/>
    <n v="5"/>
    <x v="0"/>
    <x v="3"/>
    <x v="3"/>
    <x v="12"/>
    <x v="2"/>
  </r>
  <r>
    <x v="2337"/>
    <x v="9"/>
    <x v="1"/>
    <n v="68.7"/>
    <n v="137.4"/>
    <x v="85"/>
    <d v="2025-03-27T00:00:00"/>
    <x v="1"/>
    <x v="0"/>
    <n v="4"/>
    <x v="0"/>
    <x v="3"/>
    <x v="7"/>
    <x v="12"/>
    <x v="1"/>
  </r>
  <r>
    <x v="2338"/>
    <x v="5"/>
    <x v="1"/>
    <n v="61.6"/>
    <n v="123.2"/>
    <x v="85"/>
    <d v="2025-03-31T00:00:00"/>
    <x v="1"/>
    <x v="3"/>
    <n v="3"/>
    <x v="0"/>
    <x v="3"/>
    <x v="5"/>
    <x v="12"/>
    <x v="1"/>
  </r>
  <r>
    <x v="2339"/>
    <x v="7"/>
    <x v="3"/>
    <n v="51.8"/>
    <n v="362.59999999999997"/>
    <x v="85"/>
    <d v="2025-03-28T00:00:00"/>
    <x v="1"/>
    <x v="0"/>
    <n v="4"/>
    <x v="0"/>
    <x v="3"/>
    <x v="3"/>
    <x v="12"/>
    <x v="1"/>
  </r>
  <r>
    <x v="2340"/>
    <x v="8"/>
    <x v="7"/>
    <n v="46.2"/>
    <n v="462"/>
    <x v="85"/>
    <d v="2025-03-29T00:00:00"/>
    <x v="1"/>
    <x v="1"/>
    <n v="5"/>
    <x v="0"/>
    <x v="3"/>
    <x v="1"/>
    <x v="12"/>
    <x v="1"/>
  </r>
  <r>
    <x v="2341"/>
    <x v="0"/>
    <x v="1"/>
    <n v="19.399999999999999"/>
    <n v="38.799999999999997"/>
    <x v="85"/>
    <d v="2025-03-29T00:00:00"/>
    <x v="2"/>
    <x v="1"/>
    <n v="5"/>
    <x v="0"/>
    <x v="6"/>
    <x v="1"/>
    <x v="12"/>
    <x v="2"/>
  </r>
  <r>
    <x v="2342"/>
    <x v="11"/>
    <x v="2"/>
    <n v="52.1"/>
    <n v="156.30000000000001"/>
    <x v="85"/>
    <d v="2025-03-30T00:00:00"/>
    <x v="1"/>
    <x v="3"/>
    <n v="1"/>
    <x v="0"/>
    <x v="6"/>
    <x v="2"/>
    <x v="12"/>
    <x v="1"/>
  </r>
  <r>
    <x v="2343"/>
    <x v="6"/>
    <x v="0"/>
    <n v="74.900000000000006"/>
    <n v="74.900000000000006"/>
    <x v="85"/>
    <d v="2025-03-29T00:00:00"/>
    <x v="3"/>
    <x v="0"/>
    <n v="4"/>
    <x v="0"/>
    <x v="7"/>
    <x v="1"/>
    <x v="12"/>
    <x v="3"/>
  </r>
  <r>
    <x v="2344"/>
    <x v="9"/>
    <x v="3"/>
    <n v="49.6"/>
    <n v="347.2"/>
    <x v="85"/>
    <d v="2025-03-30T00:00:00"/>
    <x v="2"/>
    <x v="4"/>
    <n v="4"/>
    <x v="0"/>
    <x v="8"/>
    <x v="2"/>
    <x v="12"/>
    <x v="2"/>
  </r>
  <r>
    <x v="2345"/>
    <x v="16"/>
    <x v="12"/>
    <n v="82.8"/>
    <n v="331.2"/>
    <x v="86"/>
    <d v="2025-03-31T00:00:00"/>
    <x v="2"/>
    <x v="4"/>
    <n v="4"/>
    <x v="0"/>
    <x v="8"/>
    <x v="2"/>
    <x v="12"/>
    <x v="2"/>
  </r>
  <r>
    <x v="2346"/>
    <x v="2"/>
    <x v="0"/>
    <n v="97.7"/>
    <n v="97.7"/>
    <x v="86"/>
    <d v="2025-03-29T00:00:00"/>
    <x v="2"/>
    <x v="1"/>
    <n v="4"/>
    <x v="0"/>
    <x v="8"/>
    <x v="3"/>
    <x v="12"/>
    <x v="2"/>
  </r>
  <r>
    <x v="2347"/>
    <x v="6"/>
    <x v="9"/>
    <n v="83.6"/>
    <n v="418"/>
    <x v="86"/>
    <d v="2025-03-29T00:00:00"/>
    <x v="2"/>
    <x v="4"/>
    <n v="4"/>
    <x v="0"/>
    <x v="8"/>
    <x v="3"/>
    <x v="12"/>
    <x v="2"/>
  </r>
  <r>
    <x v="2348"/>
    <x v="8"/>
    <x v="9"/>
    <n v="23.5"/>
    <n v="117.5"/>
    <x v="86"/>
    <d v="2025-04-01T00:00:00"/>
    <x v="3"/>
    <x v="0"/>
    <n v="4"/>
    <x v="0"/>
    <x v="8"/>
    <x v="5"/>
    <x v="12"/>
    <x v="3"/>
  </r>
  <r>
    <x v="2349"/>
    <x v="9"/>
    <x v="2"/>
    <n v="44.6"/>
    <n v="133.80000000000001"/>
    <x v="86"/>
    <d v="2025-03-31T00:00:00"/>
    <x v="2"/>
    <x v="4"/>
    <n v="3"/>
    <x v="0"/>
    <x v="26"/>
    <x v="2"/>
    <x v="12"/>
    <x v="2"/>
  </r>
  <r>
    <x v="2350"/>
    <x v="0"/>
    <x v="2"/>
    <n v="20.100000000000001"/>
    <n v="60.300000000000004"/>
    <x v="86"/>
    <d v="2025-03-30T00:00:00"/>
    <x v="2"/>
    <x v="3"/>
    <n v="2"/>
    <x v="0"/>
    <x v="11"/>
    <x v="1"/>
    <x v="12"/>
    <x v="2"/>
  </r>
  <r>
    <x v="2351"/>
    <x v="2"/>
    <x v="9"/>
    <n v="153.6"/>
    <n v="768"/>
    <x v="86"/>
    <d v="2025-03-29T00:00:00"/>
    <x v="2"/>
    <x v="1"/>
    <n v="5"/>
    <x v="0"/>
    <x v="53"/>
    <x v="3"/>
    <x v="12"/>
    <x v="2"/>
  </r>
  <r>
    <x v="2352"/>
    <x v="1"/>
    <x v="1"/>
    <n v="71.8"/>
    <n v="143.6"/>
    <x v="86"/>
    <d v="2025-04-01T00:00:00"/>
    <x v="2"/>
    <x v="1"/>
    <n v="4"/>
    <x v="0"/>
    <x v="1"/>
    <x v="5"/>
    <x v="12"/>
    <x v="2"/>
  </r>
  <r>
    <x v="2353"/>
    <x v="10"/>
    <x v="0"/>
    <n v="64.7"/>
    <n v="64.7"/>
    <x v="86"/>
    <d v="2025-03-30T00:00:00"/>
    <x v="0"/>
    <x v="0"/>
    <n v="3"/>
    <x v="0"/>
    <x v="1"/>
    <x v="1"/>
    <x v="12"/>
    <x v="0"/>
  </r>
  <r>
    <x v="2354"/>
    <x v="9"/>
    <x v="8"/>
    <n v="60.4"/>
    <n v="483.2"/>
    <x v="86"/>
    <d v="2025-03-30T00:00:00"/>
    <x v="2"/>
    <x v="3"/>
    <n v="5"/>
    <x v="0"/>
    <x v="2"/>
    <x v="1"/>
    <x v="12"/>
    <x v="2"/>
  </r>
  <r>
    <x v="2355"/>
    <x v="6"/>
    <x v="12"/>
    <n v="86"/>
    <n v="344"/>
    <x v="86"/>
    <d v="2025-03-31T00:00:00"/>
    <x v="2"/>
    <x v="2"/>
    <n v="5"/>
    <x v="0"/>
    <x v="22"/>
    <x v="2"/>
    <x v="12"/>
    <x v="2"/>
  </r>
  <r>
    <x v="2356"/>
    <x v="12"/>
    <x v="1"/>
    <n v="42.1"/>
    <n v="84.2"/>
    <x v="86"/>
    <d v="2025-03-29T00:00:00"/>
    <x v="2"/>
    <x v="4"/>
    <n v="3"/>
    <x v="0"/>
    <x v="34"/>
    <x v="3"/>
    <x v="12"/>
    <x v="2"/>
  </r>
  <r>
    <x v="2357"/>
    <x v="16"/>
    <x v="11"/>
    <n v="51.1"/>
    <n v="459.90000000000003"/>
    <x v="86"/>
    <d v="2025-03-29T00:00:00"/>
    <x v="1"/>
    <x v="2"/>
    <n v="3"/>
    <x v="0"/>
    <x v="3"/>
    <x v="3"/>
    <x v="12"/>
    <x v="1"/>
  </r>
  <r>
    <x v="2358"/>
    <x v="9"/>
    <x v="12"/>
    <n v="73.8"/>
    <n v="295.2"/>
    <x v="86"/>
    <d v="2025-03-29T00:00:00"/>
    <x v="1"/>
    <x v="4"/>
    <n v="4"/>
    <x v="0"/>
    <x v="3"/>
    <x v="3"/>
    <x v="12"/>
    <x v="1"/>
  </r>
  <r>
    <x v="2359"/>
    <x v="8"/>
    <x v="9"/>
    <n v="27"/>
    <n v="135"/>
    <x v="86"/>
    <d v="2025-03-31T00:00:00"/>
    <x v="2"/>
    <x v="2"/>
    <n v="5"/>
    <x v="0"/>
    <x v="3"/>
    <x v="2"/>
    <x v="12"/>
    <x v="2"/>
  </r>
  <r>
    <x v="2360"/>
    <x v="8"/>
    <x v="13"/>
    <n v="60.1"/>
    <n v="360.6"/>
    <x v="86"/>
    <d v="2025-03-29T00:00:00"/>
    <x v="1"/>
    <x v="3"/>
    <n v="4"/>
    <x v="0"/>
    <x v="3"/>
    <x v="3"/>
    <x v="12"/>
    <x v="1"/>
  </r>
  <r>
    <x v="2361"/>
    <x v="2"/>
    <x v="3"/>
    <n v="94.1"/>
    <n v="658.69999999999993"/>
    <x v="86"/>
    <d v="2025-03-30T00:00:00"/>
    <x v="2"/>
    <x v="4"/>
    <n v="3"/>
    <x v="0"/>
    <x v="3"/>
    <x v="1"/>
    <x v="12"/>
    <x v="2"/>
  </r>
  <r>
    <x v="2362"/>
    <x v="2"/>
    <x v="1"/>
    <n v="124.1"/>
    <n v="248.2"/>
    <x v="86"/>
    <d v="2025-03-28T00:00:00"/>
    <x v="2"/>
    <x v="2"/>
    <n v="1"/>
    <x v="0"/>
    <x v="43"/>
    <x v="7"/>
    <x v="12"/>
    <x v="2"/>
  </r>
  <r>
    <x v="2363"/>
    <x v="8"/>
    <x v="12"/>
    <n v="16.899999999999999"/>
    <n v="67.599999999999994"/>
    <x v="86"/>
    <d v="2025-03-31T00:00:00"/>
    <x v="1"/>
    <x v="3"/>
    <n v="4"/>
    <x v="0"/>
    <x v="6"/>
    <x v="2"/>
    <x v="12"/>
    <x v="1"/>
  </r>
  <r>
    <x v="2364"/>
    <x v="1"/>
    <x v="0"/>
    <n v="36.9"/>
    <n v="36.9"/>
    <x v="86"/>
    <d v="2025-03-29T00:00:00"/>
    <x v="1"/>
    <x v="0"/>
    <n v="4"/>
    <x v="0"/>
    <x v="6"/>
    <x v="3"/>
    <x v="12"/>
    <x v="1"/>
  </r>
  <r>
    <x v="2365"/>
    <x v="9"/>
    <x v="1"/>
    <n v="22.6"/>
    <n v="45.2"/>
    <x v="86"/>
    <d v="2025-04-10T00:00:00"/>
    <x v="2"/>
    <x v="2"/>
    <n v="3"/>
    <x v="0"/>
    <x v="8"/>
    <x v="10"/>
    <x v="12"/>
    <x v="2"/>
  </r>
  <r>
    <x v="2366"/>
    <x v="7"/>
    <x v="12"/>
    <n v="35"/>
    <n v="140"/>
    <x v="86"/>
    <d v="2025-04-02T00:00:00"/>
    <x v="1"/>
    <x v="3"/>
    <n v="3"/>
    <x v="0"/>
    <x v="8"/>
    <x v="0"/>
    <x v="12"/>
    <x v="1"/>
  </r>
  <r>
    <x v="2367"/>
    <x v="9"/>
    <x v="13"/>
    <n v="63.6"/>
    <n v="381.6"/>
    <x v="86"/>
    <d v="2025-04-04T00:00:00"/>
    <x v="0"/>
    <x v="1"/>
    <n v="5"/>
    <x v="0"/>
    <x v="8"/>
    <x v="6"/>
    <x v="12"/>
    <x v="0"/>
  </r>
  <r>
    <x v="2368"/>
    <x v="15"/>
    <x v="12"/>
    <n v="78.599999999999994"/>
    <n v="314.39999999999998"/>
    <x v="86"/>
    <d v="2025-03-29T00:00:00"/>
    <x v="1"/>
    <x v="4"/>
    <n v="3"/>
    <x v="0"/>
    <x v="8"/>
    <x v="3"/>
    <x v="12"/>
    <x v="1"/>
  </r>
  <r>
    <x v="2369"/>
    <x v="3"/>
    <x v="1"/>
    <n v="38.5"/>
    <n v="77"/>
    <x v="86"/>
    <d v="2025-03-29T00:00:00"/>
    <x v="1"/>
    <x v="0"/>
    <n v="5"/>
    <x v="0"/>
    <x v="8"/>
    <x v="3"/>
    <x v="12"/>
    <x v="1"/>
  </r>
  <r>
    <x v="2370"/>
    <x v="8"/>
    <x v="5"/>
    <n v="71.5"/>
    <n v="786.5"/>
    <x v="86"/>
    <d v="2025-03-29T00:00:00"/>
    <x v="2"/>
    <x v="1"/>
    <n v="2"/>
    <x v="0"/>
    <x v="8"/>
    <x v="3"/>
    <x v="12"/>
    <x v="2"/>
  </r>
  <r>
    <x v="2371"/>
    <x v="6"/>
    <x v="12"/>
    <n v="121.4"/>
    <n v="485.6"/>
    <x v="86"/>
    <d v="2025-04-01T00:00:00"/>
    <x v="1"/>
    <x v="1"/>
    <n v="5"/>
    <x v="0"/>
    <x v="17"/>
    <x v="5"/>
    <x v="12"/>
    <x v="1"/>
  </r>
  <r>
    <x v="2372"/>
    <x v="11"/>
    <x v="0"/>
    <n v="40.200000000000003"/>
    <n v="40.200000000000003"/>
    <x v="86"/>
    <d v="2025-03-31T00:00:00"/>
    <x v="2"/>
    <x v="0"/>
    <n v="5"/>
    <x v="0"/>
    <x v="11"/>
    <x v="2"/>
    <x v="12"/>
    <x v="2"/>
  </r>
  <r>
    <x v="2373"/>
    <x v="5"/>
    <x v="9"/>
    <n v="31.9"/>
    <n v="159.5"/>
    <x v="86"/>
    <d v="2025-03-30T00:00:00"/>
    <x v="2"/>
    <x v="2"/>
    <n v="5"/>
    <x v="0"/>
    <x v="28"/>
    <x v="1"/>
    <x v="12"/>
    <x v="2"/>
  </r>
  <r>
    <x v="2374"/>
    <x v="14"/>
    <x v="9"/>
    <n v="15.8"/>
    <n v="79"/>
    <x v="87"/>
    <d v="2025-03-30T00:00:00"/>
    <x v="1"/>
    <x v="3"/>
    <n v="5"/>
    <x v="0"/>
    <x v="21"/>
    <x v="3"/>
    <x v="12"/>
    <x v="1"/>
  </r>
  <r>
    <x v="2375"/>
    <x v="10"/>
    <x v="1"/>
    <n v="25.1"/>
    <n v="50.2"/>
    <x v="87"/>
    <d v="2025-03-31T00:00:00"/>
    <x v="0"/>
    <x v="1"/>
    <n v="4"/>
    <x v="0"/>
    <x v="21"/>
    <x v="1"/>
    <x v="12"/>
    <x v="0"/>
  </r>
  <r>
    <x v="2376"/>
    <x v="1"/>
    <x v="44"/>
    <n v="38.1"/>
    <n v="876.30000000000007"/>
    <x v="87"/>
    <d v="2025-03-30T00:00:00"/>
    <x v="2"/>
    <x v="4"/>
    <n v="4"/>
    <x v="0"/>
    <x v="1"/>
    <x v="3"/>
    <x v="12"/>
    <x v="2"/>
  </r>
  <r>
    <x v="2377"/>
    <x v="3"/>
    <x v="1"/>
    <n v="42.2"/>
    <n v="84.4"/>
    <x v="87"/>
    <d v="2025-03-31T00:00:00"/>
    <x v="2"/>
    <x v="0"/>
    <n v="5"/>
    <x v="0"/>
    <x v="1"/>
    <x v="1"/>
    <x v="12"/>
    <x v="2"/>
  </r>
  <r>
    <x v="2378"/>
    <x v="0"/>
    <x v="7"/>
    <n v="12.3"/>
    <n v="123"/>
    <x v="87"/>
    <d v="2025-03-30T00:00:00"/>
    <x v="2"/>
    <x v="4"/>
    <n v="4"/>
    <x v="0"/>
    <x v="2"/>
    <x v="3"/>
    <x v="12"/>
    <x v="2"/>
  </r>
  <r>
    <x v="2379"/>
    <x v="7"/>
    <x v="0"/>
    <n v="30.2"/>
    <n v="30.2"/>
    <x v="87"/>
    <d v="2025-03-31T00:00:00"/>
    <x v="2"/>
    <x v="1"/>
    <n v="5"/>
    <x v="0"/>
    <x v="34"/>
    <x v="1"/>
    <x v="12"/>
    <x v="2"/>
  </r>
  <r>
    <x v="2380"/>
    <x v="5"/>
    <x v="2"/>
    <n v="25.3"/>
    <n v="75.900000000000006"/>
    <x v="87"/>
    <d v="2025-04-01T00:00:00"/>
    <x v="2"/>
    <x v="2"/>
    <n v="4"/>
    <x v="0"/>
    <x v="3"/>
    <x v="2"/>
    <x v="12"/>
    <x v="2"/>
  </r>
  <r>
    <x v="2381"/>
    <x v="8"/>
    <x v="9"/>
    <n v="29.7"/>
    <n v="148.5"/>
    <x v="87"/>
    <d v="2025-03-31T00:00:00"/>
    <x v="1"/>
    <x v="3"/>
    <n v="4"/>
    <x v="0"/>
    <x v="3"/>
    <x v="1"/>
    <x v="12"/>
    <x v="1"/>
  </r>
  <r>
    <x v="2382"/>
    <x v="9"/>
    <x v="8"/>
    <n v="32.9"/>
    <n v="263.2"/>
    <x v="87"/>
    <d v="2025-03-30T00:00:00"/>
    <x v="0"/>
    <x v="3"/>
    <n v="5"/>
    <x v="0"/>
    <x v="3"/>
    <x v="3"/>
    <x v="12"/>
    <x v="0"/>
  </r>
  <r>
    <x v="2383"/>
    <x v="10"/>
    <x v="1"/>
    <n v="43.6"/>
    <n v="87.2"/>
    <x v="87"/>
    <d v="2025-03-30T00:00:00"/>
    <x v="1"/>
    <x v="1"/>
    <n v="5"/>
    <x v="0"/>
    <x v="3"/>
    <x v="3"/>
    <x v="12"/>
    <x v="1"/>
  </r>
  <r>
    <x v="2384"/>
    <x v="15"/>
    <x v="12"/>
    <n v="78.400000000000006"/>
    <n v="313.60000000000002"/>
    <x v="87"/>
    <d v="2025-03-30T00:00:00"/>
    <x v="1"/>
    <x v="2"/>
    <n v="4"/>
    <x v="0"/>
    <x v="3"/>
    <x v="3"/>
    <x v="12"/>
    <x v="1"/>
  </r>
  <r>
    <x v="2385"/>
    <x v="6"/>
    <x v="1"/>
    <n v="56.5"/>
    <n v="113"/>
    <x v="87"/>
    <d v="2025-04-02T00:00:00"/>
    <x v="1"/>
    <x v="1"/>
    <n v="3"/>
    <x v="0"/>
    <x v="3"/>
    <x v="5"/>
    <x v="12"/>
    <x v="1"/>
  </r>
  <r>
    <x v="2386"/>
    <x v="16"/>
    <x v="0"/>
    <n v="36.700000000000003"/>
    <n v="36.700000000000003"/>
    <x v="87"/>
    <d v="2025-03-30T00:00:00"/>
    <x v="2"/>
    <x v="0"/>
    <n v="5"/>
    <x v="0"/>
    <x v="3"/>
    <x v="3"/>
    <x v="12"/>
    <x v="2"/>
  </r>
  <r>
    <x v="2387"/>
    <x v="2"/>
    <x v="12"/>
    <n v="103.6"/>
    <n v="414.4"/>
    <x v="87"/>
    <d v="2025-04-09T00:00:00"/>
    <x v="1"/>
    <x v="4"/>
    <n v="5"/>
    <x v="0"/>
    <x v="3"/>
    <x v="11"/>
    <x v="12"/>
    <x v="1"/>
  </r>
  <r>
    <x v="2388"/>
    <x v="8"/>
    <x v="13"/>
    <n v="16.2"/>
    <n v="97.199999999999989"/>
    <x v="87"/>
    <d v="2025-04-02T00:00:00"/>
    <x v="1"/>
    <x v="1"/>
    <n v="5"/>
    <x v="0"/>
    <x v="6"/>
    <x v="5"/>
    <x v="12"/>
    <x v="1"/>
  </r>
  <r>
    <x v="2389"/>
    <x v="8"/>
    <x v="1"/>
    <n v="20.2"/>
    <n v="40.4"/>
    <x v="87"/>
    <d v="2025-03-30T00:00:00"/>
    <x v="2"/>
    <x v="0"/>
    <n v="4"/>
    <x v="0"/>
    <x v="6"/>
    <x v="3"/>
    <x v="12"/>
    <x v="2"/>
  </r>
  <r>
    <x v="2390"/>
    <x v="11"/>
    <x v="1"/>
    <n v="26.9"/>
    <n v="53.8"/>
    <x v="87"/>
    <d v="2025-03-31T00:00:00"/>
    <x v="2"/>
    <x v="2"/>
    <n v="4"/>
    <x v="0"/>
    <x v="6"/>
    <x v="1"/>
    <x v="12"/>
    <x v="2"/>
  </r>
  <r>
    <x v="2391"/>
    <x v="1"/>
    <x v="1"/>
    <n v="82.4"/>
    <n v="164.8"/>
    <x v="87"/>
    <d v="2025-04-01T00:00:00"/>
    <x v="0"/>
    <x v="0"/>
    <n v="4"/>
    <x v="0"/>
    <x v="7"/>
    <x v="2"/>
    <x v="12"/>
    <x v="0"/>
  </r>
  <r>
    <x v="2392"/>
    <x v="2"/>
    <x v="1"/>
    <n v="117.8"/>
    <n v="235.6"/>
    <x v="87"/>
    <d v="2025-03-31T00:00:00"/>
    <x v="1"/>
    <x v="1"/>
    <n v="5"/>
    <x v="0"/>
    <x v="8"/>
    <x v="1"/>
    <x v="12"/>
    <x v="1"/>
  </r>
  <r>
    <x v="2393"/>
    <x v="11"/>
    <x v="12"/>
    <n v="36.700000000000003"/>
    <n v="146.80000000000001"/>
    <x v="87"/>
    <d v="2025-03-30T00:00:00"/>
    <x v="1"/>
    <x v="1"/>
    <n v="4"/>
    <x v="0"/>
    <x v="8"/>
    <x v="3"/>
    <x v="12"/>
    <x v="1"/>
  </r>
  <r>
    <x v="2394"/>
    <x v="17"/>
    <x v="2"/>
    <n v="46.8"/>
    <n v="140.39999999999998"/>
    <x v="87"/>
    <d v="2025-03-30T00:00:00"/>
    <x v="1"/>
    <x v="4"/>
    <n v="5"/>
    <x v="0"/>
    <x v="10"/>
    <x v="3"/>
    <x v="12"/>
    <x v="1"/>
  </r>
  <r>
    <x v="2395"/>
    <x v="3"/>
    <x v="0"/>
    <n v="61.4"/>
    <n v="61.4"/>
    <x v="87"/>
    <d v="2025-03-30T00:00:00"/>
    <x v="1"/>
    <x v="1"/>
    <n v="4"/>
    <x v="0"/>
    <x v="10"/>
    <x v="3"/>
    <x v="12"/>
    <x v="1"/>
  </r>
  <r>
    <x v="2396"/>
    <x v="15"/>
    <x v="1"/>
    <n v="22.9"/>
    <n v="45.8"/>
    <x v="87"/>
    <d v="2025-03-30T00:00:00"/>
    <x v="1"/>
    <x v="0"/>
    <n v="4"/>
    <x v="0"/>
    <x v="11"/>
    <x v="3"/>
    <x v="12"/>
    <x v="1"/>
  </r>
  <r>
    <x v="2397"/>
    <x v="10"/>
    <x v="1"/>
    <n v="22.1"/>
    <n v="44.2"/>
    <x v="87"/>
    <d v="2025-03-30T00:00:00"/>
    <x v="2"/>
    <x v="4"/>
    <n v="4"/>
    <x v="0"/>
    <x v="11"/>
    <x v="3"/>
    <x v="12"/>
    <x v="2"/>
  </r>
  <r>
    <x v="2398"/>
    <x v="12"/>
    <x v="1"/>
    <n v="31"/>
    <n v="62"/>
    <x v="87"/>
    <d v="2025-03-31T00:00:00"/>
    <x v="2"/>
    <x v="2"/>
    <n v="4"/>
    <x v="0"/>
    <x v="18"/>
    <x v="1"/>
    <x v="12"/>
    <x v="2"/>
  </r>
  <r>
    <x v="2399"/>
    <x v="18"/>
    <x v="1"/>
    <n v="84.2"/>
    <n v="168.4"/>
    <x v="87"/>
    <d v="2025-03-31T00:00:00"/>
    <x v="1"/>
    <x v="2"/>
    <n v="5"/>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8F07F7-33B3-4765-91AA-13B048FE8E2A}" name="pvtDuration"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9:B85" firstHeaderRow="1" firstDataRow="1" firstDataCol="1"/>
  <pivotFields count="16">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items count="14">
        <item x="0"/>
        <item x="1"/>
        <item x="2"/>
        <item x="3"/>
        <item x="4"/>
        <item x="5"/>
        <item x="6"/>
        <item x="7"/>
        <item x="8"/>
        <item x="9"/>
        <item x="10"/>
        <item x="11"/>
        <item x="12"/>
        <item t="default"/>
      </items>
    </pivotField>
    <pivotField showAll="0">
      <items count="5">
        <item x="2"/>
        <item x="1"/>
        <item x="3"/>
        <item x="0"/>
        <item t="default"/>
      </items>
    </pivotField>
    <pivotField showAll="0">
      <items count="8">
        <item x="0"/>
        <item x="1"/>
        <item x="2"/>
        <item x="4"/>
        <item x="3"/>
        <item x="5"/>
        <item x="6"/>
        <item t="default"/>
      </items>
    </pivotField>
  </pivotFields>
  <rowFields count="1">
    <field x="12"/>
  </rowFields>
  <rowItems count="16">
    <i>
      <x/>
    </i>
    <i>
      <x v="1"/>
    </i>
    <i>
      <x v="2"/>
    </i>
    <i>
      <x v="3"/>
    </i>
    <i>
      <x v="4"/>
    </i>
    <i>
      <x v="5"/>
    </i>
    <i>
      <x v="6"/>
    </i>
    <i>
      <x v="7"/>
    </i>
    <i>
      <x v="8"/>
    </i>
    <i>
      <x v="9"/>
    </i>
    <i>
      <x v="10"/>
    </i>
    <i>
      <x v="11"/>
    </i>
    <i>
      <x v="12"/>
    </i>
    <i>
      <x v="13"/>
    </i>
    <i>
      <x v="14"/>
    </i>
    <i t="grand">
      <x/>
    </i>
  </rowItems>
  <colItems count="1">
    <i/>
  </colItems>
  <dataFields count="1">
    <dataField name="Count of TX ID" fld="0" subtotal="count" baseField="0" baseItem="0"/>
  </dataFields>
  <chartFormats count="2">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098AB0-4C06-458F-A525-BB5B4FF7060F}" name="pvtMap"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7">
  <location ref="I41:L99" firstHeaderRow="0" firstDataRow="1" firstDataCol="2"/>
  <pivotFields count="16">
    <pivotField compact="0" outline="0" showAll="0" defaultSubtotal="0">
      <items count="2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s>
      <extLst>
        <ext xmlns:x14="http://schemas.microsoft.com/office/spreadsheetml/2009/9/main" uri="{2946ED86-A175-432a-8AC1-64E0C546D7DE}">
          <x14:pivotField fillDownLabels="1"/>
        </ext>
      </extLst>
    </pivotField>
    <pivotField compact="0" outline="0" showAll="0" defaultSubtotal="0">
      <items count="20">
        <item x="14"/>
        <item x="10"/>
        <item x="12"/>
        <item x="15"/>
        <item x="4"/>
        <item x="7"/>
        <item x="6"/>
        <item x="19"/>
        <item x="18"/>
        <item x="11"/>
        <item x="17"/>
        <item x="5"/>
        <item x="0"/>
        <item x="2"/>
        <item x="9"/>
        <item x="16"/>
        <item x="1"/>
        <item x="13"/>
        <item x="8"/>
        <item x="3"/>
      </items>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items count="4">
        <item x="0"/>
        <item x="2"/>
        <item x="1"/>
        <item x="3"/>
      </items>
      <extLst>
        <ext xmlns:x14="http://schemas.microsoft.com/office/spreadsheetml/2009/9/main" uri="{2946ED86-A175-432a-8AC1-64E0C546D7DE}">
          <x14:pivotField fillDownLabels="1"/>
        </ext>
      </extLst>
    </pivotField>
    <pivotField compact="0" outline="0" showAll="0" defaultSubtotal="0">
      <items count="5">
        <item x="0"/>
        <item x="3"/>
        <item x="4"/>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13">
        <item x="0"/>
        <item x="1"/>
        <item x="2"/>
        <item x="3"/>
        <item x="4"/>
        <item x="5"/>
        <item x="6"/>
        <item x="7"/>
        <item x="8"/>
        <item x="9"/>
        <item x="10"/>
        <item x="11"/>
        <item x="12"/>
      </items>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howAll="0" defaultSubtotal="0">
      <items count="7">
        <item x="0"/>
        <item x="1"/>
        <item x="2"/>
        <item x="4"/>
        <item x="3"/>
        <item n="6 TO 10" x="5"/>
        <item n="More than 10" x="6"/>
      </items>
      <extLst>
        <ext xmlns:x14="http://schemas.microsoft.com/office/spreadsheetml/2009/9/main" uri="{2946ED86-A175-432a-8AC1-64E0C546D7DE}">
          <x14:pivotField fillDownLabels="1"/>
        </ext>
      </extLst>
    </pivotField>
  </pivotFields>
  <rowFields count="2">
    <field x="10"/>
    <field x="11"/>
  </rowFields>
  <rowItems count="58">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rowItems>
  <colFields count="1">
    <field x="-2"/>
  </colFields>
  <colItems count="2">
    <i>
      <x/>
    </i>
    <i i="1">
      <x v="1"/>
    </i>
  </colItems>
  <dataFields count="2">
    <dataField name="Sum of Quantity" fld="2" baseField="0" baseItem="0"/>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706F7F-F048-45D9-B14C-4056ED6C2736}" name="pvtProduct"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41:F63" firstHeaderRow="1" firstDataRow="2" firstDataCol="1"/>
  <pivotFields count="16">
    <pivotField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items count="5">
        <item x="0"/>
        <item x="2"/>
        <item x="1"/>
        <item x="3"/>
        <item t="default"/>
      </items>
    </pivotField>
    <pivotField showAll="0">
      <items count="6">
        <item x="0"/>
        <item x="3"/>
        <item x="4"/>
        <item x="2"/>
        <item x="1"/>
        <item t="default"/>
      </items>
    </pivotField>
    <pivotField showAll="0"/>
    <pivotField showAll="0"/>
    <pivotField showAll="0"/>
    <pivotField showAll="0"/>
    <pivotField showAll="0">
      <items count="14">
        <item x="0"/>
        <item x="1"/>
        <item x="2"/>
        <item x="3"/>
        <item x="4"/>
        <item x="5"/>
        <item x="6"/>
        <item x="7"/>
        <item x="8"/>
        <item x="9"/>
        <item x="10"/>
        <item x="11"/>
        <item x="12"/>
        <item t="default"/>
      </items>
    </pivotField>
    <pivotField axis="axisCol" showAll="0">
      <items count="5">
        <item x="2"/>
        <item x="1"/>
        <item x="3"/>
        <item x="0"/>
        <item t="default"/>
      </items>
    </pivotField>
    <pivotField showAll="0">
      <items count="8">
        <item x="0"/>
        <item x="1"/>
        <item x="2"/>
        <item x="4"/>
        <item x="3"/>
        <item n="6 TO 10" x="5"/>
        <item n="More than 10" x="6"/>
        <item t="default"/>
      </items>
    </pivotField>
  </pivotFields>
  <rowFields count="1">
    <field x="1"/>
  </rowFields>
  <rowItems count="21">
    <i>
      <x v="18"/>
    </i>
    <i>
      <x v="6"/>
    </i>
    <i>
      <x v="13"/>
    </i>
    <i>
      <x v="16"/>
    </i>
    <i>
      <x v="1"/>
    </i>
    <i>
      <x v="12"/>
    </i>
    <i>
      <x v="14"/>
    </i>
    <i>
      <x v="4"/>
    </i>
    <i>
      <x v="5"/>
    </i>
    <i>
      <x v="11"/>
    </i>
    <i>
      <x v="3"/>
    </i>
    <i>
      <x v="8"/>
    </i>
    <i>
      <x v="2"/>
    </i>
    <i>
      <x v="19"/>
    </i>
    <i>
      <x v="10"/>
    </i>
    <i>
      <x v="9"/>
    </i>
    <i>
      <x v="15"/>
    </i>
    <i>
      <x v="17"/>
    </i>
    <i>
      <x/>
    </i>
    <i>
      <x v="7"/>
    </i>
    <i t="grand">
      <x/>
    </i>
  </rowItems>
  <colFields count="1">
    <field x="14"/>
  </colFields>
  <colItems count="5">
    <i>
      <x/>
    </i>
    <i>
      <x v="1"/>
    </i>
    <i>
      <x v="2"/>
    </i>
    <i>
      <x v="3"/>
    </i>
    <i t="grand">
      <x/>
    </i>
  </colItems>
  <dataFields count="1">
    <dataField name="Sum of Quantity" fld="2" baseField="0" baseItem="0"/>
  </dataFields>
  <chartFormats count="4">
    <chartFormat chart="16" format="8" series="1">
      <pivotArea type="data" outline="0" fieldPosition="0">
        <references count="2">
          <reference field="4294967294" count="1" selected="0">
            <x v="0"/>
          </reference>
          <reference field="14" count="1" selected="0">
            <x v="0"/>
          </reference>
        </references>
      </pivotArea>
    </chartFormat>
    <chartFormat chart="16" format="9" series="1">
      <pivotArea type="data" outline="0" fieldPosition="0">
        <references count="2">
          <reference field="4294967294" count="1" selected="0">
            <x v="0"/>
          </reference>
          <reference field="14" count="1" selected="0">
            <x v="1"/>
          </reference>
        </references>
      </pivotArea>
    </chartFormat>
    <chartFormat chart="16" format="10" series="1">
      <pivotArea type="data" outline="0" fieldPosition="0">
        <references count="2">
          <reference field="4294967294" count="1" selected="0">
            <x v="0"/>
          </reference>
          <reference field="14" count="1" selected="0">
            <x v="2"/>
          </reference>
        </references>
      </pivotArea>
    </chartFormat>
    <chartFormat chart="16"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A21A-AD91-4B7F-B4F5-AED270D029FE}" name="pvtQty"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27:B35" firstHeaderRow="1" firstDataRow="1" firstDataCol="1"/>
  <pivotFields count="16">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pivotField numFmtId="15" showAll="0"/>
    <pivotField showAll="0"/>
    <pivotField showAll="0">
      <items count="6">
        <item x="0"/>
        <item x="3"/>
        <item x="4"/>
        <item x="2"/>
        <item x="1"/>
        <item t="default"/>
      </items>
    </pivotField>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5">
        <item x="2"/>
        <item x="1"/>
        <item x="3"/>
        <item x="0"/>
        <item t="default"/>
      </items>
    </pivotField>
    <pivotField axis="axisRow" showAll="0">
      <items count="8">
        <item x="0"/>
        <item x="1"/>
        <item x="2"/>
        <item x="4"/>
        <item x="3"/>
        <item n="6 TO 10" x="5"/>
        <item n="More than 10" x="6"/>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F3DC5B0-CC6D-4570-9155-620A8CC7C2E1}" name="pvtTrend"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9:C23" firstHeaderRow="0" firstDataRow="1" firstDataCol="1"/>
  <pivotFields count="16">
    <pivotField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showAll="0">
      <items count="6">
        <item x="0"/>
        <item x="3"/>
        <item x="4"/>
        <item x="2"/>
        <item x="1"/>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showAll="0">
      <items count="5">
        <item x="2"/>
        <item x="1"/>
        <item x="3"/>
        <item x="0"/>
        <item t="default"/>
      </items>
    </pivotField>
    <pivotField showAll="0">
      <items count="8">
        <item x="0"/>
        <item x="1"/>
        <item x="2"/>
        <item x="4"/>
        <item x="3"/>
        <item x="5"/>
        <item x="6"/>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65"/>
  </dataField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CB6D84F-C829-4C62-A631-53364F4AB151}" name="pvtSummary"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6">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showAll="0"/>
    <pivotField dataField="1" showAll="0"/>
    <pivotField showAll="0"/>
    <pivotField showAll="0"/>
    <pivotField dataField="1" showAll="0"/>
    <pivotField showAll="0"/>
    <pivotField showAll="0"/>
    <pivotField showAll="0">
      <items count="8">
        <item x="0"/>
        <item x="1"/>
        <item x="2"/>
        <item x="4"/>
        <item x="3"/>
        <item x="5"/>
        <item x="6"/>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DF4400-7915-4BE5-B40F-28291753F2FA}" name="pvtMatrix"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0" firstHeaderRow="1" firstDataRow="2" firstDataCol="1"/>
  <pivotFields count="16">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8">
        <item x="0"/>
        <item x="1"/>
        <item x="2"/>
        <item x="4"/>
        <item x="3"/>
        <item x="5"/>
        <item x="6"/>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4906599A-501A-4F96-AF3E-BF2FB20929D2}" sourceName="Order Mode">
  <pivotTables>
    <pivotTable tabId="10" name="pvtDuration"/>
    <pivotTable tabId="10" name="pvtMap"/>
    <pivotTable tabId="10" name="pvtProduct"/>
    <pivotTable tabId="10" name="pvtQty"/>
    <pivotTable tabId="10" name="pvtTrend"/>
  </pivotTables>
  <data>
    <tabular pivotCacheId="152271457">
      <items count="5">
        <i x="0" s="1"/>
        <i x="3" s="1"/>
        <i x="4"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024BFBAF-B554-4EF0-B45C-B2BC105A42B1}" sourceName="Gender Value">
  <pivotTables>
    <pivotTable tabId="10" name="pvtDuration"/>
    <pivotTable tabId="10" name="pvtMap"/>
    <pivotTable tabId="10" name="pvtQty"/>
    <pivotTable tabId="10" name="pvtTrend"/>
  </pivotTables>
  <data>
    <tabular pivotCacheId="152271457">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93D252CE-3E47-48B5-B6F4-7F52B24C7895}" cache="Slicer_Order_Mode" caption="Order Mode" rowHeight="247650"/>
  <slicer name="Gender Value" xr10:uid="{862E0EEA-212D-4FF5-BDC3-D43D82A2B630}" cache="Slicer_Gender_Value" caption="Gender Valu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4"/>
    <tableColumn id="7" xr3:uid="{43BB5DBF-46E1-4185-80C0-4361F55A385C}" name="Ship Date" dataDxfId="3"/>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2">
      <calculatedColumnFormula>orders[[#This Row],[Ship Date]]-orders[[#This Row],[Order Date]]</calculatedColumnFormula>
    </tableColumn>
    <tableColumn id="12" xr3:uid="{B071C0DA-87A9-4516-B4D9-4F5B7D3FF44A}" name="Weeknum" dataDxfId="1">
      <calculatedColumnFormula>WEEKNUM(orders[[#This Row],[Order Date]])</calculatedColumnFormula>
    </tableColumn>
    <tableColumn id="13" xr3:uid="{B8EA9E28-7541-4E76-9935-C26438661A18}" name="Gender Value" dataDxfId="0">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VivaCalif">
      <a:dk1>
        <a:sysClr val="windowText" lastClr="000000"/>
      </a:dk1>
      <a:lt1>
        <a:sysClr val="window" lastClr="FFFFFF"/>
      </a:lt1>
      <a:dk2>
        <a:srgbClr val="0E2841"/>
      </a:dk2>
      <a:lt2>
        <a:srgbClr val="E8E8E8"/>
      </a:lt2>
      <a:accent1>
        <a:srgbClr val="9FBFAD"/>
      </a:accent1>
      <a:accent2>
        <a:srgbClr val="748C76"/>
      </a:accent2>
      <a:accent3>
        <a:srgbClr val="505947"/>
      </a:accent3>
      <a:accent4>
        <a:srgbClr val="BF7F5A"/>
      </a:accent4>
      <a:accent5>
        <a:srgbClr val="BF3939"/>
      </a:accent5>
      <a:accent6>
        <a:srgbClr val="4887E6"/>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CCD64-C3A9-41FA-BC0C-4223CA77F4D9}">
  <dimension ref="A2:T99"/>
  <sheetViews>
    <sheetView topLeftCell="F69" workbookViewId="0">
      <selection activeCell="K42" sqref="K42"/>
    </sheetView>
  </sheetViews>
  <sheetFormatPr defaultRowHeight="14.4" x14ac:dyDescent="0.3"/>
  <cols>
    <col min="1" max="1" width="12.44140625" bestFit="1" customWidth="1"/>
    <col min="2" max="2" width="14.21875" bestFit="1" customWidth="1"/>
    <col min="3" max="3" width="13.5546875" bestFit="1" customWidth="1"/>
    <col min="4" max="4" width="5.6640625" bestFit="1" customWidth="1"/>
    <col min="5" max="5" width="8.5546875" bestFit="1" customWidth="1"/>
    <col min="6" max="6" width="10.5546875" bestFit="1" customWidth="1"/>
    <col min="9" max="9" width="22.77734375" bestFit="1" customWidth="1"/>
    <col min="10" max="10" width="19.6640625" bestFit="1" customWidth="1"/>
    <col min="11" max="11" width="14.21875" bestFit="1" customWidth="1"/>
    <col min="12" max="12" width="13.5546875" bestFit="1" customWidth="1"/>
    <col min="13" max="13" width="10.5546875" bestFit="1" customWidth="1"/>
    <col min="14" max="14" width="14.6640625" bestFit="1" customWidth="1"/>
    <col min="15" max="15" width="19.6640625" bestFit="1" customWidth="1"/>
    <col min="18" max="18" width="18.33203125" bestFit="1" customWidth="1"/>
    <col min="19" max="19" width="19.6640625" bestFit="1" customWidth="1"/>
  </cols>
  <sheetData>
    <row r="2" spans="1:11" x14ac:dyDescent="0.3">
      <c r="G2" t="s">
        <v>2553</v>
      </c>
    </row>
    <row r="3" spans="1:11" x14ac:dyDescent="0.3">
      <c r="A3" t="s">
        <v>2548</v>
      </c>
      <c r="B3" t="s">
        <v>2549</v>
      </c>
      <c r="C3" t="s">
        <v>2550</v>
      </c>
      <c r="D3" t="s">
        <v>2551</v>
      </c>
      <c r="E3" t="s">
        <v>2552</v>
      </c>
      <c r="G3" s="15" t="s">
        <v>2535</v>
      </c>
      <c r="H3" s="15" t="s">
        <v>2554</v>
      </c>
      <c r="I3" s="15" t="s">
        <v>4</v>
      </c>
      <c r="J3" s="15" t="s">
        <v>2507</v>
      </c>
      <c r="K3" s="15" t="s">
        <v>2555</v>
      </c>
    </row>
    <row r="4" spans="1:11" x14ac:dyDescent="0.3">
      <c r="A4" s="20">
        <v>2400</v>
      </c>
      <c r="B4" s="20">
        <v>11997</v>
      </c>
      <c r="C4" s="20">
        <v>649019.80000000144</v>
      </c>
      <c r="D4" s="20">
        <v>3.9620833333333332</v>
      </c>
      <c r="E4" s="20">
        <v>2.3424999999999998</v>
      </c>
      <c r="G4" s="16">
        <f>A4</f>
        <v>2400</v>
      </c>
      <c r="H4" s="16">
        <f t="shared" ref="H4:K4" si="0">B4</f>
        <v>11997</v>
      </c>
      <c r="I4" t="str">
        <f>TEXT(C4, "$ #,##,.0k")</f>
        <v>$ 649.0k</v>
      </c>
      <c r="J4" s="17">
        <f t="shared" si="0"/>
        <v>3.9620833333333332</v>
      </c>
      <c r="K4" s="17">
        <f t="shared" si="0"/>
        <v>2.3424999999999998</v>
      </c>
    </row>
    <row r="5" spans="1:11" x14ac:dyDescent="0.3">
      <c r="I5" t="str">
        <f ca="1">_xlfn.FORMULATEXT(I4)</f>
        <v>=TEXT(C4, "$ #,##,.0k")</v>
      </c>
    </row>
    <row r="8" spans="1:11" x14ac:dyDescent="0.3">
      <c r="A8" t="s">
        <v>2563</v>
      </c>
    </row>
    <row r="9" spans="1:11" x14ac:dyDescent="0.3">
      <c r="A9" s="13" t="s">
        <v>2546</v>
      </c>
      <c r="B9" t="s">
        <v>2549</v>
      </c>
      <c r="C9" t="s">
        <v>2550</v>
      </c>
    </row>
    <row r="10" spans="1:11" x14ac:dyDescent="0.3">
      <c r="A10" s="14">
        <v>1</v>
      </c>
      <c r="B10" s="20">
        <v>546</v>
      </c>
      <c r="C10" s="19">
        <v>32413.300000000003</v>
      </c>
    </row>
    <row r="11" spans="1:11" x14ac:dyDescent="0.3">
      <c r="A11" s="14">
        <v>2</v>
      </c>
      <c r="B11" s="20">
        <v>905</v>
      </c>
      <c r="C11" s="19">
        <v>49562.999999999993</v>
      </c>
    </row>
    <row r="12" spans="1:11" x14ac:dyDescent="0.3">
      <c r="A12" s="14">
        <v>3</v>
      </c>
      <c r="B12" s="20">
        <v>796</v>
      </c>
      <c r="C12" s="19">
        <v>41700.400000000016</v>
      </c>
    </row>
    <row r="13" spans="1:11" x14ac:dyDescent="0.3">
      <c r="A13" s="14">
        <v>4</v>
      </c>
      <c r="B13" s="20">
        <v>913</v>
      </c>
      <c r="C13" s="19">
        <v>46782.599999999984</v>
      </c>
    </row>
    <row r="14" spans="1:11" x14ac:dyDescent="0.3">
      <c r="A14" s="14">
        <v>5</v>
      </c>
      <c r="B14" s="20">
        <v>844</v>
      </c>
      <c r="C14" s="19">
        <v>42676.100000000006</v>
      </c>
    </row>
    <row r="15" spans="1:11" x14ac:dyDescent="0.3">
      <c r="A15" s="14">
        <v>6</v>
      </c>
      <c r="B15" s="20">
        <v>1202</v>
      </c>
      <c r="C15" s="19">
        <v>62910.7</v>
      </c>
    </row>
    <row r="16" spans="1:11" x14ac:dyDescent="0.3">
      <c r="A16" s="14">
        <v>7</v>
      </c>
      <c r="B16" s="20">
        <v>935</v>
      </c>
      <c r="C16" s="19">
        <v>50332.200000000004</v>
      </c>
    </row>
    <row r="17" spans="1:3" x14ac:dyDescent="0.3">
      <c r="A17" s="14">
        <v>8</v>
      </c>
      <c r="B17" s="20">
        <v>1128</v>
      </c>
      <c r="C17" s="19">
        <v>58760.599999999977</v>
      </c>
    </row>
    <row r="18" spans="1:3" x14ac:dyDescent="0.3">
      <c r="A18" s="14">
        <v>9</v>
      </c>
      <c r="B18" s="20">
        <v>1007</v>
      </c>
      <c r="C18" s="19">
        <v>52017.299999999996</v>
      </c>
    </row>
    <row r="19" spans="1:3" x14ac:dyDescent="0.3">
      <c r="A19" s="14">
        <v>10</v>
      </c>
      <c r="B19" s="20">
        <v>1128</v>
      </c>
      <c r="C19" s="19">
        <v>64915.700000000033</v>
      </c>
    </row>
    <row r="20" spans="1:3" x14ac:dyDescent="0.3">
      <c r="A20" s="14">
        <v>11</v>
      </c>
      <c r="B20" s="20">
        <v>861</v>
      </c>
      <c r="C20" s="19">
        <v>45943.80000000001</v>
      </c>
    </row>
    <row r="21" spans="1:3" x14ac:dyDescent="0.3">
      <c r="A21" s="14">
        <v>12</v>
      </c>
      <c r="B21" s="20">
        <v>944</v>
      </c>
      <c r="C21" s="19">
        <v>55077.900000000031</v>
      </c>
    </row>
    <row r="22" spans="1:3" x14ac:dyDescent="0.3">
      <c r="A22" s="14">
        <v>13</v>
      </c>
      <c r="B22" s="20">
        <v>788</v>
      </c>
      <c r="C22" s="19">
        <v>45926.19999999999</v>
      </c>
    </row>
    <row r="23" spans="1:3" x14ac:dyDescent="0.3">
      <c r="A23" s="14" t="s">
        <v>2547</v>
      </c>
      <c r="B23" s="20">
        <v>11997</v>
      </c>
      <c r="C23" s="19">
        <v>649019.79999999993</v>
      </c>
    </row>
    <row r="25" spans="1:3" x14ac:dyDescent="0.3">
      <c r="A25" t="s">
        <v>2566</v>
      </c>
    </row>
    <row r="26" spans="1:3" x14ac:dyDescent="0.3">
      <c r="A26" t="s">
        <v>2567</v>
      </c>
    </row>
    <row r="27" spans="1:3" x14ac:dyDescent="0.3">
      <c r="A27" s="13" t="s">
        <v>2546</v>
      </c>
      <c r="B27" t="s">
        <v>2548</v>
      </c>
    </row>
    <row r="28" spans="1:3" x14ac:dyDescent="0.3">
      <c r="A28" s="14">
        <v>1</v>
      </c>
      <c r="B28" s="20">
        <v>397</v>
      </c>
    </row>
    <row r="29" spans="1:3" x14ac:dyDescent="0.3">
      <c r="A29" s="14">
        <v>2</v>
      </c>
      <c r="B29" s="20">
        <v>540</v>
      </c>
    </row>
    <row r="30" spans="1:3" x14ac:dyDescent="0.3">
      <c r="A30" s="14">
        <v>3</v>
      </c>
      <c r="B30" s="20">
        <v>375</v>
      </c>
    </row>
    <row r="31" spans="1:3" x14ac:dyDescent="0.3">
      <c r="A31" s="14">
        <v>4</v>
      </c>
      <c r="B31" s="20">
        <v>246</v>
      </c>
    </row>
    <row r="32" spans="1:3" x14ac:dyDescent="0.3">
      <c r="A32" s="14">
        <v>5</v>
      </c>
      <c r="B32" s="20">
        <v>195</v>
      </c>
    </row>
    <row r="33" spans="1:20" x14ac:dyDescent="0.3">
      <c r="A33" s="14" t="s">
        <v>2564</v>
      </c>
      <c r="B33" s="20">
        <v>414</v>
      </c>
    </row>
    <row r="34" spans="1:20" x14ac:dyDescent="0.3">
      <c r="A34" s="14" t="s">
        <v>2565</v>
      </c>
      <c r="B34" s="20">
        <v>233</v>
      </c>
    </row>
    <row r="35" spans="1:20" x14ac:dyDescent="0.3">
      <c r="A35" s="14" t="s">
        <v>2547</v>
      </c>
      <c r="B35" s="20">
        <v>2400</v>
      </c>
    </row>
    <row r="40" spans="1:20" x14ac:dyDescent="0.3">
      <c r="A40" t="s">
        <v>2568</v>
      </c>
      <c r="I40" t="s">
        <v>2569</v>
      </c>
      <c r="N40" t="s">
        <v>2570</v>
      </c>
      <c r="R40" t="s">
        <v>2571</v>
      </c>
    </row>
    <row r="41" spans="1:20" x14ac:dyDescent="0.3">
      <c r="A41" s="13" t="s">
        <v>2549</v>
      </c>
      <c r="B41" s="13" t="s">
        <v>2560</v>
      </c>
      <c r="I41" s="13" t="s">
        <v>10</v>
      </c>
      <c r="J41" s="13" t="s">
        <v>11</v>
      </c>
      <c r="K41" t="s">
        <v>2549</v>
      </c>
      <c r="L41" t="s">
        <v>2550</v>
      </c>
      <c r="N41" t="s">
        <v>10</v>
      </c>
      <c r="O41" t="s">
        <v>11</v>
      </c>
      <c r="P41" t="s">
        <v>2554</v>
      </c>
      <c r="R41" t="s">
        <v>10</v>
      </c>
      <c r="S41" t="s">
        <v>11</v>
      </c>
      <c r="T41" t="s">
        <v>4</v>
      </c>
    </row>
    <row r="42" spans="1:20" x14ac:dyDescent="0.3">
      <c r="A42" s="13" t="s">
        <v>2546</v>
      </c>
      <c r="B42" t="s">
        <v>2556</v>
      </c>
      <c r="C42" t="s">
        <v>2557</v>
      </c>
      <c r="D42" t="s">
        <v>2558</v>
      </c>
      <c r="E42" t="s">
        <v>2559</v>
      </c>
      <c r="F42" t="s">
        <v>2547</v>
      </c>
      <c r="I42" t="s">
        <v>19</v>
      </c>
      <c r="J42" t="s">
        <v>115</v>
      </c>
      <c r="K42" s="20">
        <v>579</v>
      </c>
      <c r="L42" s="20">
        <v>31884.999999999996</v>
      </c>
      <c r="N42" t="str">
        <f>I42</f>
        <v>California</v>
      </c>
      <c r="O42" t="str">
        <f t="shared" ref="O42:P42" si="1">J42</f>
        <v>Alameda County</v>
      </c>
      <c r="P42">
        <f t="shared" si="1"/>
        <v>579</v>
      </c>
      <c r="R42" t="str">
        <f>I42</f>
        <v>California</v>
      </c>
      <c r="S42" t="str">
        <f>J42</f>
        <v>Alameda County</v>
      </c>
      <c r="T42">
        <f>L42</f>
        <v>31884.999999999996</v>
      </c>
    </row>
    <row r="43" spans="1:20" x14ac:dyDescent="0.3">
      <c r="A43" s="14" t="s">
        <v>44</v>
      </c>
      <c r="B43" s="20">
        <v>744</v>
      </c>
      <c r="C43" s="20">
        <v>713</v>
      </c>
      <c r="D43" s="20">
        <v>90</v>
      </c>
      <c r="E43" s="20">
        <v>98</v>
      </c>
      <c r="F43" s="20">
        <v>1645</v>
      </c>
      <c r="I43" t="s">
        <v>19</v>
      </c>
      <c r="J43" t="s">
        <v>20</v>
      </c>
      <c r="K43" s="20">
        <v>1</v>
      </c>
      <c r="L43" s="20">
        <v>10.9</v>
      </c>
      <c r="N43" t="str">
        <f t="shared" ref="N43:N99" si="2">I43</f>
        <v>California</v>
      </c>
      <c r="O43" t="str">
        <f t="shared" ref="O43:O99" si="3">J43</f>
        <v>Alpine County</v>
      </c>
      <c r="P43">
        <f t="shared" ref="P43:P99" si="4">K43</f>
        <v>1</v>
      </c>
      <c r="R43" t="str">
        <f t="shared" ref="R43:R99" si="5">I43</f>
        <v>California</v>
      </c>
      <c r="S43" t="str">
        <f t="shared" ref="S43:S99" si="6">J43</f>
        <v>Alpine County</v>
      </c>
      <c r="T43">
        <f t="shared" ref="T43:T99" si="7">L43</f>
        <v>10.9</v>
      </c>
    </row>
    <row r="44" spans="1:20" x14ac:dyDescent="0.3">
      <c r="A44" s="14" t="s">
        <v>39</v>
      </c>
      <c r="B44" s="20">
        <v>716</v>
      </c>
      <c r="C44" s="20">
        <v>598</v>
      </c>
      <c r="D44" s="20">
        <v>18</v>
      </c>
      <c r="E44" s="20">
        <v>214</v>
      </c>
      <c r="F44" s="20">
        <v>1546</v>
      </c>
      <c r="I44" t="s">
        <v>19</v>
      </c>
      <c r="J44" t="s">
        <v>641</v>
      </c>
      <c r="K44" s="20">
        <v>9</v>
      </c>
      <c r="L44" s="20">
        <v>800.3</v>
      </c>
      <c r="N44" t="str">
        <f t="shared" si="2"/>
        <v>California</v>
      </c>
      <c r="O44" t="str">
        <f t="shared" si="3"/>
        <v>Amador County</v>
      </c>
      <c r="P44">
        <f t="shared" si="4"/>
        <v>9</v>
      </c>
      <c r="R44" t="str">
        <f t="shared" si="5"/>
        <v>California</v>
      </c>
      <c r="S44" t="str">
        <f t="shared" si="6"/>
        <v>Amador County</v>
      </c>
      <c r="T44">
        <f t="shared" si="7"/>
        <v>800.3</v>
      </c>
    </row>
    <row r="45" spans="1:20" x14ac:dyDescent="0.3">
      <c r="A45" s="14" t="s">
        <v>26</v>
      </c>
      <c r="B45" s="20">
        <v>627</v>
      </c>
      <c r="C45" s="20">
        <v>393</v>
      </c>
      <c r="D45" s="20">
        <v>29</v>
      </c>
      <c r="E45" s="20">
        <v>137</v>
      </c>
      <c r="F45" s="20">
        <v>1186</v>
      </c>
      <c r="I45" t="s">
        <v>19</v>
      </c>
      <c r="J45" t="s">
        <v>967</v>
      </c>
      <c r="K45" s="20">
        <v>35</v>
      </c>
      <c r="L45" s="20">
        <v>1062.5999999999999</v>
      </c>
      <c r="N45" t="str">
        <f t="shared" si="2"/>
        <v>California</v>
      </c>
      <c r="O45" t="str">
        <f t="shared" si="3"/>
        <v>Butte County</v>
      </c>
      <c r="P45">
        <f t="shared" si="4"/>
        <v>35</v>
      </c>
      <c r="R45" t="str">
        <f t="shared" si="5"/>
        <v>California</v>
      </c>
      <c r="S45" t="str">
        <f t="shared" si="6"/>
        <v>Butte County</v>
      </c>
      <c r="T45">
        <f t="shared" si="7"/>
        <v>1062.5999999999999</v>
      </c>
    </row>
    <row r="46" spans="1:20" x14ac:dyDescent="0.3">
      <c r="A46" s="14" t="s">
        <v>22</v>
      </c>
      <c r="B46" s="20">
        <v>568</v>
      </c>
      <c r="C46" s="20">
        <v>306</v>
      </c>
      <c r="D46" s="20">
        <v>22</v>
      </c>
      <c r="E46" s="20">
        <v>16</v>
      </c>
      <c r="F46" s="20">
        <v>912</v>
      </c>
      <c r="I46" t="s">
        <v>19</v>
      </c>
      <c r="J46" t="s">
        <v>84</v>
      </c>
      <c r="K46" s="20">
        <v>12</v>
      </c>
      <c r="L46" s="20">
        <v>326.20000000000005</v>
      </c>
      <c r="N46" t="str">
        <f t="shared" si="2"/>
        <v>California</v>
      </c>
      <c r="O46" t="str">
        <f t="shared" si="3"/>
        <v>Calaveras County</v>
      </c>
      <c r="P46">
        <f t="shared" si="4"/>
        <v>12</v>
      </c>
      <c r="R46" t="str">
        <f t="shared" si="5"/>
        <v>California</v>
      </c>
      <c r="S46" t="str">
        <f t="shared" si="6"/>
        <v>Calaveras County</v>
      </c>
      <c r="T46">
        <f t="shared" si="7"/>
        <v>326.20000000000005</v>
      </c>
    </row>
    <row r="47" spans="1:20" x14ac:dyDescent="0.3">
      <c r="A47" s="14" t="s">
        <v>54</v>
      </c>
      <c r="B47" s="20">
        <v>482</v>
      </c>
      <c r="C47" s="20">
        <v>295</v>
      </c>
      <c r="D47" s="20">
        <v>8</v>
      </c>
      <c r="E47" s="20">
        <v>22</v>
      </c>
      <c r="F47" s="20">
        <v>807</v>
      </c>
      <c r="I47" t="s">
        <v>19</v>
      </c>
      <c r="J47" t="s">
        <v>1383</v>
      </c>
      <c r="K47" s="20">
        <v>4</v>
      </c>
      <c r="L47" s="20">
        <v>167.5</v>
      </c>
      <c r="N47" t="str">
        <f t="shared" si="2"/>
        <v>California</v>
      </c>
      <c r="O47" t="str">
        <f t="shared" si="3"/>
        <v>Colusa County</v>
      </c>
      <c r="P47">
        <f t="shared" si="4"/>
        <v>4</v>
      </c>
      <c r="R47" t="str">
        <f t="shared" si="5"/>
        <v>California</v>
      </c>
      <c r="S47" t="str">
        <f t="shared" si="6"/>
        <v>Colusa County</v>
      </c>
      <c r="T47">
        <f t="shared" si="7"/>
        <v>167.5</v>
      </c>
    </row>
    <row r="48" spans="1:20" x14ac:dyDescent="0.3">
      <c r="A48" s="14" t="s">
        <v>16</v>
      </c>
      <c r="B48" s="20">
        <v>428</v>
      </c>
      <c r="C48" s="20">
        <v>293</v>
      </c>
      <c r="D48" s="20"/>
      <c r="E48" s="20">
        <v>24</v>
      </c>
      <c r="F48" s="20">
        <v>745</v>
      </c>
      <c r="I48" t="s">
        <v>19</v>
      </c>
      <c r="J48" t="s">
        <v>24</v>
      </c>
      <c r="K48" s="20">
        <v>341</v>
      </c>
      <c r="L48" s="20">
        <v>16168.7</v>
      </c>
      <c r="N48" t="str">
        <f t="shared" si="2"/>
        <v>California</v>
      </c>
      <c r="O48" t="str">
        <f t="shared" si="3"/>
        <v>Contra Costa County</v>
      </c>
      <c r="P48">
        <f t="shared" si="4"/>
        <v>341</v>
      </c>
      <c r="R48" t="str">
        <f t="shared" si="5"/>
        <v>California</v>
      </c>
      <c r="S48" t="str">
        <f t="shared" si="6"/>
        <v>Contra Costa County</v>
      </c>
      <c r="T48">
        <f t="shared" si="7"/>
        <v>16168.7</v>
      </c>
    </row>
    <row r="49" spans="1:20" x14ac:dyDescent="0.3">
      <c r="A49" s="14" t="s">
        <v>46</v>
      </c>
      <c r="B49" s="20">
        <v>445</v>
      </c>
      <c r="C49" s="20">
        <v>202</v>
      </c>
      <c r="D49" s="20">
        <v>14</v>
      </c>
      <c r="E49" s="20">
        <v>39</v>
      </c>
      <c r="F49" s="20">
        <v>700</v>
      </c>
      <c r="I49" t="s">
        <v>19</v>
      </c>
      <c r="J49" t="s">
        <v>2204</v>
      </c>
      <c r="K49" s="20">
        <v>13</v>
      </c>
      <c r="L49" s="20">
        <v>322.40000000000003</v>
      </c>
      <c r="N49" t="str">
        <f t="shared" si="2"/>
        <v>California</v>
      </c>
      <c r="O49" t="str">
        <f t="shared" si="3"/>
        <v>Del Norte County</v>
      </c>
      <c r="P49">
        <f t="shared" si="4"/>
        <v>13</v>
      </c>
      <c r="R49" t="str">
        <f t="shared" si="5"/>
        <v>California</v>
      </c>
      <c r="S49" t="str">
        <f t="shared" si="6"/>
        <v>Del Norte County</v>
      </c>
      <c r="T49">
        <f t="shared" si="7"/>
        <v>322.40000000000003</v>
      </c>
    </row>
    <row r="50" spans="1:20" x14ac:dyDescent="0.3">
      <c r="A50" s="14" t="s">
        <v>32</v>
      </c>
      <c r="B50" s="20">
        <v>431</v>
      </c>
      <c r="C50" s="20">
        <v>187</v>
      </c>
      <c r="D50" s="20">
        <v>14</v>
      </c>
      <c r="E50" s="20">
        <v>15</v>
      </c>
      <c r="F50" s="20">
        <v>647</v>
      </c>
      <c r="I50" t="s">
        <v>19</v>
      </c>
      <c r="J50" t="s">
        <v>437</v>
      </c>
      <c r="K50" s="20">
        <v>31</v>
      </c>
      <c r="L50" s="20">
        <v>2092.8000000000002</v>
      </c>
      <c r="N50" t="str">
        <f t="shared" si="2"/>
        <v>California</v>
      </c>
      <c r="O50" t="str">
        <f t="shared" si="3"/>
        <v>El Dorado County</v>
      </c>
      <c r="P50">
        <f t="shared" si="4"/>
        <v>31</v>
      </c>
      <c r="R50" t="str">
        <f t="shared" si="5"/>
        <v>California</v>
      </c>
      <c r="S50" t="str">
        <f t="shared" si="6"/>
        <v>El Dorado County</v>
      </c>
      <c r="T50">
        <f t="shared" si="7"/>
        <v>2092.8000000000002</v>
      </c>
    </row>
    <row r="51" spans="1:20" x14ac:dyDescent="0.3">
      <c r="A51" s="14" t="s">
        <v>42</v>
      </c>
      <c r="B51" s="20">
        <v>264</v>
      </c>
      <c r="C51" s="20">
        <v>318</v>
      </c>
      <c r="D51" s="20">
        <v>15</v>
      </c>
      <c r="E51" s="20">
        <v>9</v>
      </c>
      <c r="F51" s="20">
        <v>606</v>
      </c>
      <c r="I51" t="s">
        <v>19</v>
      </c>
      <c r="J51" t="s">
        <v>28</v>
      </c>
      <c r="K51" s="20">
        <v>279</v>
      </c>
      <c r="L51" s="20">
        <v>12662.500000000002</v>
      </c>
      <c r="N51" t="str">
        <f t="shared" si="2"/>
        <v>California</v>
      </c>
      <c r="O51" t="str">
        <f t="shared" si="3"/>
        <v>Fresno County</v>
      </c>
      <c r="P51">
        <f t="shared" si="4"/>
        <v>279</v>
      </c>
      <c r="R51" t="str">
        <f t="shared" si="5"/>
        <v>California</v>
      </c>
      <c r="S51" t="str">
        <f t="shared" si="6"/>
        <v>Fresno County</v>
      </c>
      <c r="T51">
        <f t="shared" si="7"/>
        <v>12662.500000000002</v>
      </c>
    </row>
    <row r="52" spans="1:20" x14ac:dyDescent="0.3">
      <c r="A52" s="14" t="s">
        <v>37</v>
      </c>
      <c r="B52" s="20">
        <v>296</v>
      </c>
      <c r="C52" s="20">
        <v>275</v>
      </c>
      <c r="D52" s="20">
        <v>9</v>
      </c>
      <c r="E52" s="20">
        <v>23</v>
      </c>
      <c r="F52" s="20">
        <v>603</v>
      </c>
      <c r="I52" t="s">
        <v>19</v>
      </c>
      <c r="J52" t="s">
        <v>208</v>
      </c>
      <c r="K52" s="20">
        <v>9</v>
      </c>
      <c r="L52" s="20">
        <v>343.2</v>
      </c>
      <c r="N52" t="str">
        <f t="shared" si="2"/>
        <v>California</v>
      </c>
      <c r="O52" t="str">
        <f t="shared" si="3"/>
        <v>Glenn County</v>
      </c>
      <c r="P52">
        <f t="shared" si="4"/>
        <v>9</v>
      </c>
      <c r="R52" t="str">
        <f t="shared" si="5"/>
        <v>California</v>
      </c>
      <c r="S52" t="str">
        <f t="shared" si="6"/>
        <v>Glenn County</v>
      </c>
      <c r="T52">
        <f t="shared" si="7"/>
        <v>343.2</v>
      </c>
    </row>
    <row r="53" spans="1:20" x14ac:dyDescent="0.3">
      <c r="A53" s="14" t="s">
        <v>123</v>
      </c>
      <c r="B53" s="20">
        <v>153</v>
      </c>
      <c r="C53" s="20">
        <v>246</v>
      </c>
      <c r="D53" s="20">
        <v>30</v>
      </c>
      <c r="E53" s="20">
        <v>8</v>
      </c>
      <c r="F53" s="20">
        <v>437</v>
      </c>
      <c r="I53" t="s">
        <v>19</v>
      </c>
      <c r="J53" t="s">
        <v>587</v>
      </c>
      <c r="K53" s="20">
        <v>49</v>
      </c>
      <c r="L53" s="20">
        <v>2188.2999999999997</v>
      </c>
      <c r="N53" t="str">
        <f t="shared" si="2"/>
        <v>California</v>
      </c>
      <c r="O53" t="str">
        <f t="shared" si="3"/>
        <v>Humboldt County</v>
      </c>
      <c r="P53">
        <f t="shared" si="4"/>
        <v>49</v>
      </c>
      <c r="R53" t="str">
        <f t="shared" si="5"/>
        <v>California</v>
      </c>
      <c r="S53" t="str">
        <f t="shared" si="6"/>
        <v>Humboldt County</v>
      </c>
      <c r="T53">
        <f t="shared" si="7"/>
        <v>2188.2999999999997</v>
      </c>
    </row>
    <row r="54" spans="1:20" x14ac:dyDescent="0.3">
      <c r="A54" s="14" t="s">
        <v>146</v>
      </c>
      <c r="B54" s="20">
        <v>189</v>
      </c>
      <c r="C54" s="20">
        <v>168</v>
      </c>
      <c r="D54" s="20">
        <v>10</v>
      </c>
      <c r="E54" s="20">
        <v>31</v>
      </c>
      <c r="F54" s="20">
        <v>398</v>
      </c>
      <c r="I54" t="s">
        <v>19</v>
      </c>
      <c r="J54" t="s">
        <v>331</v>
      </c>
      <c r="K54" s="20">
        <v>59</v>
      </c>
      <c r="L54" s="20">
        <v>2661.5999999999995</v>
      </c>
      <c r="N54" t="str">
        <f t="shared" si="2"/>
        <v>California</v>
      </c>
      <c r="O54" t="str">
        <f t="shared" si="3"/>
        <v>Imperial County</v>
      </c>
      <c r="P54">
        <f t="shared" si="4"/>
        <v>59</v>
      </c>
      <c r="R54" t="str">
        <f t="shared" si="5"/>
        <v>California</v>
      </c>
      <c r="S54" t="str">
        <f t="shared" si="6"/>
        <v>Imperial County</v>
      </c>
      <c r="T54">
        <f t="shared" si="7"/>
        <v>2661.5999999999995</v>
      </c>
    </row>
    <row r="55" spans="1:20" x14ac:dyDescent="0.3">
      <c r="A55" s="14" t="s">
        <v>69</v>
      </c>
      <c r="B55" s="20">
        <v>234</v>
      </c>
      <c r="C55" s="20">
        <v>93</v>
      </c>
      <c r="D55" s="20">
        <v>19</v>
      </c>
      <c r="E55" s="20">
        <v>24</v>
      </c>
      <c r="F55" s="20">
        <v>370</v>
      </c>
      <c r="I55" t="s">
        <v>19</v>
      </c>
      <c r="J55" t="s">
        <v>86</v>
      </c>
      <c r="K55" s="20">
        <v>8</v>
      </c>
      <c r="L55" s="20">
        <v>887.5</v>
      </c>
      <c r="N55" t="str">
        <f t="shared" si="2"/>
        <v>California</v>
      </c>
      <c r="O55" t="str">
        <f t="shared" si="3"/>
        <v>Inyo County</v>
      </c>
      <c r="P55">
        <f t="shared" si="4"/>
        <v>8</v>
      </c>
      <c r="R55" t="str">
        <f t="shared" si="5"/>
        <v>California</v>
      </c>
      <c r="S55" t="str">
        <f t="shared" si="6"/>
        <v>Inyo County</v>
      </c>
      <c r="T55">
        <f t="shared" si="7"/>
        <v>887.5</v>
      </c>
    </row>
    <row r="56" spans="1:20" x14ac:dyDescent="0.3">
      <c r="A56" s="14" t="s">
        <v>30</v>
      </c>
      <c r="B56" s="20">
        <v>146</v>
      </c>
      <c r="C56" s="20">
        <v>94</v>
      </c>
      <c r="D56" s="20">
        <v>4</v>
      </c>
      <c r="E56" s="20">
        <v>28</v>
      </c>
      <c r="F56" s="20">
        <v>272</v>
      </c>
      <c r="I56" t="s">
        <v>19</v>
      </c>
      <c r="J56" t="s">
        <v>147</v>
      </c>
      <c r="K56" s="20">
        <v>222</v>
      </c>
      <c r="L56" s="20">
        <v>11354.199999999993</v>
      </c>
      <c r="N56" t="str">
        <f t="shared" si="2"/>
        <v>California</v>
      </c>
      <c r="O56" t="str">
        <f t="shared" si="3"/>
        <v>Kern County</v>
      </c>
      <c r="P56">
        <f t="shared" si="4"/>
        <v>222</v>
      </c>
      <c r="R56" t="str">
        <f t="shared" si="5"/>
        <v>California</v>
      </c>
      <c r="S56" t="str">
        <f t="shared" si="6"/>
        <v>Kern County</v>
      </c>
      <c r="T56">
        <f t="shared" si="7"/>
        <v>11354.199999999993</v>
      </c>
    </row>
    <row r="57" spans="1:20" x14ac:dyDescent="0.3">
      <c r="A57" s="14" t="s">
        <v>135</v>
      </c>
      <c r="B57" s="20">
        <v>127</v>
      </c>
      <c r="C57" s="20">
        <v>118</v>
      </c>
      <c r="D57" s="20">
        <v>13</v>
      </c>
      <c r="E57" s="20">
        <v>12</v>
      </c>
      <c r="F57" s="20">
        <v>270</v>
      </c>
      <c r="I57" t="s">
        <v>19</v>
      </c>
      <c r="J57" t="s">
        <v>334</v>
      </c>
      <c r="K57" s="20">
        <v>36</v>
      </c>
      <c r="L57" s="20">
        <v>1558.4</v>
      </c>
      <c r="N57" t="str">
        <f t="shared" si="2"/>
        <v>California</v>
      </c>
      <c r="O57" t="str">
        <f t="shared" si="3"/>
        <v>Kings County</v>
      </c>
      <c r="P57">
        <f t="shared" si="4"/>
        <v>36</v>
      </c>
      <c r="R57" t="str">
        <f t="shared" si="5"/>
        <v>California</v>
      </c>
      <c r="S57" t="str">
        <f t="shared" si="6"/>
        <v>Kings County</v>
      </c>
      <c r="T57">
        <f t="shared" si="7"/>
        <v>1558.4</v>
      </c>
    </row>
    <row r="58" spans="1:20" x14ac:dyDescent="0.3">
      <c r="A58" s="14" t="s">
        <v>67</v>
      </c>
      <c r="B58" s="20">
        <v>179</v>
      </c>
      <c r="C58" s="20">
        <v>76</v>
      </c>
      <c r="D58" s="20">
        <v>3</v>
      </c>
      <c r="E58" s="20"/>
      <c r="F58" s="20">
        <v>258</v>
      </c>
      <c r="I58" t="s">
        <v>19</v>
      </c>
      <c r="J58" t="s">
        <v>949</v>
      </c>
      <c r="K58" s="20">
        <v>30</v>
      </c>
      <c r="L58" s="20">
        <v>2223.9</v>
      </c>
      <c r="N58" t="str">
        <f t="shared" si="2"/>
        <v>California</v>
      </c>
      <c r="O58" t="str">
        <f t="shared" si="3"/>
        <v>Lake County</v>
      </c>
      <c r="P58">
        <f t="shared" si="4"/>
        <v>30</v>
      </c>
      <c r="R58" t="str">
        <f t="shared" si="5"/>
        <v>California</v>
      </c>
      <c r="S58" t="str">
        <f t="shared" si="6"/>
        <v>Lake County</v>
      </c>
      <c r="T58">
        <f t="shared" si="7"/>
        <v>2223.9</v>
      </c>
    </row>
    <row r="59" spans="1:20" x14ac:dyDescent="0.3">
      <c r="A59" s="14" t="s">
        <v>128</v>
      </c>
      <c r="B59" s="20">
        <v>99</v>
      </c>
      <c r="C59" s="20">
        <v>69</v>
      </c>
      <c r="D59" s="20">
        <v>3</v>
      </c>
      <c r="E59" s="20">
        <v>24</v>
      </c>
      <c r="F59" s="20">
        <v>195</v>
      </c>
      <c r="I59" t="s">
        <v>19</v>
      </c>
      <c r="J59" t="s">
        <v>1426</v>
      </c>
      <c r="K59" s="20">
        <v>1</v>
      </c>
      <c r="L59" s="20">
        <v>26.2</v>
      </c>
      <c r="N59" t="str">
        <f t="shared" si="2"/>
        <v>California</v>
      </c>
      <c r="O59" t="str">
        <f t="shared" si="3"/>
        <v>Lassen County</v>
      </c>
      <c r="P59">
        <f t="shared" si="4"/>
        <v>1</v>
      </c>
      <c r="R59" t="str">
        <f t="shared" si="5"/>
        <v>California</v>
      </c>
      <c r="S59" t="str">
        <f t="shared" si="6"/>
        <v>Lassen County</v>
      </c>
      <c r="T59">
        <f t="shared" si="7"/>
        <v>26.2</v>
      </c>
    </row>
    <row r="60" spans="1:20" x14ac:dyDescent="0.3">
      <c r="A60" s="14" t="s">
        <v>76</v>
      </c>
      <c r="B60" s="20">
        <v>75</v>
      </c>
      <c r="C60" s="20">
        <v>103</v>
      </c>
      <c r="D60" s="20">
        <v>4</v>
      </c>
      <c r="E60" s="20">
        <v>6</v>
      </c>
      <c r="F60" s="20">
        <v>188</v>
      </c>
      <c r="I60" t="s">
        <v>19</v>
      </c>
      <c r="J60" t="s">
        <v>33</v>
      </c>
      <c r="K60" s="20">
        <v>3991</v>
      </c>
      <c r="L60" s="20">
        <v>215551.19999999981</v>
      </c>
      <c r="N60" t="str">
        <f t="shared" si="2"/>
        <v>California</v>
      </c>
      <c r="O60" t="str">
        <f t="shared" si="3"/>
        <v>Los Angeles County</v>
      </c>
      <c r="P60">
        <f t="shared" si="4"/>
        <v>3991</v>
      </c>
      <c r="R60" t="str">
        <f t="shared" si="5"/>
        <v>California</v>
      </c>
      <c r="S60" t="str">
        <f t="shared" si="6"/>
        <v>Los Angeles County</v>
      </c>
      <c r="T60">
        <f t="shared" si="7"/>
        <v>215551.19999999981</v>
      </c>
    </row>
    <row r="61" spans="1:20" x14ac:dyDescent="0.3">
      <c r="A61" s="14" t="s">
        <v>81</v>
      </c>
      <c r="B61" s="20">
        <v>43</v>
      </c>
      <c r="C61" s="20">
        <v>90</v>
      </c>
      <c r="D61" s="20">
        <v>8</v>
      </c>
      <c r="E61" s="20">
        <v>6</v>
      </c>
      <c r="F61" s="20">
        <v>147</v>
      </c>
      <c r="I61" t="s">
        <v>19</v>
      </c>
      <c r="J61" t="s">
        <v>364</v>
      </c>
      <c r="K61" s="20">
        <v>45</v>
      </c>
      <c r="L61" s="20">
        <v>2687.3999999999996</v>
      </c>
      <c r="N61" t="str">
        <f t="shared" si="2"/>
        <v>California</v>
      </c>
      <c r="O61" t="str">
        <f t="shared" si="3"/>
        <v>Madera County</v>
      </c>
      <c r="P61">
        <f t="shared" si="4"/>
        <v>45</v>
      </c>
      <c r="R61" t="str">
        <f t="shared" si="5"/>
        <v>California</v>
      </c>
      <c r="S61" t="str">
        <f t="shared" si="6"/>
        <v>Madera County</v>
      </c>
      <c r="T61">
        <f t="shared" si="7"/>
        <v>2687.3999999999996</v>
      </c>
    </row>
    <row r="62" spans="1:20" x14ac:dyDescent="0.3">
      <c r="A62" s="14" t="s">
        <v>171</v>
      </c>
      <c r="B62" s="20">
        <v>26</v>
      </c>
      <c r="C62" s="20">
        <v>35</v>
      </c>
      <c r="D62" s="20">
        <v>4</v>
      </c>
      <c r="E62" s="20"/>
      <c r="F62" s="20">
        <v>65</v>
      </c>
      <c r="I62" t="s">
        <v>19</v>
      </c>
      <c r="J62" t="s">
        <v>545</v>
      </c>
      <c r="K62" s="20">
        <v>39</v>
      </c>
      <c r="L62" s="20">
        <v>1463.3000000000002</v>
      </c>
      <c r="N62" t="str">
        <f t="shared" si="2"/>
        <v>California</v>
      </c>
      <c r="O62" t="str">
        <f t="shared" si="3"/>
        <v>Marin County</v>
      </c>
      <c r="P62">
        <f t="shared" si="4"/>
        <v>39</v>
      </c>
      <c r="R62" t="str">
        <f t="shared" si="5"/>
        <v>California</v>
      </c>
      <c r="S62" t="str">
        <f t="shared" si="6"/>
        <v>Marin County</v>
      </c>
      <c r="T62">
        <f t="shared" si="7"/>
        <v>1463.3000000000002</v>
      </c>
    </row>
    <row r="63" spans="1:20" x14ac:dyDescent="0.3">
      <c r="A63" s="14" t="s">
        <v>2547</v>
      </c>
      <c r="B63" s="20">
        <v>6272</v>
      </c>
      <c r="C63" s="20">
        <v>4672</v>
      </c>
      <c r="D63" s="20">
        <v>317</v>
      </c>
      <c r="E63" s="20">
        <v>736</v>
      </c>
      <c r="F63" s="20">
        <v>11997</v>
      </c>
      <c r="I63" t="s">
        <v>19</v>
      </c>
      <c r="J63" t="s">
        <v>416</v>
      </c>
      <c r="K63" s="20">
        <v>6</v>
      </c>
      <c r="L63" s="20">
        <v>445.79999999999995</v>
      </c>
      <c r="N63" t="str">
        <f t="shared" si="2"/>
        <v>California</v>
      </c>
      <c r="O63" t="str">
        <f t="shared" si="3"/>
        <v>Mariposa County</v>
      </c>
      <c r="P63">
        <f t="shared" si="4"/>
        <v>6</v>
      </c>
      <c r="R63" t="str">
        <f t="shared" si="5"/>
        <v>California</v>
      </c>
      <c r="S63" t="str">
        <f t="shared" si="6"/>
        <v>Mariposa County</v>
      </c>
      <c r="T63">
        <f t="shared" si="7"/>
        <v>445.79999999999995</v>
      </c>
    </row>
    <row r="64" spans="1:20" x14ac:dyDescent="0.3">
      <c r="I64" t="s">
        <v>19</v>
      </c>
      <c r="J64" t="s">
        <v>258</v>
      </c>
      <c r="K64" s="20">
        <v>9</v>
      </c>
      <c r="L64" s="20">
        <v>273.59999999999997</v>
      </c>
      <c r="N64" t="str">
        <f t="shared" si="2"/>
        <v>California</v>
      </c>
      <c r="O64" t="str">
        <f t="shared" si="3"/>
        <v>Mendocino County</v>
      </c>
      <c r="P64">
        <f t="shared" si="4"/>
        <v>9</v>
      </c>
      <c r="R64" t="str">
        <f t="shared" si="5"/>
        <v>California</v>
      </c>
      <c r="S64" t="str">
        <f t="shared" si="6"/>
        <v>Mendocino County</v>
      </c>
      <c r="T64">
        <f t="shared" si="7"/>
        <v>273.59999999999997</v>
      </c>
    </row>
    <row r="65" spans="1:20" x14ac:dyDescent="0.3">
      <c r="I65" t="s">
        <v>19</v>
      </c>
      <c r="J65" t="s">
        <v>186</v>
      </c>
      <c r="K65" s="20">
        <v>60</v>
      </c>
      <c r="L65" s="20">
        <v>2690.4</v>
      </c>
      <c r="N65" t="str">
        <f t="shared" si="2"/>
        <v>California</v>
      </c>
      <c r="O65" t="str">
        <f t="shared" si="3"/>
        <v>Merced County</v>
      </c>
      <c r="P65">
        <f t="shared" si="4"/>
        <v>60</v>
      </c>
      <c r="R65" t="str">
        <f t="shared" si="5"/>
        <v>California</v>
      </c>
      <c r="S65" t="str">
        <f t="shared" si="6"/>
        <v>Merced County</v>
      </c>
      <c r="T65">
        <f t="shared" si="7"/>
        <v>2690.4</v>
      </c>
    </row>
    <row r="66" spans="1:20" x14ac:dyDescent="0.3">
      <c r="I66" t="s">
        <v>19</v>
      </c>
      <c r="J66" t="s">
        <v>392</v>
      </c>
      <c r="K66" s="20">
        <v>2</v>
      </c>
      <c r="L66" s="20">
        <v>28.4</v>
      </c>
      <c r="N66" t="str">
        <f t="shared" si="2"/>
        <v>California</v>
      </c>
      <c r="O66" t="str">
        <f t="shared" si="3"/>
        <v>Modoc County</v>
      </c>
      <c r="P66">
        <f t="shared" si="4"/>
        <v>2</v>
      </c>
      <c r="R66" t="str">
        <f t="shared" si="5"/>
        <v>California</v>
      </c>
      <c r="S66" t="str">
        <f t="shared" si="6"/>
        <v>Modoc County</v>
      </c>
      <c r="T66">
        <f t="shared" si="7"/>
        <v>28.4</v>
      </c>
    </row>
    <row r="67" spans="1:20" x14ac:dyDescent="0.3">
      <c r="I67" t="s">
        <v>19</v>
      </c>
      <c r="J67" t="s">
        <v>670</v>
      </c>
      <c r="K67" s="20">
        <v>4</v>
      </c>
      <c r="L67" s="20">
        <v>204.8</v>
      </c>
      <c r="N67" t="str">
        <f t="shared" si="2"/>
        <v>California</v>
      </c>
      <c r="O67" t="str">
        <f t="shared" si="3"/>
        <v>Mono County</v>
      </c>
      <c r="P67">
        <f t="shared" si="4"/>
        <v>4</v>
      </c>
      <c r="R67" t="str">
        <f t="shared" si="5"/>
        <v>California</v>
      </c>
      <c r="S67" t="str">
        <f t="shared" si="6"/>
        <v>Mono County</v>
      </c>
      <c r="T67">
        <f t="shared" si="7"/>
        <v>204.8</v>
      </c>
    </row>
    <row r="68" spans="1:20" x14ac:dyDescent="0.3">
      <c r="A68" t="s">
        <v>2573</v>
      </c>
      <c r="I68" t="s">
        <v>19</v>
      </c>
      <c r="J68" t="s">
        <v>802</v>
      </c>
      <c r="K68" s="20">
        <v>31</v>
      </c>
      <c r="L68" s="20">
        <v>1607.8999999999999</v>
      </c>
      <c r="N68" t="str">
        <f t="shared" si="2"/>
        <v>California</v>
      </c>
      <c r="O68" t="str">
        <f t="shared" si="3"/>
        <v>Monterey County</v>
      </c>
      <c r="P68">
        <f t="shared" si="4"/>
        <v>31</v>
      </c>
      <c r="R68" t="str">
        <f t="shared" si="5"/>
        <v>California</v>
      </c>
      <c r="S68" t="str">
        <f t="shared" si="6"/>
        <v>Monterey County</v>
      </c>
      <c r="T68">
        <f t="shared" si="7"/>
        <v>1607.8999999999999</v>
      </c>
    </row>
    <row r="69" spans="1:20" x14ac:dyDescent="0.3">
      <c r="A69" s="13" t="s">
        <v>2546</v>
      </c>
      <c r="B69" t="s">
        <v>2548</v>
      </c>
      <c r="I69" t="s">
        <v>19</v>
      </c>
      <c r="J69" t="s">
        <v>98</v>
      </c>
      <c r="K69" s="20">
        <v>88</v>
      </c>
      <c r="L69" s="20">
        <v>6444.9</v>
      </c>
      <c r="N69" t="str">
        <f t="shared" si="2"/>
        <v>California</v>
      </c>
      <c r="O69" t="str">
        <f t="shared" si="3"/>
        <v>Napa County</v>
      </c>
      <c r="P69">
        <f t="shared" si="4"/>
        <v>88</v>
      </c>
      <c r="R69" t="str">
        <f t="shared" si="5"/>
        <v>California</v>
      </c>
      <c r="S69" t="str">
        <f t="shared" si="6"/>
        <v>Napa County</v>
      </c>
      <c r="T69">
        <f t="shared" si="7"/>
        <v>6444.9</v>
      </c>
    </row>
    <row r="70" spans="1:20" x14ac:dyDescent="0.3">
      <c r="A70" s="14">
        <v>0</v>
      </c>
      <c r="B70" s="20">
        <v>175</v>
      </c>
      <c r="I70" t="s">
        <v>19</v>
      </c>
      <c r="J70" t="s">
        <v>49</v>
      </c>
      <c r="K70" s="20">
        <v>25</v>
      </c>
      <c r="L70" s="20">
        <v>1809.3</v>
      </c>
      <c r="N70" t="str">
        <f t="shared" si="2"/>
        <v>California</v>
      </c>
      <c r="O70" t="str">
        <f t="shared" si="3"/>
        <v>Nevada County</v>
      </c>
      <c r="P70">
        <f t="shared" si="4"/>
        <v>25</v>
      </c>
      <c r="R70" t="str">
        <f t="shared" si="5"/>
        <v>California</v>
      </c>
      <c r="S70" t="str">
        <f t="shared" si="6"/>
        <v>Nevada County</v>
      </c>
      <c r="T70">
        <f t="shared" si="7"/>
        <v>1809.3</v>
      </c>
    </row>
    <row r="71" spans="1:20" x14ac:dyDescent="0.3">
      <c r="A71" s="14">
        <v>1</v>
      </c>
      <c r="B71" s="20">
        <v>888</v>
      </c>
      <c r="I71" t="s">
        <v>19</v>
      </c>
      <c r="J71" t="s">
        <v>188</v>
      </c>
      <c r="K71" s="20">
        <v>178</v>
      </c>
      <c r="L71" s="20">
        <v>9680.399999999996</v>
      </c>
      <c r="N71" t="str">
        <f t="shared" si="2"/>
        <v>California</v>
      </c>
      <c r="O71" t="str">
        <f t="shared" si="3"/>
        <v>Orange County</v>
      </c>
      <c r="P71">
        <f t="shared" si="4"/>
        <v>178</v>
      </c>
      <c r="R71" t="str">
        <f t="shared" si="5"/>
        <v>California</v>
      </c>
      <c r="S71" t="str">
        <f t="shared" si="6"/>
        <v>Orange County</v>
      </c>
      <c r="T71">
        <f t="shared" si="7"/>
        <v>9680.399999999996</v>
      </c>
    </row>
    <row r="72" spans="1:20" x14ac:dyDescent="0.3">
      <c r="A72" s="14">
        <v>2</v>
      </c>
      <c r="B72" s="20">
        <v>538</v>
      </c>
      <c r="I72" t="s">
        <v>19</v>
      </c>
      <c r="J72" t="s">
        <v>52</v>
      </c>
      <c r="K72" s="20">
        <v>141</v>
      </c>
      <c r="L72" s="20">
        <v>9414.7999999999993</v>
      </c>
      <c r="N72" t="str">
        <f t="shared" si="2"/>
        <v>California</v>
      </c>
      <c r="O72" t="str">
        <f t="shared" si="3"/>
        <v>Placer County</v>
      </c>
      <c r="P72">
        <f t="shared" si="4"/>
        <v>141</v>
      </c>
      <c r="R72" t="str">
        <f t="shared" si="5"/>
        <v>California</v>
      </c>
      <c r="S72" t="str">
        <f t="shared" si="6"/>
        <v>Placer County</v>
      </c>
      <c r="T72">
        <f t="shared" si="7"/>
        <v>9414.7999999999993</v>
      </c>
    </row>
    <row r="73" spans="1:20" x14ac:dyDescent="0.3">
      <c r="A73" s="14">
        <v>3</v>
      </c>
      <c r="B73" s="20">
        <v>344</v>
      </c>
      <c r="I73" t="s">
        <v>19</v>
      </c>
      <c r="J73" t="s">
        <v>338</v>
      </c>
      <c r="K73" s="20">
        <v>6</v>
      </c>
      <c r="L73" s="20">
        <v>206.1</v>
      </c>
      <c r="N73" t="str">
        <f t="shared" si="2"/>
        <v>California</v>
      </c>
      <c r="O73" t="str">
        <f t="shared" si="3"/>
        <v>Plumas County</v>
      </c>
      <c r="P73">
        <f t="shared" si="4"/>
        <v>6</v>
      </c>
      <c r="R73" t="str">
        <f t="shared" si="5"/>
        <v>California</v>
      </c>
      <c r="S73" t="str">
        <f t="shared" si="6"/>
        <v>Plumas County</v>
      </c>
      <c r="T73">
        <f t="shared" si="7"/>
        <v>206.1</v>
      </c>
    </row>
    <row r="74" spans="1:20" x14ac:dyDescent="0.3">
      <c r="A74" s="14">
        <v>4</v>
      </c>
      <c r="B74" s="20">
        <v>200</v>
      </c>
      <c r="I74" t="s">
        <v>19</v>
      </c>
      <c r="J74" t="s">
        <v>158</v>
      </c>
      <c r="K74" s="20">
        <v>178</v>
      </c>
      <c r="L74" s="20">
        <v>7691.3</v>
      </c>
      <c r="N74" t="str">
        <f t="shared" si="2"/>
        <v>California</v>
      </c>
      <c r="O74" t="str">
        <f t="shared" si="3"/>
        <v>Riverside County</v>
      </c>
      <c r="P74">
        <f t="shared" si="4"/>
        <v>178</v>
      </c>
      <c r="R74" t="str">
        <f t="shared" si="5"/>
        <v>California</v>
      </c>
      <c r="S74" t="str">
        <f t="shared" si="6"/>
        <v>Riverside County</v>
      </c>
      <c r="T74">
        <f t="shared" si="7"/>
        <v>7691.3</v>
      </c>
    </row>
    <row r="75" spans="1:20" x14ac:dyDescent="0.3">
      <c r="A75" s="14">
        <v>5</v>
      </c>
      <c r="B75" s="20">
        <v>94</v>
      </c>
      <c r="I75" t="s">
        <v>19</v>
      </c>
      <c r="J75" t="s">
        <v>55</v>
      </c>
      <c r="K75" s="20">
        <v>699</v>
      </c>
      <c r="L75" s="20">
        <v>37784.900000000016</v>
      </c>
      <c r="N75" t="str">
        <f t="shared" si="2"/>
        <v>California</v>
      </c>
      <c r="O75" t="str">
        <f t="shared" si="3"/>
        <v>Sacramento County</v>
      </c>
      <c r="P75">
        <f t="shared" si="4"/>
        <v>699</v>
      </c>
      <c r="R75" t="str">
        <f t="shared" si="5"/>
        <v>California</v>
      </c>
      <c r="S75" t="str">
        <f t="shared" si="6"/>
        <v>Sacramento County</v>
      </c>
      <c r="T75">
        <f t="shared" si="7"/>
        <v>37784.900000000016</v>
      </c>
    </row>
    <row r="76" spans="1:20" x14ac:dyDescent="0.3">
      <c r="A76" s="14">
        <v>6</v>
      </c>
      <c r="B76" s="20">
        <v>51</v>
      </c>
      <c r="I76" t="s">
        <v>19</v>
      </c>
      <c r="J76" t="s">
        <v>342</v>
      </c>
      <c r="K76" s="20">
        <v>23</v>
      </c>
      <c r="L76" s="20">
        <v>1129.7</v>
      </c>
      <c r="N76" t="str">
        <f t="shared" si="2"/>
        <v>California</v>
      </c>
      <c r="O76" t="str">
        <f t="shared" si="3"/>
        <v>San Benito County</v>
      </c>
      <c r="P76">
        <f t="shared" si="4"/>
        <v>23</v>
      </c>
      <c r="R76" t="str">
        <f t="shared" si="5"/>
        <v>California</v>
      </c>
      <c r="S76" t="str">
        <f t="shared" si="6"/>
        <v>San Benito County</v>
      </c>
      <c r="T76">
        <f t="shared" si="7"/>
        <v>1129.7</v>
      </c>
    </row>
    <row r="77" spans="1:20" x14ac:dyDescent="0.3">
      <c r="A77" s="14">
        <v>7</v>
      </c>
      <c r="B77" s="20">
        <v>32</v>
      </c>
      <c r="I77" t="s">
        <v>19</v>
      </c>
      <c r="J77" t="s">
        <v>59</v>
      </c>
      <c r="K77" s="20">
        <v>356</v>
      </c>
      <c r="L77" s="20">
        <v>20988.9</v>
      </c>
      <c r="N77" t="str">
        <f t="shared" si="2"/>
        <v>California</v>
      </c>
      <c r="O77" t="str">
        <f t="shared" si="3"/>
        <v>San Bernardino County</v>
      </c>
      <c r="P77">
        <f t="shared" si="4"/>
        <v>356</v>
      </c>
      <c r="R77" t="str">
        <f t="shared" si="5"/>
        <v>California</v>
      </c>
      <c r="S77" t="str">
        <f t="shared" si="6"/>
        <v>San Bernardino County</v>
      </c>
      <c r="T77">
        <f t="shared" si="7"/>
        <v>20988.9</v>
      </c>
    </row>
    <row r="78" spans="1:20" x14ac:dyDescent="0.3">
      <c r="A78" s="14">
        <v>8</v>
      </c>
      <c r="B78" s="20">
        <v>23</v>
      </c>
      <c r="I78" t="s">
        <v>19</v>
      </c>
      <c r="J78" t="s">
        <v>62</v>
      </c>
      <c r="K78" s="20">
        <v>1768</v>
      </c>
      <c r="L78" s="20">
        <v>98367.099999999977</v>
      </c>
      <c r="N78" t="str">
        <f t="shared" si="2"/>
        <v>California</v>
      </c>
      <c r="O78" t="str">
        <f t="shared" si="3"/>
        <v>San Diego County</v>
      </c>
      <c r="P78">
        <f t="shared" si="4"/>
        <v>1768</v>
      </c>
      <c r="R78" t="str">
        <f t="shared" si="5"/>
        <v>California</v>
      </c>
      <c r="S78" t="str">
        <f t="shared" si="6"/>
        <v>San Diego County</v>
      </c>
      <c r="T78">
        <f t="shared" si="7"/>
        <v>98367.099999999977</v>
      </c>
    </row>
    <row r="79" spans="1:20" x14ac:dyDescent="0.3">
      <c r="A79" s="14">
        <v>9</v>
      </c>
      <c r="B79" s="20">
        <v>9</v>
      </c>
      <c r="I79" t="s">
        <v>19</v>
      </c>
      <c r="J79" t="s">
        <v>103</v>
      </c>
      <c r="K79" s="20">
        <v>307</v>
      </c>
      <c r="L79" s="20">
        <v>21911.9</v>
      </c>
      <c r="N79" t="str">
        <f t="shared" si="2"/>
        <v>California</v>
      </c>
      <c r="O79" t="str">
        <f t="shared" si="3"/>
        <v>San Francisco</v>
      </c>
      <c r="P79">
        <f t="shared" si="4"/>
        <v>307</v>
      </c>
      <c r="R79" t="str">
        <f t="shared" si="5"/>
        <v>California</v>
      </c>
      <c r="S79" t="str">
        <f t="shared" si="6"/>
        <v>San Francisco</v>
      </c>
      <c r="T79">
        <f t="shared" si="7"/>
        <v>21911.9</v>
      </c>
    </row>
    <row r="80" spans="1:20" x14ac:dyDescent="0.3">
      <c r="A80" s="14">
        <v>10</v>
      </c>
      <c r="B80" s="20">
        <v>8</v>
      </c>
      <c r="I80" t="s">
        <v>19</v>
      </c>
      <c r="J80" t="s">
        <v>201</v>
      </c>
      <c r="K80" s="20">
        <v>117</v>
      </c>
      <c r="L80" s="20">
        <v>5441.2</v>
      </c>
      <c r="N80" t="str">
        <f t="shared" si="2"/>
        <v>California</v>
      </c>
      <c r="O80" t="str">
        <f t="shared" si="3"/>
        <v>San Joaquin County</v>
      </c>
      <c r="P80">
        <f t="shared" si="4"/>
        <v>117</v>
      </c>
      <c r="R80" t="str">
        <f t="shared" si="5"/>
        <v>California</v>
      </c>
      <c r="S80" t="str">
        <f t="shared" si="6"/>
        <v>San Joaquin County</v>
      </c>
      <c r="T80">
        <f t="shared" si="7"/>
        <v>5441.2</v>
      </c>
    </row>
    <row r="81" spans="1:20" x14ac:dyDescent="0.3">
      <c r="A81" s="14">
        <v>11</v>
      </c>
      <c r="B81" s="20">
        <v>11</v>
      </c>
      <c r="I81" t="s">
        <v>19</v>
      </c>
      <c r="J81" t="s">
        <v>429</v>
      </c>
      <c r="K81" s="20">
        <v>13</v>
      </c>
      <c r="L81" s="20">
        <v>392.8</v>
      </c>
      <c r="N81" t="str">
        <f t="shared" si="2"/>
        <v>California</v>
      </c>
      <c r="O81" t="str">
        <f t="shared" si="3"/>
        <v>San Luis Obispo County</v>
      </c>
      <c r="P81">
        <f t="shared" si="4"/>
        <v>13</v>
      </c>
      <c r="R81" t="str">
        <f t="shared" si="5"/>
        <v>California</v>
      </c>
      <c r="S81" t="str">
        <f t="shared" si="6"/>
        <v>San Luis Obispo County</v>
      </c>
      <c r="T81">
        <f t="shared" si="7"/>
        <v>392.8</v>
      </c>
    </row>
    <row r="82" spans="1:20" x14ac:dyDescent="0.3">
      <c r="A82" s="14">
        <v>12</v>
      </c>
      <c r="B82" s="20">
        <v>4</v>
      </c>
      <c r="I82" t="s">
        <v>19</v>
      </c>
      <c r="J82" t="s">
        <v>72</v>
      </c>
      <c r="K82" s="20">
        <v>364</v>
      </c>
      <c r="L82" s="20">
        <v>16172.000000000005</v>
      </c>
      <c r="N82" t="str">
        <f t="shared" si="2"/>
        <v>California</v>
      </c>
      <c r="O82" t="str">
        <f t="shared" si="3"/>
        <v>San Mateo County</v>
      </c>
      <c r="P82">
        <f t="shared" si="4"/>
        <v>364</v>
      </c>
      <c r="R82" t="str">
        <f t="shared" si="5"/>
        <v>California</v>
      </c>
      <c r="S82" t="str">
        <f t="shared" si="6"/>
        <v>San Mateo County</v>
      </c>
      <c r="T82">
        <f t="shared" si="7"/>
        <v>16172.000000000005</v>
      </c>
    </row>
    <row r="83" spans="1:20" x14ac:dyDescent="0.3">
      <c r="A83" s="14">
        <v>13</v>
      </c>
      <c r="B83" s="20">
        <v>10</v>
      </c>
      <c r="I83" t="s">
        <v>19</v>
      </c>
      <c r="J83" t="s">
        <v>74</v>
      </c>
      <c r="K83" s="20">
        <v>95</v>
      </c>
      <c r="L83" s="20">
        <v>4334.9999999999991</v>
      </c>
      <c r="N83" t="str">
        <f t="shared" si="2"/>
        <v>California</v>
      </c>
      <c r="O83" t="str">
        <f t="shared" si="3"/>
        <v>Santa Barbara County</v>
      </c>
      <c r="P83">
        <f t="shared" si="4"/>
        <v>95</v>
      </c>
      <c r="R83" t="str">
        <f t="shared" si="5"/>
        <v>California</v>
      </c>
      <c r="S83" t="str">
        <f t="shared" si="6"/>
        <v>Santa Barbara County</v>
      </c>
      <c r="T83">
        <f t="shared" si="7"/>
        <v>4334.9999999999991</v>
      </c>
    </row>
    <row r="84" spans="1:20" x14ac:dyDescent="0.3">
      <c r="A84" s="14">
        <v>14</v>
      </c>
      <c r="B84" s="20">
        <v>13</v>
      </c>
      <c r="I84" t="s">
        <v>19</v>
      </c>
      <c r="J84" t="s">
        <v>77</v>
      </c>
      <c r="K84" s="20">
        <v>737</v>
      </c>
      <c r="L84" s="20">
        <v>37449.000000000007</v>
      </c>
      <c r="N84" t="str">
        <f t="shared" si="2"/>
        <v>California</v>
      </c>
      <c r="O84" t="str">
        <f t="shared" si="3"/>
        <v>Santa Clara County</v>
      </c>
      <c r="P84">
        <f t="shared" si="4"/>
        <v>737</v>
      </c>
      <c r="R84" t="str">
        <f t="shared" si="5"/>
        <v>California</v>
      </c>
      <c r="S84" t="str">
        <f t="shared" si="6"/>
        <v>Santa Clara County</v>
      </c>
      <c r="T84">
        <f t="shared" si="7"/>
        <v>37449.000000000007</v>
      </c>
    </row>
    <row r="85" spans="1:20" x14ac:dyDescent="0.3">
      <c r="A85" s="14" t="s">
        <v>2547</v>
      </c>
      <c r="B85" s="20">
        <v>2400</v>
      </c>
      <c r="I85" t="s">
        <v>19</v>
      </c>
      <c r="J85" t="s">
        <v>309</v>
      </c>
      <c r="K85" s="20">
        <v>39</v>
      </c>
      <c r="L85" s="20">
        <v>2447.5</v>
      </c>
      <c r="N85" t="str">
        <f t="shared" si="2"/>
        <v>California</v>
      </c>
      <c r="O85" t="str">
        <f t="shared" si="3"/>
        <v>Santa Cruz County</v>
      </c>
      <c r="P85">
        <f t="shared" si="4"/>
        <v>39</v>
      </c>
      <c r="R85" t="str">
        <f t="shared" si="5"/>
        <v>California</v>
      </c>
      <c r="S85" t="str">
        <f t="shared" si="6"/>
        <v>Santa Cruz County</v>
      </c>
      <c r="T85">
        <f t="shared" si="7"/>
        <v>2447.5</v>
      </c>
    </row>
    <row r="86" spans="1:20" x14ac:dyDescent="0.3">
      <c r="I86" t="s">
        <v>19</v>
      </c>
      <c r="J86" t="s">
        <v>1116</v>
      </c>
      <c r="K86" s="20">
        <v>56</v>
      </c>
      <c r="L86" s="20">
        <v>3391.1</v>
      </c>
      <c r="N86" t="str">
        <f t="shared" si="2"/>
        <v>California</v>
      </c>
      <c r="O86" t="str">
        <f t="shared" si="3"/>
        <v>Shasta County</v>
      </c>
      <c r="P86">
        <f t="shared" si="4"/>
        <v>56</v>
      </c>
      <c r="R86" t="str">
        <f t="shared" si="5"/>
        <v>California</v>
      </c>
      <c r="S86" t="str">
        <f t="shared" si="6"/>
        <v>Shasta County</v>
      </c>
      <c r="T86">
        <f t="shared" si="7"/>
        <v>3391.1</v>
      </c>
    </row>
    <row r="87" spans="1:20" x14ac:dyDescent="0.3">
      <c r="I87" t="s">
        <v>19</v>
      </c>
      <c r="J87" t="s">
        <v>700</v>
      </c>
      <c r="K87" s="20">
        <v>2</v>
      </c>
      <c r="L87" s="20">
        <v>30.8</v>
      </c>
      <c r="N87" t="str">
        <f t="shared" si="2"/>
        <v>California</v>
      </c>
      <c r="O87" t="str">
        <f t="shared" si="3"/>
        <v>Sierra County</v>
      </c>
      <c r="P87">
        <f t="shared" si="4"/>
        <v>2</v>
      </c>
      <c r="R87" t="str">
        <f t="shared" si="5"/>
        <v>California</v>
      </c>
      <c r="S87" t="str">
        <f t="shared" si="6"/>
        <v>Sierra County</v>
      </c>
      <c r="T87">
        <f t="shared" si="7"/>
        <v>30.8</v>
      </c>
    </row>
    <row r="88" spans="1:20" x14ac:dyDescent="0.3">
      <c r="I88" t="s">
        <v>19</v>
      </c>
      <c r="J88" t="s">
        <v>268</v>
      </c>
      <c r="K88" s="20">
        <v>8</v>
      </c>
      <c r="L88" s="20">
        <v>332.3</v>
      </c>
      <c r="N88" t="str">
        <f t="shared" si="2"/>
        <v>California</v>
      </c>
      <c r="O88" t="str">
        <f t="shared" si="3"/>
        <v>Siskiyou County</v>
      </c>
      <c r="P88">
        <f t="shared" si="4"/>
        <v>8</v>
      </c>
      <c r="R88" t="str">
        <f t="shared" si="5"/>
        <v>California</v>
      </c>
      <c r="S88" t="str">
        <f t="shared" si="6"/>
        <v>Siskiyou County</v>
      </c>
      <c r="T88">
        <f t="shared" si="7"/>
        <v>332.3</v>
      </c>
    </row>
    <row r="89" spans="1:20" x14ac:dyDescent="0.3">
      <c r="I89" t="s">
        <v>19</v>
      </c>
      <c r="J89" t="s">
        <v>377</v>
      </c>
      <c r="K89" s="20">
        <v>52</v>
      </c>
      <c r="L89" s="20">
        <v>3175.9999999999995</v>
      </c>
      <c r="N89" t="str">
        <f t="shared" si="2"/>
        <v>California</v>
      </c>
      <c r="O89" t="str">
        <f t="shared" si="3"/>
        <v>Solano County</v>
      </c>
      <c r="P89">
        <f t="shared" si="4"/>
        <v>52</v>
      </c>
      <c r="R89" t="str">
        <f t="shared" si="5"/>
        <v>California</v>
      </c>
      <c r="S89" t="str">
        <f t="shared" si="6"/>
        <v>Solano County</v>
      </c>
      <c r="T89">
        <f t="shared" si="7"/>
        <v>3175.9999999999995</v>
      </c>
    </row>
    <row r="90" spans="1:20" x14ac:dyDescent="0.3">
      <c r="I90" t="s">
        <v>19</v>
      </c>
      <c r="J90" t="s">
        <v>108</v>
      </c>
      <c r="K90" s="20">
        <v>295</v>
      </c>
      <c r="L90" s="20">
        <v>20939.600000000002</v>
      </c>
      <c r="N90" t="str">
        <f t="shared" si="2"/>
        <v>California</v>
      </c>
      <c r="O90" t="str">
        <f t="shared" si="3"/>
        <v>Sonoma County</v>
      </c>
      <c r="P90">
        <f t="shared" si="4"/>
        <v>295</v>
      </c>
      <c r="R90" t="str">
        <f t="shared" si="5"/>
        <v>California</v>
      </c>
      <c r="S90" t="str">
        <f t="shared" si="6"/>
        <v>Sonoma County</v>
      </c>
      <c r="T90">
        <f t="shared" si="7"/>
        <v>20939.600000000002</v>
      </c>
    </row>
    <row r="91" spans="1:20" x14ac:dyDescent="0.3">
      <c r="I91" t="s">
        <v>19</v>
      </c>
      <c r="J91" t="s">
        <v>110</v>
      </c>
      <c r="K91" s="20">
        <v>195</v>
      </c>
      <c r="L91" s="20">
        <v>10185.899999999996</v>
      </c>
      <c r="N91" t="str">
        <f t="shared" si="2"/>
        <v>California</v>
      </c>
      <c r="O91" t="str">
        <f t="shared" si="3"/>
        <v>Stanislaus County</v>
      </c>
      <c r="P91">
        <f t="shared" si="4"/>
        <v>195</v>
      </c>
      <c r="R91" t="str">
        <f t="shared" si="5"/>
        <v>California</v>
      </c>
      <c r="S91" t="str">
        <f t="shared" si="6"/>
        <v>Stanislaus County</v>
      </c>
      <c r="T91">
        <f t="shared" si="7"/>
        <v>10185.899999999996</v>
      </c>
    </row>
    <row r="92" spans="1:20" x14ac:dyDescent="0.3">
      <c r="I92" t="s">
        <v>19</v>
      </c>
      <c r="J92" t="s">
        <v>292</v>
      </c>
      <c r="K92" s="20">
        <v>20</v>
      </c>
      <c r="L92" s="20">
        <v>958.7</v>
      </c>
      <c r="N92" t="str">
        <f t="shared" si="2"/>
        <v>California</v>
      </c>
      <c r="O92" t="str">
        <f t="shared" si="3"/>
        <v>Sutter County</v>
      </c>
      <c r="P92">
        <f t="shared" si="4"/>
        <v>20</v>
      </c>
      <c r="R92" t="str">
        <f t="shared" si="5"/>
        <v>California</v>
      </c>
      <c r="S92" t="str">
        <f t="shared" si="6"/>
        <v>Sutter County</v>
      </c>
      <c r="T92">
        <f t="shared" si="7"/>
        <v>958.7</v>
      </c>
    </row>
    <row r="93" spans="1:20" x14ac:dyDescent="0.3">
      <c r="I93" t="s">
        <v>19</v>
      </c>
      <c r="J93" t="s">
        <v>79</v>
      </c>
      <c r="K93" s="20">
        <v>6</v>
      </c>
      <c r="L93" s="20">
        <v>323</v>
      </c>
      <c r="N93" t="str">
        <f t="shared" si="2"/>
        <v>California</v>
      </c>
      <c r="O93" t="str">
        <f t="shared" si="3"/>
        <v>Tehama County</v>
      </c>
      <c r="P93">
        <f t="shared" si="4"/>
        <v>6</v>
      </c>
      <c r="R93" t="str">
        <f t="shared" si="5"/>
        <v>California</v>
      </c>
      <c r="S93" t="str">
        <f t="shared" si="6"/>
        <v>Tehama County</v>
      </c>
      <c r="T93">
        <f t="shared" si="7"/>
        <v>323</v>
      </c>
    </row>
    <row r="94" spans="1:20" x14ac:dyDescent="0.3">
      <c r="I94" t="s">
        <v>19</v>
      </c>
      <c r="J94" t="s">
        <v>608</v>
      </c>
      <c r="K94" s="20">
        <v>5</v>
      </c>
      <c r="L94" s="20">
        <v>167.70000000000002</v>
      </c>
      <c r="N94" t="str">
        <f t="shared" si="2"/>
        <v>California</v>
      </c>
      <c r="O94" t="str">
        <f t="shared" si="3"/>
        <v>Trinity County</v>
      </c>
      <c r="P94">
        <f t="shared" si="4"/>
        <v>5</v>
      </c>
      <c r="R94" t="str">
        <f t="shared" si="5"/>
        <v>California</v>
      </c>
      <c r="S94" t="str">
        <f t="shared" si="6"/>
        <v>Trinity County</v>
      </c>
      <c r="T94">
        <f t="shared" si="7"/>
        <v>167.70000000000002</v>
      </c>
    </row>
    <row r="95" spans="1:20" x14ac:dyDescent="0.3">
      <c r="I95" t="s">
        <v>19</v>
      </c>
      <c r="J95" t="s">
        <v>113</v>
      </c>
      <c r="K95" s="20">
        <v>94</v>
      </c>
      <c r="L95" s="20">
        <v>3978.5</v>
      </c>
      <c r="N95" t="str">
        <f t="shared" si="2"/>
        <v>California</v>
      </c>
      <c r="O95" t="str">
        <f t="shared" si="3"/>
        <v>Tulare County</v>
      </c>
      <c r="P95">
        <f t="shared" si="4"/>
        <v>94</v>
      </c>
      <c r="R95" t="str">
        <f t="shared" si="5"/>
        <v>California</v>
      </c>
      <c r="S95" t="str">
        <f t="shared" si="6"/>
        <v>Tulare County</v>
      </c>
      <c r="T95">
        <f t="shared" si="7"/>
        <v>3978.5</v>
      </c>
    </row>
    <row r="96" spans="1:20" x14ac:dyDescent="0.3">
      <c r="I96" t="s">
        <v>19</v>
      </c>
      <c r="J96" t="s">
        <v>997</v>
      </c>
      <c r="K96" s="20">
        <v>28</v>
      </c>
      <c r="L96" s="20">
        <v>1405</v>
      </c>
      <c r="N96" t="str">
        <f t="shared" si="2"/>
        <v>California</v>
      </c>
      <c r="O96" t="str">
        <f t="shared" si="3"/>
        <v>Tuolumne County</v>
      </c>
      <c r="P96">
        <f t="shared" si="4"/>
        <v>28</v>
      </c>
      <c r="R96" t="str">
        <f t="shared" si="5"/>
        <v>California</v>
      </c>
      <c r="S96" t="str">
        <f t="shared" si="6"/>
        <v>Tuolumne County</v>
      </c>
      <c r="T96">
        <f t="shared" si="7"/>
        <v>1405</v>
      </c>
    </row>
    <row r="97" spans="9:20" x14ac:dyDescent="0.3">
      <c r="I97" t="s">
        <v>19</v>
      </c>
      <c r="J97" t="s">
        <v>82</v>
      </c>
      <c r="K97" s="20">
        <v>179</v>
      </c>
      <c r="L97" s="20">
        <v>9869.0999999999985</v>
      </c>
      <c r="N97" t="str">
        <f t="shared" si="2"/>
        <v>California</v>
      </c>
      <c r="O97" t="str">
        <f t="shared" si="3"/>
        <v>Ventura County</v>
      </c>
      <c r="P97">
        <f t="shared" si="4"/>
        <v>179</v>
      </c>
      <c r="R97" t="str">
        <f t="shared" si="5"/>
        <v>California</v>
      </c>
      <c r="S97" t="str">
        <f t="shared" si="6"/>
        <v>Ventura County</v>
      </c>
      <c r="T97">
        <f t="shared" si="7"/>
        <v>9869.0999999999985</v>
      </c>
    </row>
    <row r="98" spans="9:20" x14ac:dyDescent="0.3">
      <c r="I98" t="s">
        <v>19</v>
      </c>
      <c r="J98" t="s">
        <v>243</v>
      </c>
      <c r="K98" s="20">
        <v>15</v>
      </c>
      <c r="L98" s="20">
        <v>615.29999999999995</v>
      </c>
      <c r="N98" t="str">
        <f t="shared" si="2"/>
        <v>California</v>
      </c>
      <c r="O98" t="str">
        <f t="shared" si="3"/>
        <v>Yolo County</v>
      </c>
      <c r="P98">
        <f t="shared" si="4"/>
        <v>15</v>
      </c>
      <c r="R98" t="str">
        <f t="shared" si="5"/>
        <v>California</v>
      </c>
      <c r="S98" t="str">
        <f t="shared" si="6"/>
        <v>Yolo County</v>
      </c>
      <c r="T98">
        <f t="shared" si="7"/>
        <v>615.29999999999995</v>
      </c>
    </row>
    <row r="99" spans="9:20" x14ac:dyDescent="0.3">
      <c r="I99" t="s">
        <v>19</v>
      </c>
      <c r="J99" t="s">
        <v>1911</v>
      </c>
      <c r="K99" s="20">
        <v>3</v>
      </c>
      <c r="L99" s="20">
        <v>285</v>
      </c>
      <c r="N99" t="str">
        <f t="shared" si="2"/>
        <v>California</v>
      </c>
      <c r="O99" t="str">
        <f t="shared" si="3"/>
        <v>Yuba County</v>
      </c>
      <c r="P99">
        <f t="shared" si="4"/>
        <v>3</v>
      </c>
      <c r="R99" t="str">
        <f t="shared" si="5"/>
        <v>California</v>
      </c>
      <c r="S99" t="str">
        <f t="shared" si="6"/>
        <v>Yuba County</v>
      </c>
      <c r="T99">
        <f t="shared" si="7"/>
        <v>285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9F2CD-6D6E-49F8-89E2-929B0338C754}">
  <dimension ref="A2:M10"/>
  <sheetViews>
    <sheetView workbookViewId="0">
      <selection activeCell="B7" sqref="B7"/>
    </sheetView>
  </sheetViews>
  <sheetFormatPr defaultRowHeight="14.4" x14ac:dyDescent="0.3"/>
  <cols>
    <col min="1" max="1" width="13.5546875" bestFit="1" customWidth="1"/>
    <col min="2" max="2" width="15.5546875" bestFit="1" customWidth="1"/>
    <col min="3" max="3" width="7.109375" bestFit="1" customWidth="1"/>
    <col min="4" max="4" width="6.109375" bestFit="1" customWidth="1"/>
    <col min="5" max="5" width="8.5546875" bestFit="1" customWidth="1"/>
    <col min="6" max="6" width="10.5546875" bestFit="1" customWidth="1"/>
    <col min="9" max="9" width="10.44140625" bestFit="1" customWidth="1"/>
  </cols>
  <sheetData>
    <row r="2" spans="1:13" x14ac:dyDescent="0.3">
      <c r="I2" t="s">
        <v>2561</v>
      </c>
    </row>
    <row r="3" spans="1:13" ht="15" thickBot="1" x14ac:dyDescent="0.35">
      <c r="A3" s="13" t="s">
        <v>2550</v>
      </c>
      <c r="B3" s="13" t="s">
        <v>2560</v>
      </c>
    </row>
    <row r="4" spans="1:13" ht="15.6" thickTop="1" thickBot="1" x14ac:dyDescent="0.35">
      <c r="A4" s="13" t="s">
        <v>2546</v>
      </c>
      <c r="B4" t="s">
        <v>2556</v>
      </c>
      <c r="C4" t="s">
        <v>2557</v>
      </c>
      <c r="D4" t="s">
        <v>2558</v>
      </c>
      <c r="E4" t="s">
        <v>2559</v>
      </c>
      <c r="F4" t="s">
        <v>2547</v>
      </c>
      <c r="I4" s="23"/>
      <c r="J4" s="24" t="str">
        <f>B4</f>
        <v>Female</v>
      </c>
      <c r="K4" s="24" t="str">
        <f t="shared" ref="K4:M4" si="0">C4</f>
        <v>Male</v>
      </c>
      <c r="L4" s="24" t="str">
        <f t="shared" si="0"/>
        <v>Other</v>
      </c>
      <c r="M4" s="24" t="str">
        <f t="shared" si="0"/>
        <v>Unknown</v>
      </c>
    </row>
    <row r="5" spans="1:13" ht="15.6" thickTop="1" thickBot="1" x14ac:dyDescent="0.35">
      <c r="A5" s="14" t="s">
        <v>18</v>
      </c>
      <c r="B5" s="21">
        <v>0.18961825201634841</v>
      </c>
      <c r="C5" s="21">
        <v>0.12262322351336576</v>
      </c>
      <c r="D5" s="21">
        <v>1.060537752469185E-2</v>
      </c>
      <c r="E5" s="21">
        <v>3.0599220547662797E-2</v>
      </c>
      <c r="F5" s="21">
        <v>0.35344607360206881</v>
      </c>
      <c r="I5" s="23" t="str">
        <f>A5</f>
        <v>App</v>
      </c>
      <c r="J5" s="22">
        <f t="shared" ref="J5:M9" si="1">B5</f>
        <v>0.18961825201634841</v>
      </c>
      <c r="K5" s="22">
        <f t="shared" si="1"/>
        <v>0.12262322351336576</v>
      </c>
      <c r="L5" s="22">
        <f t="shared" si="1"/>
        <v>1.060537752469185E-2</v>
      </c>
      <c r="M5" s="22">
        <f t="shared" si="1"/>
        <v>3.0599220547662797E-2</v>
      </c>
    </row>
    <row r="6" spans="1:13" ht="15.6" thickTop="1" thickBot="1" x14ac:dyDescent="0.35">
      <c r="A6" s="14" t="s">
        <v>51</v>
      </c>
      <c r="B6" s="21">
        <v>5.0283982091147303E-2</v>
      </c>
      <c r="C6" s="21">
        <v>4.3060781812819873E-2</v>
      </c>
      <c r="D6" s="21">
        <v>1.5320025675641944E-3</v>
      </c>
      <c r="E6" s="21">
        <v>1.7794988689097006E-2</v>
      </c>
      <c r="F6" s="21">
        <v>0.11267175516062837</v>
      </c>
      <c r="I6" s="23" t="str">
        <f t="shared" ref="I6:I9" si="2">A6</f>
        <v>Instagram</v>
      </c>
      <c r="J6" s="22">
        <f t="shared" si="1"/>
        <v>5.0283982091147303E-2</v>
      </c>
      <c r="K6" s="22">
        <f t="shared" si="1"/>
        <v>4.3060781812819873E-2</v>
      </c>
      <c r="L6" s="22">
        <f t="shared" si="1"/>
        <v>1.5320025675641944E-3</v>
      </c>
      <c r="M6" s="22">
        <f t="shared" si="1"/>
        <v>1.7794988689097006E-2</v>
      </c>
    </row>
    <row r="7" spans="1:13" ht="15.6" thickTop="1" thickBot="1" x14ac:dyDescent="0.35">
      <c r="A7" s="14" t="s">
        <v>70</v>
      </c>
      <c r="B7" s="21">
        <v>6.3496059750411282E-2</v>
      </c>
      <c r="C7" s="21">
        <v>4.6071629863988765E-2</v>
      </c>
      <c r="D7" s="21">
        <v>2.306247051322625E-3</v>
      </c>
      <c r="E7" s="21">
        <v>3.8927934093844286E-3</v>
      </c>
      <c r="F7" s="21">
        <v>0.11576673007510711</v>
      </c>
      <c r="I7" s="23" t="str">
        <f t="shared" si="2"/>
        <v>Partner App</v>
      </c>
      <c r="J7" s="22">
        <f t="shared" si="1"/>
        <v>6.3496059750411282E-2</v>
      </c>
      <c r="K7" s="22">
        <f t="shared" si="1"/>
        <v>4.6071629863988765E-2</v>
      </c>
      <c r="L7" s="22">
        <f t="shared" si="1"/>
        <v>2.306247051322625E-3</v>
      </c>
      <c r="M7" s="22">
        <f t="shared" si="1"/>
        <v>3.8927934093844286E-3</v>
      </c>
    </row>
    <row r="8" spans="1:13" ht="15.6" thickTop="1" thickBot="1" x14ac:dyDescent="0.35">
      <c r="A8" s="14" t="s">
        <v>40</v>
      </c>
      <c r="B8" s="21">
        <v>9.6337892927149532E-2</v>
      </c>
      <c r="C8" s="21">
        <v>6.7920115842382611E-2</v>
      </c>
      <c r="D8" s="21">
        <v>5.4979832664581261E-3</v>
      </c>
      <c r="E8" s="21">
        <v>1.2933041488102518E-2</v>
      </c>
      <c r="F8" s="21">
        <v>0.1826890335240928</v>
      </c>
      <c r="I8" s="23" t="str">
        <f t="shared" si="2"/>
        <v>Target.com</v>
      </c>
      <c r="J8" s="22">
        <f t="shared" si="1"/>
        <v>9.6337892927149532E-2</v>
      </c>
      <c r="K8" s="22">
        <f t="shared" si="1"/>
        <v>6.7920115842382611E-2</v>
      </c>
      <c r="L8" s="22">
        <f t="shared" si="1"/>
        <v>5.4979832664581261E-3</v>
      </c>
      <c r="M8" s="22">
        <f t="shared" si="1"/>
        <v>1.2933041488102518E-2</v>
      </c>
    </row>
    <row r="9" spans="1:13" ht="15.6" thickTop="1" thickBot="1" x14ac:dyDescent="0.35">
      <c r="A9" s="14" t="s">
        <v>35</v>
      </c>
      <c r="B9" s="21">
        <v>0.12522098709469262</v>
      </c>
      <c r="C9" s="21">
        <v>9.1492740283116228E-2</v>
      </c>
      <c r="D9" s="21">
        <v>6.3042760790965081E-3</v>
      </c>
      <c r="E9" s="21">
        <v>1.2408404181197551E-2</v>
      </c>
      <c r="F9" s="21">
        <v>0.23542640763810288</v>
      </c>
      <c r="I9" s="23" t="str">
        <f t="shared" si="2"/>
        <v>Website</v>
      </c>
      <c r="J9" s="22">
        <f t="shared" si="1"/>
        <v>0.12522098709469262</v>
      </c>
      <c r="K9" s="22">
        <f t="shared" si="1"/>
        <v>9.1492740283116228E-2</v>
      </c>
      <c r="L9" s="22">
        <f t="shared" si="1"/>
        <v>6.3042760790965081E-3</v>
      </c>
      <c r="M9" s="22">
        <f t="shared" si="1"/>
        <v>1.2408404181197551E-2</v>
      </c>
    </row>
    <row r="10" spans="1:13" ht="15" thickTop="1" x14ac:dyDescent="0.3">
      <c r="A10" s="14" t="s">
        <v>2547</v>
      </c>
      <c r="B10" s="21">
        <v>0.52495717387974916</v>
      </c>
      <c r="C10" s="21">
        <v>0.3711684913156732</v>
      </c>
      <c r="D10" s="21">
        <v>2.6245886489133303E-2</v>
      </c>
      <c r="E10" s="21">
        <v>7.7628448315444312E-2</v>
      </c>
      <c r="F10" s="21">
        <v>1</v>
      </c>
    </row>
  </sheetData>
  <conditionalFormatting sqref="J5:M9">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topLeftCell="B1" workbookViewId="0">
      <selection activeCell="M2" sqref="M2"/>
    </sheetView>
  </sheetViews>
  <sheetFormatPr defaultRowHeight="14.4" x14ac:dyDescent="0.3"/>
  <cols>
    <col min="2" max="2" width="19.109375" bestFit="1" customWidth="1"/>
    <col min="3" max="3" width="8.109375" bestFit="1" customWidth="1"/>
    <col min="4" max="4" width="9.109375" bestFit="1" customWidth="1"/>
    <col min="5" max="5" width="7.44140625" bestFit="1" customWidth="1"/>
    <col min="6" max="6" width="10" bestFit="1" customWidth="1"/>
    <col min="7" max="7" width="9.44140625" bestFit="1" customWidth="1"/>
    <col min="8" max="8" width="15.6640625" bestFit="1" customWidth="1"/>
    <col min="9" max="9" width="10.6640625" bestFit="1" customWidth="1"/>
    <col min="10" max="10" width="7.77734375" bestFit="1" customWidth="1"/>
    <col min="11" max="11" width="8.77734375" bestFit="1" customWidth="1"/>
    <col min="12" max="12" width="19.6640625" bestFit="1" customWidth="1"/>
    <col min="13" max="13" width="13.33203125" bestFit="1" customWidth="1"/>
    <col min="14" max="14" width="9.33203125" bestFit="1" customWidth="1"/>
    <col min="15" max="15" width="12.109375" bestFit="1" customWidth="1"/>
  </cols>
  <sheetData>
    <row r="1" spans="1:15" x14ac:dyDescent="0.3">
      <c r="A1" t="s">
        <v>0</v>
      </c>
      <c r="B1" t="s">
        <v>1</v>
      </c>
      <c r="C1" t="s">
        <v>2</v>
      </c>
      <c r="D1" t="s">
        <v>3</v>
      </c>
      <c r="E1" t="s">
        <v>4</v>
      </c>
      <c r="F1" t="s">
        <v>5</v>
      </c>
      <c r="G1" t="s">
        <v>6</v>
      </c>
      <c r="H1" t="s">
        <v>7</v>
      </c>
      <c r="I1" t="s">
        <v>8</v>
      </c>
      <c r="J1" t="s">
        <v>9</v>
      </c>
      <c r="K1" t="s">
        <v>10</v>
      </c>
      <c r="L1" t="s">
        <v>11</v>
      </c>
      <c r="M1" s="2" t="s">
        <v>12</v>
      </c>
      <c r="N1" s="2" t="s">
        <v>13</v>
      </c>
      <c r="O1" s="2" t="s">
        <v>14</v>
      </c>
    </row>
    <row r="2" spans="1:15" x14ac:dyDescent="0.3">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x14ac:dyDescent="0.3">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x14ac:dyDescent="0.3">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x14ac:dyDescent="0.3">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x14ac:dyDescent="0.3">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x14ac:dyDescent="0.3">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x14ac:dyDescent="0.3">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x14ac:dyDescent="0.3">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x14ac:dyDescent="0.3">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x14ac:dyDescent="0.3">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x14ac:dyDescent="0.3">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x14ac:dyDescent="0.3">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x14ac:dyDescent="0.3">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x14ac:dyDescent="0.3">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x14ac:dyDescent="0.3">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x14ac:dyDescent="0.3">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x14ac:dyDescent="0.3">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x14ac:dyDescent="0.3">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x14ac:dyDescent="0.3">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x14ac:dyDescent="0.3">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x14ac:dyDescent="0.3">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x14ac:dyDescent="0.3">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x14ac:dyDescent="0.3">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x14ac:dyDescent="0.3">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x14ac:dyDescent="0.3">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x14ac:dyDescent="0.3">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x14ac:dyDescent="0.3">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x14ac:dyDescent="0.3">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x14ac:dyDescent="0.3">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x14ac:dyDescent="0.3">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x14ac:dyDescent="0.3">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x14ac:dyDescent="0.3">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x14ac:dyDescent="0.3">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x14ac:dyDescent="0.3">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x14ac:dyDescent="0.3">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x14ac:dyDescent="0.3">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x14ac:dyDescent="0.3">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x14ac:dyDescent="0.3">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x14ac:dyDescent="0.3">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x14ac:dyDescent="0.3">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x14ac:dyDescent="0.3">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x14ac:dyDescent="0.3">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x14ac:dyDescent="0.3">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x14ac:dyDescent="0.3">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x14ac:dyDescent="0.3">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x14ac:dyDescent="0.3">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x14ac:dyDescent="0.3">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x14ac:dyDescent="0.3">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x14ac:dyDescent="0.3">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x14ac:dyDescent="0.3">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x14ac:dyDescent="0.3">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x14ac:dyDescent="0.3">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x14ac:dyDescent="0.3">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x14ac:dyDescent="0.3">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x14ac:dyDescent="0.3">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x14ac:dyDescent="0.3">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x14ac:dyDescent="0.3">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x14ac:dyDescent="0.3">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x14ac:dyDescent="0.3">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x14ac:dyDescent="0.3">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x14ac:dyDescent="0.3">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x14ac:dyDescent="0.3">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x14ac:dyDescent="0.3">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x14ac:dyDescent="0.3">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x14ac:dyDescent="0.3">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x14ac:dyDescent="0.3">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x14ac:dyDescent="0.3">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x14ac:dyDescent="0.3">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x14ac:dyDescent="0.3">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x14ac:dyDescent="0.3">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x14ac:dyDescent="0.3">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x14ac:dyDescent="0.3">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x14ac:dyDescent="0.3">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x14ac:dyDescent="0.3">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x14ac:dyDescent="0.3">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x14ac:dyDescent="0.3">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x14ac:dyDescent="0.3">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x14ac:dyDescent="0.3">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x14ac:dyDescent="0.3">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x14ac:dyDescent="0.3">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x14ac:dyDescent="0.3">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x14ac:dyDescent="0.3">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x14ac:dyDescent="0.3">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x14ac:dyDescent="0.3">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x14ac:dyDescent="0.3">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x14ac:dyDescent="0.3">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x14ac:dyDescent="0.3">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x14ac:dyDescent="0.3">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x14ac:dyDescent="0.3">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x14ac:dyDescent="0.3">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x14ac:dyDescent="0.3">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x14ac:dyDescent="0.3">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x14ac:dyDescent="0.3">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x14ac:dyDescent="0.3">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x14ac:dyDescent="0.3">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x14ac:dyDescent="0.3">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x14ac:dyDescent="0.3">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x14ac:dyDescent="0.3">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x14ac:dyDescent="0.3">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x14ac:dyDescent="0.3">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x14ac:dyDescent="0.3">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x14ac:dyDescent="0.3">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x14ac:dyDescent="0.3">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x14ac:dyDescent="0.3">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x14ac:dyDescent="0.3">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x14ac:dyDescent="0.3">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x14ac:dyDescent="0.3">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x14ac:dyDescent="0.3">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x14ac:dyDescent="0.3">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x14ac:dyDescent="0.3">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x14ac:dyDescent="0.3">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x14ac:dyDescent="0.3">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x14ac:dyDescent="0.3">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x14ac:dyDescent="0.3">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x14ac:dyDescent="0.3">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x14ac:dyDescent="0.3">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x14ac:dyDescent="0.3">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x14ac:dyDescent="0.3">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x14ac:dyDescent="0.3">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x14ac:dyDescent="0.3">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x14ac:dyDescent="0.3">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x14ac:dyDescent="0.3">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x14ac:dyDescent="0.3">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x14ac:dyDescent="0.3">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x14ac:dyDescent="0.3">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x14ac:dyDescent="0.3">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x14ac:dyDescent="0.3">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x14ac:dyDescent="0.3">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x14ac:dyDescent="0.3">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x14ac:dyDescent="0.3">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x14ac:dyDescent="0.3">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x14ac:dyDescent="0.3">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x14ac:dyDescent="0.3">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x14ac:dyDescent="0.3">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x14ac:dyDescent="0.3">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x14ac:dyDescent="0.3">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x14ac:dyDescent="0.3">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x14ac:dyDescent="0.3">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x14ac:dyDescent="0.3">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x14ac:dyDescent="0.3">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x14ac:dyDescent="0.3">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x14ac:dyDescent="0.3">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x14ac:dyDescent="0.3">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x14ac:dyDescent="0.3">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x14ac:dyDescent="0.3">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x14ac:dyDescent="0.3">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x14ac:dyDescent="0.3">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x14ac:dyDescent="0.3">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x14ac:dyDescent="0.3">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x14ac:dyDescent="0.3">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x14ac:dyDescent="0.3">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x14ac:dyDescent="0.3">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x14ac:dyDescent="0.3">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x14ac:dyDescent="0.3">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x14ac:dyDescent="0.3">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x14ac:dyDescent="0.3">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x14ac:dyDescent="0.3">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x14ac:dyDescent="0.3">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x14ac:dyDescent="0.3">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x14ac:dyDescent="0.3">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x14ac:dyDescent="0.3">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x14ac:dyDescent="0.3">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x14ac:dyDescent="0.3">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x14ac:dyDescent="0.3">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x14ac:dyDescent="0.3">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x14ac:dyDescent="0.3">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x14ac:dyDescent="0.3">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x14ac:dyDescent="0.3">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x14ac:dyDescent="0.3">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x14ac:dyDescent="0.3">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x14ac:dyDescent="0.3">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x14ac:dyDescent="0.3">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x14ac:dyDescent="0.3">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x14ac:dyDescent="0.3">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x14ac:dyDescent="0.3">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x14ac:dyDescent="0.3">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x14ac:dyDescent="0.3">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x14ac:dyDescent="0.3">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x14ac:dyDescent="0.3">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x14ac:dyDescent="0.3">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x14ac:dyDescent="0.3">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x14ac:dyDescent="0.3">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x14ac:dyDescent="0.3">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x14ac:dyDescent="0.3">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x14ac:dyDescent="0.3">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x14ac:dyDescent="0.3">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x14ac:dyDescent="0.3">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x14ac:dyDescent="0.3">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x14ac:dyDescent="0.3">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x14ac:dyDescent="0.3">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x14ac:dyDescent="0.3">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x14ac:dyDescent="0.3">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x14ac:dyDescent="0.3">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x14ac:dyDescent="0.3">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x14ac:dyDescent="0.3">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x14ac:dyDescent="0.3">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x14ac:dyDescent="0.3">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x14ac:dyDescent="0.3">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x14ac:dyDescent="0.3">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x14ac:dyDescent="0.3">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x14ac:dyDescent="0.3">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x14ac:dyDescent="0.3">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x14ac:dyDescent="0.3">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x14ac:dyDescent="0.3">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x14ac:dyDescent="0.3">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x14ac:dyDescent="0.3">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x14ac:dyDescent="0.3">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x14ac:dyDescent="0.3">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x14ac:dyDescent="0.3">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x14ac:dyDescent="0.3">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x14ac:dyDescent="0.3">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x14ac:dyDescent="0.3">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x14ac:dyDescent="0.3">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x14ac:dyDescent="0.3">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x14ac:dyDescent="0.3">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x14ac:dyDescent="0.3">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x14ac:dyDescent="0.3">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x14ac:dyDescent="0.3">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x14ac:dyDescent="0.3">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x14ac:dyDescent="0.3">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x14ac:dyDescent="0.3">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x14ac:dyDescent="0.3">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x14ac:dyDescent="0.3">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x14ac:dyDescent="0.3">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x14ac:dyDescent="0.3">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x14ac:dyDescent="0.3">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x14ac:dyDescent="0.3">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x14ac:dyDescent="0.3">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x14ac:dyDescent="0.3">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x14ac:dyDescent="0.3">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x14ac:dyDescent="0.3">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x14ac:dyDescent="0.3">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x14ac:dyDescent="0.3">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x14ac:dyDescent="0.3">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x14ac:dyDescent="0.3">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x14ac:dyDescent="0.3">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x14ac:dyDescent="0.3">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x14ac:dyDescent="0.3">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x14ac:dyDescent="0.3">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x14ac:dyDescent="0.3">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x14ac:dyDescent="0.3">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x14ac:dyDescent="0.3">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x14ac:dyDescent="0.3">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x14ac:dyDescent="0.3">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x14ac:dyDescent="0.3">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x14ac:dyDescent="0.3">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x14ac:dyDescent="0.3">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x14ac:dyDescent="0.3">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x14ac:dyDescent="0.3">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x14ac:dyDescent="0.3">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x14ac:dyDescent="0.3">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x14ac:dyDescent="0.3">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x14ac:dyDescent="0.3">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x14ac:dyDescent="0.3">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x14ac:dyDescent="0.3">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x14ac:dyDescent="0.3">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x14ac:dyDescent="0.3">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x14ac:dyDescent="0.3">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x14ac:dyDescent="0.3">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x14ac:dyDescent="0.3">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x14ac:dyDescent="0.3">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x14ac:dyDescent="0.3">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x14ac:dyDescent="0.3">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x14ac:dyDescent="0.3">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x14ac:dyDescent="0.3">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x14ac:dyDescent="0.3">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x14ac:dyDescent="0.3">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x14ac:dyDescent="0.3">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x14ac:dyDescent="0.3">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x14ac:dyDescent="0.3">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x14ac:dyDescent="0.3">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x14ac:dyDescent="0.3">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x14ac:dyDescent="0.3">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x14ac:dyDescent="0.3">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x14ac:dyDescent="0.3">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x14ac:dyDescent="0.3">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x14ac:dyDescent="0.3">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x14ac:dyDescent="0.3">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x14ac:dyDescent="0.3">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x14ac:dyDescent="0.3">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x14ac:dyDescent="0.3">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x14ac:dyDescent="0.3">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x14ac:dyDescent="0.3">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x14ac:dyDescent="0.3">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x14ac:dyDescent="0.3">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x14ac:dyDescent="0.3">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x14ac:dyDescent="0.3">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x14ac:dyDescent="0.3">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x14ac:dyDescent="0.3">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x14ac:dyDescent="0.3">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x14ac:dyDescent="0.3">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x14ac:dyDescent="0.3">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x14ac:dyDescent="0.3">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x14ac:dyDescent="0.3">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x14ac:dyDescent="0.3">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x14ac:dyDescent="0.3">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x14ac:dyDescent="0.3">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x14ac:dyDescent="0.3">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x14ac:dyDescent="0.3">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x14ac:dyDescent="0.3">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x14ac:dyDescent="0.3">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x14ac:dyDescent="0.3">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x14ac:dyDescent="0.3">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x14ac:dyDescent="0.3">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x14ac:dyDescent="0.3">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x14ac:dyDescent="0.3">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x14ac:dyDescent="0.3">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x14ac:dyDescent="0.3">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x14ac:dyDescent="0.3">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x14ac:dyDescent="0.3">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x14ac:dyDescent="0.3">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x14ac:dyDescent="0.3">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x14ac:dyDescent="0.3">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x14ac:dyDescent="0.3">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x14ac:dyDescent="0.3">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x14ac:dyDescent="0.3">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x14ac:dyDescent="0.3">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x14ac:dyDescent="0.3">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x14ac:dyDescent="0.3">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x14ac:dyDescent="0.3">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x14ac:dyDescent="0.3">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x14ac:dyDescent="0.3">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x14ac:dyDescent="0.3">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x14ac:dyDescent="0.3">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x14ac:dyDescent="0.3">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x14ac:dyDescent="0.3">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x14ac:dyDescent="0.3">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x14ac:dyDescent="0.3">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x14ac:dyDescent="0.3">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x14ac:dyDescent="0.3">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x14ac:dyDescent="0.3">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x14ac:dyDescent="0.3">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x14ac:dyDescent="0.3">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x14ac:dyDescent="0.3">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x14ac:dyDescent="0.3">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x14ac:dyDescent="0.3">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x14ac:dyDescent="0.3">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x14ac:dyDescent="0.3">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x14ac:dyDescent="0.3">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x14ac:dyDescent="0.3">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x14ac:dyDescent="0.3">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x14ac:dyDescent="0.3">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x14ac:dyDescent="0.3">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x14ac:dyDescent="0.3">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x14ac:dyDescent="0.3">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x14ac:dyDescent="0.3">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x14ac:dyDescent="0.3">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x14ac:dyDescent="0.3">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x14ac:dyDescent="0.3">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x14ac:dyDescent="0.3">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x14ac:dyDescent="0.3">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x14ac:dyDescent="0.3">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x14ac:dyDescent="0.3">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x14ac:dyDescent="0.3">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x14ac:dyDescent="0.3">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x14ac:dyDescent="0.3">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x14ac:dyDescent="0.3">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x14ac:dyDescent="0.3">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x14ac:dyDescent="0.3">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x14ac:dyDescent="0.3">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x14ac:dyDescent="0.3">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x14ac:dyDescent="0.3">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x14ac:dyDescent="0.3">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x14ac:dyDescent="0.3">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x14ac:dyDescent="0.3">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x14ac:dyDescent="0.3">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x14ac:dyDescent="0.3">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x14ac:dyDescent="0.3">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x14ac:dyDescent="0.3">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x14ac:dyDescent="0.3">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x14ac:dyDescent="0.3">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x14ac:dyDescent="0.3">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x14ac:dyDescent="0.3">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x14ac:dyDescent="0.3">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x14ac:dyDescent="0.3">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x14ac:dyDescent="0.3">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x14ac:dyDescent="0.3">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x14ac:dyDescent="0.3">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x14ac:dyDescent="0.3">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x14ac:dyDescent="0.3">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x14ac:dyDescent="0.3">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x14ac:dyDescent="0.3">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x14ac:dyDescent="0.3">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x14ac:dyDescent="0.3">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x14ac:dyDescent="0.3">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x14ac:dyDescent="0.3">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x14ac:dyDescent="0.3">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x14ac:dyDescent="0.3">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x14ac:dyDescent="0.3">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x14ac:dyDescent="0.3">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x14ac:dyDescent="0.3">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x14ac:dyDescent="0.3">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x14ac:dyDescent="0.3">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x14ac:dyDescent="0.3">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x14ac:dyDescent="0.3">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x14ac:dyDescent="0.3">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x14ac:dyDescent="0.3">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x14ac:dyDescent="0.3">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x14ac:dyDescent="0.3">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x14ac:dyDescent="0.3">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x14ac:dyDescent="0.3">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x14ac:dyDescent="0.3">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x14ac:dyDescent="0.3">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x14ac:dyDescent="0.3">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x14ac:dyDescent="0.3">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x14ac:dyDescent="0.3">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x14ac:dyDescent="0.3">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x14ac:dyDescent="0.3">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x14ac:dyDescent="0.3">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x14ac:dyDescent="0.3">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x14ac:dyDescent="0.3">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x14ac:dyDescent="0.3">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x14ac:dyDescent="0.3">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x14ac:dyDescent="0.3">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x14ac:dyDescent="0.3">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x14ac:dyDescent="0.3">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x14ac:dyDescent="0.3">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x14ac:dyDescent="0.3">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x14ac:dyDescent="0.3">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x14ac:dyDescent="0.3">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x14ac:dyDescent="0.3">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x14ac:dyDescent="0.3">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x14ac:dyDescent="0.3">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x14ac:dyDescent="0.3">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x14ac:dyDescent="0.3">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x14ac:dyDescent="0.3">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x14ac:dyDescent="0.3">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x14ac:dyDescent="0.3">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x14ac:dyDescent="0.3">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x14ac:dyDescent="0.3">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x14ac:dyDescent="0.3">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x14ac:dyDescent="0.3">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x14ac:dyDescent="0.3">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x14ac:dyDescent="0.3">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x14ac:dyDescent="0.3">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x14ac:dyDescent="0.3">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x14ac:dyDescent="0.3">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x14ac:dyDescent="0.3">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x14ac:dyDescent="0.3">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x14ac:dyDescent="0.3">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x14ac:dyDescent="0.3">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x14ac:dyDescent="0.3">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x14ac:dyDescent="0.3">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x14ac:dyDescent="0.3">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x14ac:dyDescent="0.3">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x14ac:dyDescent="0.3">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x14ac:dyDescent="0.3">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x14ac:dyDescent="0.3">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x14ac:dyDescent="0.3">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x14ac:dyDescent="0.3">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x14ac:dyDescent="0.3">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x14ac:dyDescent="0.3">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x14ac:dyDescent="0.3">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x14ac:dyDescent="0.3">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x14ac:dyDescent="0.3">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x14ac:dyDescent="0.3">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x14ac:dyDescent="0.3">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x14ac:dyDescent="0.3">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x14ac:dyDescent="0.3">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x14ac:dyDescent="0.3">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x14ac:dyDescent="0.3">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x14ac:dyDescent="0.3">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x14ac:dyDescent="0.3">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x14ac:dyDescent="0.3">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x14ac:dyDescent="0.3">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x14ac:dyDescent="0.3">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x14ac:dyDescent="0.3">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x14ac:dyDescent="0.3">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x14ac:dyDescent="0.3">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x14ac:dyDescent="0.3">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x14ac:dyDescent="0.3">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x14ac:dyDescent="0.3">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x14ac:dyDescent="0.3">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x14ac:dyDescent="0.3">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x14ac:dyDescent="0.3">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x14ac:dyDescent="0.3">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x14ac:dyDescent="0.3">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x14ac:dyDescent="0.3">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x14ac:dyDescent="0.3">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x14ac:dyDescent="0.3">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x14ac:dyDescent="0.3">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x14ac:dyDescent="0.3">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x14ac:dyDescent="0.3">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x14ac:dyDescent="0.3">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x14ac:dyDescent="0.3">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x14ac:dyDescent="0.3">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x14ac:dyDescent="0.3">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x14ac:dyDescent="0.3">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x14ac:dyDescent="0.3">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x14ac:dyDescent="0.3">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x14ac:dyDescent="0.3">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x14ac:dyDescent="0.3">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x14ac:dyDescent="0.3">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x14ac:dyDescent="0.3">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x14ac:dyDescent="0.3">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x14ac:dyDescent="0.3">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x14ac:dyDescent="0.3">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x14ac:dyDescent="0.3">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x14ac:dyDescent="0.3">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x14ac:dyDescent="0.3">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x14ac:dyDescent="0.3">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x14ac:dyDescent="0.3">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x14ac:dyDescent="0.3">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x14ac:dyDescent="0.3">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x14ac:dyDescent="0.3">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x14ac:dyDescent="0.3">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x14ac:dyDescent="0.3">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x14ac:dyDescent="0.3">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x14ac:dyDescent="0.3">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x14ac:dyDescent="0.3">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x14ac:dyDescent="0.3">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x14ac:dyDescent="0.3">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x14ac:dyDescent="0.3">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x14ac:dyDescent="0.3">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x14ac:dyDescent="0.3">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x14ac:dyDescent="0.3">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x14ac:dyDescent="0.3">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x14ac:dyDescent="0.3">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x14ac:dyDescent="0.3">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x14ac:dyDescent="0.3">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x14ac:dyDescent="0.3">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x14ac:dyDescent="0.3">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x14ac:dyDescent="0.3">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x14ac:dyDescent="0.3">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x14ac:dyDescent="0.3">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x14ac:dyDescent="0.3">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x14ac:dyDescent="0.3">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x14ac:dyDescent="0.3">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x14ac:dyDescent="0.3">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x14ac:dyDescent="0.3">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x14ac:dyDescent="0.3">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x14ac:dyDescent="0.3">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x14ac:dyDescent="0.3">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x14ac:dyDescent="0.3">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x14ac:dyDescent="0.3">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x14ac:dyDescent="0.3">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x14ac:dyDescent="0.3">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x14ac:dyDescent="0.3">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x14ac:dyDescent="0.3">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x14ac:dyDescent="0.3">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x14ac:dyDescent="0.3">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x14ac:dyDescent="0.3">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x14ac:dyDescent="0.3">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x14ac:dyDescent="0.3">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x14ac:dyDescent="0.3">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x14ac:dyDescent="0.3">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x14ac:dyDescent="0.3">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x14ac:dyDescent="0.3">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x14ac:dyDescent="0.3">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x14ac:dyDescent="0.3">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x14ac:dyDescent="0.3">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x14ac:dyDescent="0.3">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x14ac:dyDescent="0.3">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x14ac:dyDescent="0.3">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x14ac:dyDescent="0.3">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x14ac:dyDescent="0.3">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x14ac:dyDescent="0.3">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x14ac:dyDescent="0.3">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x14ac:dyDescent="0.3">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x14ac:dyDescent="0.3">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x14ac:dyDescent="0.3">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x14ac:dyDescent="0.3">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x14ac:dyDescent="0.3">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x14ac:dyDescent="0.3">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x14ac:dyDescent="0.3">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x14ac:dyDescent="0.3">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x14ac:dyDescent="0.3">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x14ac:dyDescent="0.3">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x14ac:dyDescent="0.3">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x14ac:dyDescent="0.3">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x14ac:dyDescent="0.3">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x14ac:dyDescent="0.3">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x14ac:dyDescent="0.3">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x14ac:dyDescent="0.3">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x14ac:dyDescent="0.3">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x14ac:dyDescent="0.3">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x14ac:dyDescent="0.3">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x14ac:dyDescent="0.3">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x14ac:dyDescent="0.3">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x14ac:dyDescent="0.3">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x14ac:dyDescent="0.3">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x14ac:dyDescent="0.3">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x14ac:dyDescent="0.3">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x14ac:dyDescent="0.3">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x14ac:dyDescent="0.3">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x14ac:dyDescent="0.3">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x14ac:dyDescent="0.3">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x14ac:dyDescent="0.3">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x14ac:dyDescent="0.3">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x14ac:dyDescent="0.3">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x14ac:dyDescent="0.3">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x14ac:dyDescent="0.3">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x14ac:dyDescent="0.3">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x14ac:dyDescent="0.3">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x14ac:dyDescent="0.3">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x14ac:dyDescent="0.3">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x14ac:dyDescent="0.3">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x14ac:dyDescent="0.3">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x14ac:dyDescent="0.3">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x14ac:dyDescent="0.3">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x14ac:dyDescent="0.3">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x14ac:dyDescent="0.3">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x14ac:dyDescent="0.3">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x14ac:dyDescent="0.3">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x14ac:dyDescent="0.3">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x14ac:dyDescent="0.3">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x14ac:dyDescent="0.3">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x14ac:dyDescent="0.3">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x14ac:dyDescent="0.3">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x14ac:dyDescent="0.3">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x14ac:dyDescent="0.3">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x14ac:dyDescent="0.3">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x14ac:dyDescent="0.3">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x14ac:dyDescent="0.3">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x14ac:dyDescent="0.3">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x14ac:dyDescent="0.3">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x14ac:dyDescent="0.3">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x14ac:dyDescent="0.3">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x14ac:dyDescent="0.3">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x14ac:dyDescent="0.3">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x14ac:dyDescent="0.3">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x14ac:dyDescent="0.3">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x14ac:dyDescent="0.3">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x14ac:dyDescent="0.3">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x14ac:dyDescent="0.3">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x14ac:dyDescent="0.3">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x14ac:dyDescent="0.3">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x14ac:dyDescent="0.3">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x14ac:dyDescent="0.3">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x14ac:dyDescent="0.3">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x14ac:dyDescent="0.3">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x14ac:dyDescent="0.3">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x14ac:dyDescent="0.3">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x14ac:dyDescent="0.3">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x14ac:dyDescent="0.3">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x14ac:dyDescent="0.3">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x14ac:dyDescent="0.3">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x14ac:dyDescent="0.3">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x14ac:dyDescent="0.3">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x14ac:dyDescent="0.3">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x14ac:dyDescent="0.3">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x14ac:dyDescent="0.3">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x14ac:dyDescent="0.3">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x14ac:dyDescent="0.3">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x14ac:dyDescent="0.3">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x14ac:dyDescent="0.3">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x14ac:dyDescent="0.3">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x14ac:dyDescent="0.3">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x14ac:dyDescent="0.3">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x14ac:dyDescent="0.3">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x14ac:dyDescent="0.3">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x14ac:dyDescent="0.3">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x14ac:dyDescent="0.3">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x14ac:dyDescent="0.3">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x14ac:dyDescent="0.3">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x14ac:dyDescent="0.3">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x14ac:dyDescent="0.3">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x14ac:dyDescent="0.3">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x14ac:dyDescent="0.3">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x14ac:dyDescent="0.3">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x14ac:dyDescent="0.3">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x14ac:dyDescent="0.3">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x14ac:dyDescent="0.3">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x14ac:dyDescent="0.3">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x14ac:dyDescent="0.3">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x14ac:dyDescent="0.3">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x14ac:dyDescent="0.3">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x14ac:dyDescent="0.3">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x14ac:dyDescent="0.3">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x14ac:dyDescent="0.3">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x14ac:dyDescent="0.3">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x14ac:dyDescent="0.3">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x14ac:dyDescent="0.3">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x14ac:dyDescent="0.3">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x14ac:dyDescent="0.3">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x14ac:dyDescent="0.3">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x14ac:dyDescent="0.3">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x14ac:dyDescent="0.3">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x14ac:dyDescent="0.3">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x14ac:dyDescent="0.3">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x14ac:dyDescent="0.3">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x14ac:dyDescent="0.3">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x14ac:dyDescent="0.3">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x14ac:dyDescent="0.3">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x14ac:dyDescent="0.3">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x14ac:dyDescent="0.3">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x14ac:dyDescent="0.3">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x14ac:dyDescent="0.3">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x14ac:dyDescent="0.3">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x14ac:dyDescent="0.3">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x14ac:dyDescent="0.3">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x14ac:dyDescent="0.3">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x14ac:dyDescent="0.3">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x14ac:dyDescent="0.3">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x14ac:dyDescent="0.3">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x14ac:dyDescent="0.3">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x14ac:dyDescent="0.3">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x14ac:dyDescent="0.3">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x14ac:dyDescent="0.3">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x14ac:dyDescent="0.3">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x14ac:dyDescent="0.3">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x14ac:dyDescent="0.3">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x14ac:dyDescent="0.3">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x14ac:dyDescent="0.3">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x14ac:dyDescent="0.3">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x14ac:dyDescent="0.3">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x14ac:dyDescent="0.3">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x14ac:dyDescent="0.3">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x14ac:dyDescent="0.3">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x14ac:dyDescent="0.3">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x14ac:dyDescent="0.3">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x14ac:dyDescent="0.3">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x14ac:dyDescent="0.3">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x14ac:dyDescent="0.3">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x14ac:dyDescent="0.3">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x14ac:dyDescent="0.3">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x14ac:dyDescent="0.3">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x14ac:dyDescent="0.3">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x14ac:dyDescent="0.3">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x14ac:dyDescent="0.3">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x14ac:dyDescent="0.3">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x14ac:dyDescent="0.3">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x14ac:dyDescent="0.3">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x14ac:dyDescent="0.3">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x14ac:dyDescent="0.3">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x14ac:dyDescent="0.3">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x14ac:dyDescent="0.3">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x14ac:dyDescent="0.3">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x14ac:dyDescent="0.3">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x14ac:dyDescent="0.3">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x14ac:dyDescent="0.3">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x14ac:dyDescent="0.3">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x14ac:dyDescent="0.3">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x14ac:dyDescent="0.3">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x14ac:dyDescent="0.3">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x14ac:dyDescent="0.3">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x14ac:dyDescent="0.3">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x14ac:dyDescent="0.3">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x14ac:dyDescent="0.3">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x14ac:dyDescent="0.3">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x14ac:dyDescent="0.3">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x14ac:dyDescent="0.3">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x14ac:dyDescent="0.3">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x14ac:dyDescent="0.3">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x14ac:dyDescent="0.3">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x14ac:dyDescent="0.3">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x14ac:dyDescent="0.3">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x14ac:dyDescent="0.3">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x14ac:dyDescent="0.3">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x14ac:dyDescent="0.3">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x14ac:dyDescent="0.3">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x14ac:dyDescent="0.3">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x14ac:dyDescent="0.3">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x14ac:dyDescent="0.3">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x14ac:dyDescent="0.3">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x14ac:dyDescent="0.3">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x14ac:dyDescent="0.3">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x14ac:dyDescent="0.3">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x14ac:dyDescent="0.3">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x14ac:dyDescent="0.3">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x14ac:dyDescent="0.3">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x14ac:dyDescent="0.3">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x14ac:dyDescent="0.3">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x14ac:dyDescent="0.3">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x14ac:dyDescent="0.3">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x14ac:dyDescent="0.3">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x14ac:dyDescent="0.3">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x14ac:dyDescent="0.3">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x14ac:dyDescent="0.3">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x14ac:dyDescent="0.3">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x14ac:dyDescent="0.3">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x14ac:dyDescent="0.3">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x14ac:dyDescent="0.3">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x14ac:dyDescent="0.3">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x14ac:dyDescent="0.3">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x14ac:dyDescent="0.3">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x14ac:dyDescent="0.3">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x14ac:dyDescent="0.3">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x14ac:dyDescent="0.3">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x14ac:dyDescent="0.3">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x14ac:dyDescent="0.3">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x14ac:dyDescent="0.3">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x14ac:dyDescent="0.3">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x14ac:dyDescent="0.3">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x14ac:dyDescent="0.3">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x14ac:dyDescent="0.3">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x14ac:dyDescent="0.3">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x14ac:dyDescent="0.3">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x14ac:dyDescent="0.3">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x14ac:dyDescent="0.3">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x14ac:dyDescent="0.3">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x14ac:dyDescent="0.3">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x14ac:dyDescent="0.3">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x14ac:dyDescent="0.3">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x14ac:dyDescent="0.3">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x14ac:dyDescent="0.3">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x14ac:dyDescent="0.3">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x14ac:dyDescent="0.3">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x14ac:dyDescent="0.3">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x14ac:dyDescent="0.3">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x14ac:dyDescent="0.3">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x14ac:dyDescent="0.3">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x14ac:dyDescent="0.3">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x14ac:dyDescent="0.3">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x14ac:dyDescent="0.3">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x14ac:dyDescent="0.3">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x14ac:dyDescent="0.3">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x14ac:dyDescent="0.3">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x14ac:dyDescent="0.3">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x14ac:dyDescent="0.3">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x14ac:dyDescent="0.3">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x14ac:dyDescent="0.3">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x14ac:dyDescent="0.3">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x14ac:dyDescent="0.3">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x14ac:dyDescent="0.3">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x14ac:dyDescent="0.3">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x14ac:dyDescent="0.3">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x14ac:dyDescent="0.3">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x14ac:dyDescent="0.3">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x14ac:dyDescent="0.3">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x14ac:dyDescent="0.3">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x14ac:dyDescent="0.3">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x14ac:dyDescent="0.3">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x14ac:dyDescent="0.3">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x14ac:dyDescent="0.3">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x14ac:dyDescent="0.3">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x14ac:dyDescent="0.3">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x14ac:dyDescent="0.3">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x14ac:dyDescent="0.3">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x14ac:dyDescent="0.3">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x14ac:dyDescent="0.3">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x14ac:dyDescent="0.3">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x14ac:dyDescent="0.3">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x14ac:dyDescent="0.3">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x14ac:dyDescent="0.3">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x14ac:dyDescent="0.3">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x14ac:dyDescent="0.3">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x14ac:dyDescent="0.3">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x14ac:dyDescent="0.3">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x14ac:dyDescent="0.3">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x14ac:dyDescent="0.3">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x14ac:dyDescent="0.3">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x14ac:dyDescent="0.3">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x14ac:dyDescent="0.3">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x14ac:dyDescent="0.3">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x14ac:dyDescent="0.3">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x14ac:dyDescent="0.3">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x14ac:dyDescent="0.3">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x14ac:dyDescent="0.3">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x14ac:dyDescent="0.3">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x14ac:dyDescent="0.3">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x14ac:dyDescent="0.3">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x14ac:dyDescent="0.3">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x14ac:dyDescent="0.3">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x14ac:dyDescent="0.3">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x14ac:dyDescent="0.3">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x14ac:dyDescent="0.3">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x14ac:dyDescent="0.3">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x14ac:dyDescent="0.3">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x14ac:dyDescent="0.3">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x14ac:dyDescent="0.3">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x14ac:dyDescent="0.3">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x14ac:dyDescent="0.3">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x14ac:dyDescent="0.3">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x14ac:dyDescent="0.3">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x14ac:dyDescent="0.3">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x14ac:dyDescent="0.3">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x14ac:dyDescent="0.3">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x14ac:dyDescent="0.3">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x14ac:dyDescent="0.3">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x14ac:dyDescent="0.3">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x14ac:dyDescent="0.3">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x14ac:dyDescent="0.3">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x14ac:dyDescent="0.3">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x14ac:dyDescent="0.3">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x14ac:dyDescent="0.3">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x14ac:dyDescent="0.3">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x14ac:dyDescent="0.3">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x14ac:dyDescent="0.3">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x14ac:dyDescent="0.3">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x14ac:dyDescent="0.3">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x14ac:dyDescent="0.3">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x14ac:dyDescent="0.3">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x14ac:dyDescent="0.3">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x14ac:dyDescent="0.3">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x14ac:dyDescent="0.3">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x14ac:dyDescent="0.3">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x14ac:dyDescent="0.3">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x14ac:dyDescent="0.3">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x14ac:dyDescent="0.3">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x14ac:dyDescent="0.3">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x14ac:dyDescent="0.3">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x14ac:dyDescent="0.3">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x14ac:dyDescent="0.3">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x14ac:dyDescent="0.3">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x14ac:dyDescent="0.3">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x14ac:dyDescent="0.3">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x14ac:dyDescent="0.3">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x14ac:dyDescent="0.3">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x14ac:dyDescent="0.3">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x14ac:dyDescent="0.3">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x14ac:dyDescent="0.3">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x14ac:dyDescent="0.3">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x14ac:dyDescent="0.3">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x14ac:dyDescent="0.3">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x14ac:dyDescent="0.3">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x14ac:dyDescent="0.3">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x14ac:dyDescent="0.3">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x14ac:dyDescent="0.3">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x14ac:dyDescent="0.3">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x14ac:dyDescent="0.3">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x14ac:dyDescent="0.3">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x14ac:dyDescent="0.3">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x14ac:dyDescent="0.3">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x14ac:dyDescent="0.3">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x14ac:dyDescent="0.3">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x14ac:dyDescent="0.3">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x14ac:dyDescent="0.3">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x14ac:dyDescent="0.3">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x14ac:dyDescent="0.3">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x14ac:dyDescent="0.3">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x14ac:dyDescent="0.3">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x14ac:dyDescent="0.3">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x14ac:dyDescent="0.3">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x14ac:dyDescent="0.3">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x14ac:dyDescent="0.3">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x14ac:dyDescent="0.3">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x14ac:dyDescent="0.3">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x14ac:dyDescent="0.3">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x14ac:dyDescent="0.3">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x14ac:dyDescent="0.3">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x14ac:dyDescent="0.3">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x14ac:dyDescent="0.3">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x14ac:dyDescent="0.3">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x14ac:dyDescent="0.3">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x14ac:dyDescent="0.3">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x14ac:dyDescent="0.3">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x14ac:dyDescent="0.3">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x14ac:dyDescent="0.3">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x14ac:dyDescent="0.3">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x14ac:dyDescent="0.3">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x14ac:dyDescent="0.3">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x14ac:dyDescent="0.3">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x14ac:dyDescent="0.3">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x14ac:dyDescent="0.3">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x14ac:dyDescent="0.3">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x14ac:dyDescent="0.3">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x14ac:dyDescent="0.3">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x14ac:dyDescent="0.3">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x14ac:dyDescent="0.3">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x14ac:dyDescent="0.3">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x14ac:dyDescent="0.3">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x14ac:dyDescent="0.3">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x14ac:dyDescent="0.3">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x14ac:dyDescent="0.3">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x14ac:dyDescent="0.3">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x14ac:dyDescent="0.3">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x14ac:dyDescent="0.3">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x14ac:dyDescent="0.3">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x14ac:dyDescent="0.3">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x14ac:dyDescent="0.3">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x14ac:dyDescent="0.3">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x14ac:dyDescent="0.3">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x14ac:dyDescent="0.3">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x14ac:dyDescent="0.3">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x14ac:dyDescent="0.3">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x14ac:dyDescent="0.3">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x14ac:dyDescent="0.3">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x14ac:dyDescent="0.3">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x14ac:dyDescent="0.3">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x14ac:dyDescent="0.3">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x14ac:dyDescent="0.3">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x14ac:dyDescent="0.3">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x14ac:dyDescent="0.3">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x14ac:dyDescent="0.3">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x14ac:dyDescent="0.3">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x14ac:dyDescent="0.3">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x14ac:dyDescent="0.3">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x14ac:dyDescent="0.3">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x14ac:dyDescent="0.3">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x14ac:dyDescent="0.3">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x14ac:dyDescent="0.3">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x14ac:dyDescent="0.3">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x14ac:dyDescent="0.3">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x14ac:dyDescent="0.3">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x14ac:dyDescent="0.3">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x14ac:dyDescent="0.3">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x14ac:dyDescent="0.3">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x14ac:dyDescent="0.3">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x14ac:dyDescent="0.3">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x14ac:dyDescent="0.3">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x14ac:dyDescent="0.3">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x14ac:dyDescent="0.3">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x14ac:dyDescent="0.3">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x14ac:dyDescent="0.3">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x14ac:dyDescent="0.3">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x14ac:dyDescent="0.3">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x14ac:dyDescent="0.3">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x14ac:dyDescent="0.3">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x14ac:dyDescent="0.3">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x14ac:dyDescent="0.3">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x14ac:dyDescent="0.3">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x14ac:dyDescent="0.3">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x14ac:dyDescent="0.3">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x14ac:dyDescent="0.3">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x14ac:dyDescent="0.3">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x14ac:dyDescent="0.3">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x14ac:dyDescent="0.3">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x14ac:dyDescent="0.3">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x14ac:dyDescent="0.3">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x14ac:dyDescent="0.3">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x14ac:dyDescent="0.3">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x14ac:dyDescent="0.3">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x14ac:dyDescent="0.3">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x14ac:dyDescent="0.3">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x14ac:dyDescent="0.3">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x14ac:dyDescent="0.3">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x14ac:dyDescent="0.3">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x14ac:dyDescent="0.3">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x14ac:dyDescent="0.3">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x14ac:dyDescent="0.3">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x14ac:dyDescent="0.3">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x14ac:dyDescent="0.3">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x14ac:dyDescent="0.3">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x14ac:dyDescent="0.3">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x14ac:dyDescent="0.3">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x14ac:dyDescent="0.3">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x14ac:dyDescent="0.3">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x14ac:dyDescent="0.3">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x14ac:dyDescent="0.3">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x14ac:dyDescent="0.3">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x14ac:dyDescent="0.3">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x14ac:dyDescent="0.3">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x14ac:dyDescent="0.3">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x14ac:dyDescent="0.3">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x14ac:dyDescent="0.3">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x14ac:dyDescent="0.3">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x14ac:dyDescent="0.3">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x14ac:dyDescent="0.3">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x14ac:dyDescent="0.3">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x14ac:dyDescent="0.3">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x14ac:dyDescent="0.3">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x14ac:dyDescent="0.3">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x14ac:dyDescent="0.3">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x14ac:dyDescent="0.3">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x14ac:dyDescent="0.3">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x14ac:dyDescent="0.3">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x14ac:dyDescent="0.3">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x14ac:dyDescent="0.3">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x14ac:dyDescent="0.3">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x14ac:dyDescent="0.3">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x14ac:dyDescent="0.3">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x14ac:dyDescent="0.3">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x14ac:dyDescent="0.3">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x14ac:dyDescent="0.3">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x14ac:dyDescent="0.3">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x14ac:dyDescent="0.3">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x14ac:dyDescent="0.3">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x14ac:dyDescent="0.3">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x14ac:dyDescent="0.3">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x14ac:dyDescent="0.3">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x14ac:dyDescent="0.3">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x14ac:dyDescent="0.3">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x14ac:dyDescent="0.3">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x14ac:dyDescent="0.3">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x14ac:dyDescent="0.3">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x14ac:dyDescent="0.3">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x14ac:dyDescent="0.3">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x14ac:dyDescent="0.3">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x14ac:dyDescent="0.3">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x14ac:dyDescent="0.3">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x14ac:dyDescent="0.3">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x14ac:dyDescent="0.3">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x14ac:dyDescent="0.3">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x14ac:dyDescent="0.3">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x14ac:dyDescent="0.3">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x14ac:dyDescent="0.3">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x14ac:dyDescent="0.3">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x14ac:dyDescent="0.3">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x14ac:dyDescent="0.3">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x14ac:dyDescent="0.3">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x14ac:dyDescent="0.3">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x14ac:dyDescent="0.3">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x14ac:dyDescent="0.3">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x14ac:dyDescent="0.3">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x14ac:dyDescent="0.3">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x14ac:dyDescent="0.3">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x14ac:dyDescent="0.3">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x14ac:dyDescent="0.3">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x14ac:dyDescent="0.3">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x14ac:dyDescent="0.3">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x14ac:dyDescent="0.3">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x14ac:dyDescent="0.3">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x14ac:dyDescent="0.3">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x14ac:dyDescent="0.3">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x14ac:dyDescent="0.3">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x14ac:dyDescent="0.3">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x14ac:dyDescent="0.3">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x14ac:dyDescent="0.3">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x14ac:dyDescent="0.3">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x14ac:dyDescent="0.3">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x14ac:dyDescent="0.3">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x14ac:dyDescent="0.3">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x14ac:dyDescent="0.3">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x14ac:dyDescent="0.3">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x14ac:dyDescent="0.3">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x14ac:dyDescent="0.3">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x14ac:dyDescent="0.3">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x14ac:dyDescent="0.3">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x14ac:dyDescent="0.3">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x14ac:dyDescent="0.3">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x14ac:dyDescent="0.3">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x14ac:dyDescent="0.3">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x14ac:dyDescent="0.3">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x14ac:dyDescent="0.3">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x14ac:dyDescent="0.3">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x14ac:dyDescent="0.3">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x14ac:dyDescent="0.3">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x14ac:dyDescent="0.3">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x14ac:dyDescent="0.3">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x14ac:dyDescent="0.3">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x14ac:dyDescent="0.3">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x14ac:dyDescent="0.3">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x14ac:dyDescent="0.3">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x14ac:dyDescent="0.3">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x14ac:dyDescent="0.3">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x14ac:dyDescent="0.3">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x14ac:dyDescent="0.3">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x14ac:dyDescent="0.3">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x14ac:dyDescent="0.3">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x14ac:dyDescent="0.3">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x14ac:dyDescent="0.3">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x14ac:dyDescent="0.3">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x14ac:dyDescent="0.3">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x14ac:dyDescent="0.3">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x14ac:dyDescent="0.3">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x14ac:dyDescent="0.3">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x14ac:dyDescent="0.3">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x14ac:dyDescent="0.3">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x14ac:dyDescent="0.3">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x14ac:dyDescent="0.3">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x14ac:dyDescent="0.3">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x14ac:dyDescent="0.3">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x14ac:dyDescent="0.3">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x14ac:dyDescent="0.3">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x14ac:dyDescent="0.3">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x14ac:dyDescent="0.3">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x14ac:dyDescent="0.3">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x14ac:dyDescent="0.3">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x14ac:dyDescent="0.3">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x14ac:dyDescent="0.3">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x14ac:dyDescent="0.3">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x14ac:dyDescent="0.3">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x14ac:dyDescent="0.3">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x14ac:dyDescent="0.3">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x14ac:dyDescent="0.3">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x14ac:dyDescent="0.3">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x14ac:dyDescent="0.3">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x14ac:dyDescent="0.3">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x14ac:dyDescent="0.3">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x14ac:dyDescent="0.3">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x14ac:dyDescent="0.3">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x14ac:dyDescent="0.3">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x14ac:dyDescent="0.3">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x14ac:dyDescent="0.3">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x14ac:dyDescent="0.3">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x14ac:dyDescent="0.3">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x14ac:dyDescent="0.3">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x14ac:dyDescent="0.3">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x14ac:dyDescent="0.3">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x14ac:dyDescent="0.3">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x14ac:dyDescent="0.3">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x14ac:dyDescent="0.3">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x14ac:dyDescent="0.3">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x14ac:dyDescent="0.3">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x14ac:dyDescent="0.3">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x14ac:dyDescent="0.3">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x14ac:dyDescent="0.3">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x14ac:dyDescent="0.3">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x14ac:dyDescent="0.3">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x14ac:dyDescent="0.3">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x14ac:dyDescent="0.3">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x14ac:dyDescent="0.3">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x14ac:dyDescent="0.3">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x14ac:dyDescent="0.3">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x14ac:dyDescent="0.3">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x14ac:dyDescent="0.3">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x14ac:dyDescent="0.3">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x14ac:dyDescent="0.3">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x14ac:dyDescent="0.3">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x14ac:dyDescent="0.3">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x14ac:dyDescent="0.3">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x14ac:dyDescent="0.3">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x14ac:dyDescent="0.3">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x14ac:dyDescent="0.3">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x14ac:dyDescent="0.3">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x14ac:dyDescent="0.3">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x14ac:dyDescent="0.3">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x14ac:dyDescent="0.3">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x14ac:dyDescent="0.3">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x14ac:dyDescent="0.3">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x14ac:dyDescent="0.3">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x14ac:dyDescent="0.3">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x14ac:dyDescent="0.3">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x14ac:dyDescent="0.3">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x14ac:dyDescent="0.3">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x14ac:dyDescent="0.3">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x14ac:dyDescent="0.3">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x14ac:dyDescent="0.3">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x14ac:dyDescent="0.3">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x14ac:dyDescent="0.3">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x14ac:dyDescent="0.3">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x14ac:dyDescent="0.3">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x14ac:dyDescent="0.3">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x14ac:dyDescent="0.3">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x14ac:dyDescent="0.3">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x14ac:dyDescent="0.3">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x14ac:dyDescent="0.3">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x14ac:dyDescent="0.3">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x14ac:dyDescent="0.3">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x14ac:dyDescent="0.3">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x14ac:dyDescent="0.3">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x14ac:dyDescent="0.3">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x14ac:dyDescent="0.3">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x14ac:dyDescent="0.3">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x14ac:dyDescent="0.3">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x14ac:dyDescent="0.3">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x14ac:dyDescent="0.3">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x14ac:dyDescent="0.3">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x14ac:dyDescent="0.3">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x14ac:dyDescent="0.3">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x14ac:dyDescent="0.3">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x14ac:dyDescent="0.3">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x14ac:dyDescent="0.3">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x14ac:dyDescent="0.3">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x14ac:dyDescent="0.3">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x14ac:dyDescent="0.3">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x14ac:dyDescent="0.3">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x14ac:dyDescent="0.3">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x14ac:dyDescent="0.3">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x14ac:dyDescent="0.3">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x14ac:dyDescent="0.3">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x14ac:dyDescent="0.3">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x14ac:dyDescent="0.3">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x14ac:dyDescent="0.3">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x14ac:dyDescent="0.3">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x14ac:dyDescent="0.3">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x14ac:dyDescent="0.3">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x14ac:dyDescent="0.3">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x14ac:dyDescent="0.3">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x14ac:dyDescent="0.3">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x14ac:dyDescent="0.3">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x14ac:dyDescent="0.3">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x14ac:dyDescent="0.3">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x14ac:dyDescent="0.3">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x14ac:dyDescent="0.3">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x14ac:dyDescent="0.3">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x14ac:dyDescent="0.3">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x14ac:dyDescent="0.3">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x14ac:dyDescent="0.3">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x14ac:dyDescent="0.3">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x14ac:dyDescent="0.3">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x14ac:dyDescent="0.3">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x14ac:dyDescent="0.3">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x14ac:dyDescent="0.3">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x14ac:dyDescent="0.3">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x14ac:dyDescent="0.3">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x14ac:dyDescent="0.3">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x14ac:dyDescent="0.3">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x14ac:dyDescent="0.3">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x14ac:dyDescent="0.3">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x14ac:dyDescent="0.3">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x14ac:dyDescent="0.3">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x14ac:dyDescent="0.3">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x14ac:dyDescent="0.3">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x14ac:dyDescent="0.3">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x14ac:dyDescent="0.3">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x14ac:dyDescent="0.3">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x14ac:dyDescent="0.3">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x14ac:dyDescent="0.3">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x14ac:dyDescent="0.3">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x14ac:dyDescent="0.3">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x14ac:dyDescent="0.3">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x14ac:dyDescent="0.3">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x14ac:dyDescent="0.3">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x14ac:dyDescent="0.3">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x14ac:dyDescent="0.3">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x14ac:dyDescent="0.3">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x14ac:dyDescent="0.3">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x14ac:dyDescent="0.3">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x14ac:dyDescent="0.3">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x14ac:dyDescent="0.3">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x14ac:dyDescent="0.3">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x14ac:dyDescent="0.3">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x14ac:dyDescent="0.3">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x14ac:dyDescent="0.3">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x14ac:dyDescent="0.3">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x14ac:dyDescent="0.3">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x14ac:dyDescent="0.3">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x14ac:dyDescent="0.3">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x14ac:dyDescent="0.3">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x14ac:dyDescent="0.3">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x14ac:dyDescent="0.3">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x14ac:dyDescent="0.3">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x14ac:dyDescent="0.3">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x14ac:dyDescent="0.3">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x14ac:dyDescent="0.3">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x14ac:dyDescent="0.3">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x14ac:dyDescent="0.3">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x14ac:dyDescent="0.3">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x14ac:dyDescent="0.3">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x14ac:dyDescent="0.3">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x14ac:dyDescent="0.3">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x14ac:dyDescent="0.3">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x14ac:dyDescent="0.3">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x14ac:dyDescent="0.3">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x14ac:dyDescent="0.3">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x14ac:dyDescent="0.3">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x14ac:dyDescent="0.3">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x14ac:dyDescent="0.3">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x14ac:dyDescent="0.3">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x14ac:dyDescent="0.3">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x14ac:dyDescent="0.3">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x14ac:dyDescent="0.3">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x14ac:dyDescent="0.3">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x14ac:dyDescent="0.3">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x14ac:dyDescent="0.3">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x14ac:dyDescent="0.3">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x14ac:dyDescent="0.3">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x14ac:dyDescent="0.3">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x14ac:dyDescent="0.3">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x14ac:dyDescent="0.3">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x14ac:dyDescent="0.3">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x14ac:dyDescent="0.3">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x14ac:dyDescent="0.3">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x14ac:dyDescent="0.3">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x14ac:dyDescent="0.3">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x14ac:dyDescent="0.3">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x14ac:dyDescent="0.3">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x14ac:dyDescent="0.3">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x14ac:dyDescent="0.3">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x14ac:dyDescent="0.3">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x14ac:dyDescent="0.3">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x14ac:dyDescent="0.3">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x14ac:dyDescent="0.3">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x14ac:dyDescent="0.3">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x14ac:dyDescent="0.3">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x14ac:dyDescent="0.3">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x14ac:dyDescent="0.3">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x14ac:dyDescent="0.3">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x14ac:dyDescent="0.3">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x14ac:dyDescent="0.3">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x14ac:dyDescent="0.3">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x14ac:dyDescent="0.3">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x14ac:dyDescent="0.3">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x14ac:dyDescent="0.3">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x14ac:dyDescent="0.3">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x14ac:dyDescent="0.3">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x14ac:dyDescent="0.3">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x14ac:dyDescent="0.3">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x14ac:dyDescent="0.3">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x14ac:dyDescent="0.3">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x14ac:dyDescent="0.3">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x14ac:dyDescent="0.3">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x14ac:dyDescent="0.3">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x14ac:dyDescent="0.3">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x14ac:dyDescent="0.3">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x14ac:dyDescent="0.3">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x14ac:dyDescent="0.3">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x14ac:dyDescent="0.3">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x14ac:dyDescent="0.3">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x14ac:dyDescent="0.3">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x14ac:dyDescent="0.3">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x14ac:dyDescent="0.3">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x14ac:dyDescent="0.3">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x14ac:dyDescent="0.3">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x14ac:dyDescent="0.3">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x14ac:dyDescent="0.3">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x14ac:dyDescent="0.3">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x14ac:dyDescent="0.3">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x14ac:dyDescent="0.3">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x14ac:dyDescent="0.3">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x14ac:dyDescent="0.3">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x14ac:dyDescent="0.3">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x14ac:dyDescent="0.3">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x14ac:dyDescent="0.3">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x14ac:dyDescent="0.3">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x14ac:dyDescent="0.3">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x14ac:dyDescent="0.3">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x14ac:dyDescent="0.3">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x14ac:dyDescent="0.3">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x14ac:dyDescent="0.3">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x14ac:dyDescent="0.3">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x14ac:dyDescent="0.3">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x14ac:dyDescent="0.3">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x14ac:dyDescent="0.3">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x14ac:dyDescent="0.3">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x14ac:dyDescent="0.3">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x14ac:dyDescent="0.3">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x14ac:dyDescent="0.3">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x14ac:dyDescent="0.3">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x14ac:dyDescent="0.3">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x14ac:dyDescent="0.3">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x14ac:dyDescent="0.3">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x14ac:dyDescent="0.3">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x14ac:dyDescent="0.3">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x14ac:dyDescent="0.3">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x14ac:dyDescent="0.3">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x14ac:dyDescent="0.3">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x14ac:dyDescent="0.3">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x14ac:dyDescent="0.3">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x14ac:dyDescent="0.3">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x14ac:dyDescent="0.3">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x14ac:dyDescent="0.3">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x14ac:dyDescent="0.3">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x14ac:dyDescent="0.3">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x14ac:dyDescent="0.3">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x14ac:dyDescent="0.3">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x14ac:dyDescent="0.3">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x14ac:dyDescent="0.3">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x14ac:dyDescent="0.3">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x14ac:dyDescent="0.3">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x14ac:dyDescent="0.3">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x14ac:dyDescent="0.3">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x14ac:dyDescent="0.3">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x14ac:dyDescent="0.3">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x14ac:dyDescent="0.3">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x14ac:dyDescent="0.3">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x14ac:dyDescent="0.3">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x14ac:dyDescent="0.3">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x14ac:dyDescent="0.3">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x14ac:dyDescent="0.3">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x14ac:dyDescent="0.3">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x14ac:dyDescent="0.3">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x14ac:dyDescent="0.3">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x14ac:dyDescent="0.3">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x14ac:dyDescent="0.3">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x14ac:dyDescent="0.3">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x14ac:dyDescent="0.3">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x14ac:dyDescent="0.3">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x14ac:dyDescent="0.3">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x14ac:dyDescent="0.3">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x14ac:dyDescent="0.3">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x14ac:dyDescent="0.3">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x14ac:dyDescent="0.3">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x14ac:dyDescent="0.3">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x14ac:dyDescent="0.3">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x14ac:dyDescent="0.3">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x14ac:dyDescent="0.3">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x14ac:dyDescent="0.3">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x14ac:dyDescent="0.3">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x14ac:dyDescent="0.3">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x14ac:dyDescent="0.3">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x14ac:dyDescent="0.3">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x14ac:dyDescent="0.3">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x14ac:dyDescent="0.3">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x14ac:dyDescent="0.3">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x14ac:dyDescent="0.3">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x14ac:dyDescent="0.3">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x14ac:dyDescent="0.3">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x14ac:dyDescent="0.3">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x14ac:dyDescent="0.3">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x14ac:dyDescent="0.3">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x14ac:dyDescent="0.3">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x14ac:dyDescent="0.3">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x14ac:dyDescent="0.3">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x14ac:dyDescent="0.3">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x14ac:dyDescent="0.3">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x14ac:dyDescent="0.3">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x14ac:dyDescent="0.3">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x14ac:dyDescent="0.3">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x14ac:dyDescent="0.3">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x14ac:dyDescent="0.3">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x14ac:dyDescent="0.3">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x14ac:dyDescent="0.3">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x14ac:dyDescent="0.3">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x14ac:dyDescent="0.3">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x14ac:dyDescent="0.3">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x14ac:dyDescent="0.3">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x14ac:dyDescent="0.3">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x14ac:dyDescent="0.3">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x14ac:dyDescent="0.3">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x14ac:dyDescent="0.3">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x14ac:dyDescent="0.3">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x14ac:dyDescent="0.3">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x14ac:dyDescent="0.3">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x14ac:dyDescent="0.3">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x14ac:dyDescent="0.3">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x14ac:dyDescent="0.3">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x14ac:dyDescent="0.3">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x14ac:dyDescent="0.3">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x14ac:dyDescent="0.3">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x14ac:dyDescent="0.3">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x14ac:dyDescent="0.3">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x14ac:dyDescent="0.3">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x14ac:dyDescent="0.3">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x14ac:dyDescent="0.3">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x14ac:dyDescent="0.3">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x14ac:dyDescent="0.3">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x14ac:dyDescent="0.3">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x14ac:dyDescent="0.3">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x14ac:dyDescent="0.3">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x14ac:dyDescent="0.3">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x14ac:dyDescent="0.3">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x14ac:dyDescent="0.3">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x14ac:dyDescent="0.3">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x14ac:dyDescent="0.3">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x14ac:dyDescent="0.3">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x14ac:dyDescent="0.3">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x14ac:dyDescent="0.3">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x14ac:dyDescent="0.3">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x14ac:dyDescent="0.3">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x14ac:dyDescent="0.3">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x14ac:dyDescent="0.3">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x14ac:dyDescent="0.3">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x14ac:dyDescent="0.3">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x14ac:dyDescent="0.3">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x14ac:dyDescent="0.3">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x14ac:dyDescent="0.3">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x14ac:dyDescent="0.3">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x14ac:dyDescent="0.3">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x14ac:dyDescent="0.3">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x14ac:dyDescent="0.3">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x14ac:dyDescent="0.3">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x14ac:dyDescent="0.3">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x14ac:dyDescent="0.3">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x14ac:dyDescent="0.3">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x14ac:dyDescent="0.3">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x14ac:dyDescent="0.3">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x14ac:dyDescent="0.3">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x14ac:dyDescent="0.3">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x14ac:dyDescent="0.3">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x14ac:dyDescent="0.3">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x14ac:dyDescent="0.3">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x14ac:dyDescent="0.3">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x14ac:dyDescent="0.3">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x14ac:dyDescent="0.3">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x14ac:dyDescent="0.3">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x14ac:dyDescent="0.3">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x14ac:dyDescent="0.3">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x14ac:dyDescent="0.3">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x14ac:dyDescent="0.3">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x14ac:dyDescent="0.3">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x14ac:dyDescent="0.3">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x14ac:dyDescent="0.3">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x14ac:dyDescent="0.3">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x14ac:dyDescent="0.3">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x14ac:dyDescent="0.3">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x14ac:dyDescent="0.3">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x14ac:dyDescent="0.3">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x14ac:dyDescent="0.3">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x14ac:dyDescent="0.3">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x14ac:dyDescent="0.3">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x14ac:dyDescent="0.3">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x14ac:dyDescent="0.3">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x14ac:dyDescent="0.3">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x14ac:dyDescent="0.3">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x14ac:dyDescent="0.3">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x14ac:dyDescent="0.3">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x14ac:dyDescent="0.3">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x14ac:dyDescent="0.3">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x14ac:dyDescent="0.3">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x14ac:dyDescent="0.3">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x14ac:dyDescent="0.3">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x14ac:dyDescent="0.3">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x14ac:dyDescent="0.3">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x14ac:dyDescent="0.3">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x14ac:dyDescent="0.3">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x14ac:dyDescent="0.3">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x14ac:dyDescent="0.3">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x14ac:dyDescent="0.3">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x14ac:dyDescent="0.3">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x14ac:dyDescent="0.3">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x14ac:dyDescent="0.3">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x14ac:dyDescent="0.3">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x14ac:dyDescent="0.3">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x14ac:dyDescent="0.3">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x14ac:dyDescent="0.3">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x14ac:dyDescent="0.3">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x14ac:dyDescent="0.3">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x14ac:dyDescent="0.3">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x14ac:dyDescent="0.3">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x14ac:dyDescent="0.3">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x14ac:dyDescent="0.3">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x14ac:dyDescent="0.3">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x14ac:dyDescent="0.3">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x14ac:dyDescent="0.3">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x14ac:dyDescent="0.3">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x14ac:dyDescent="0.3">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x14ac:dyDescent="0.3">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x14ac:dyDescent="0.3">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x14ac:dyDescent="0.3">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x14ac:dyDescent="0.3">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x14ac:dyDescent="0.3">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x14ac:dyDescent="0.3">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x14ac:dyDescent="0.3">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x14ac:dyDescent="0.3">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x14ac:dyDescent="0.3">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x14ac:dyDescent="0.3">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x14ac:dyDescent="0.3">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x14ac:dyDescent="0.3">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x14ac:dyDescent="0.3">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x14ac:dyDescent="0.3">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x14ac:dyDescent="0.3">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x14ac:dyDescent="0.3">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x14ac:dyDescent="0.3">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x14ac:dyDescent="0.3">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x14ac:dyDescent="0.3">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x14ac:dyDescent="0.3">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x14ac:dyDescent="0.3">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x14ac:dyDescent="0.3">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x14ac:dyDescent="0.3">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x14ac:dyDescent="0.3">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x14ac:dyDescent="0.3">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x14ac:dyDescent="0.3">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x14ac:dyDescent="0.3">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x14ac:dyDescent="0.3">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x14ac:dyDescent="0.3">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x14ac:dyDescent="0.3">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x14ac:dyDescent="0.3">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x14ac:dyDescent="0.3">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x14ac:dyDescent="0.3">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x14ac:dyDescent="0.3">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x14ac:dyDescent="0.3">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x14ac:dyDescent="0.3">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x14ac:dyDescent="0.3">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x14ac:dyDescent="0.3">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x14ac:dyDescent="0.3">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x14ac:dyDescent="0.3">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x14ac:dyDescent="0.3">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x14ac:dyDescent="0.3">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x14ac:dyDescent="0.3">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x14ac:dyDescent="0.3">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x14ac:dyDescent="0.3">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x14ac:dyDescent="0.3">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x14ac:dyDescent="0.3">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x14ac:dyDescent="0.3">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x14ac:dyDescent="0.3">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x14ac:dyDescent="0.3">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x14ac:dyDescent="0.3">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x14ac:dyDescent="0.3">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x14ac:dyDescent="0.3">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x14ac:dyDescent="0.3">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x14ac:dyDescent="0.3">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x14ac:dyDescent="0.3">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x14ac:dyDescent="0.3">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x14ac:dyDescent="0.3">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x14ac:dyDescent="0.3">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x14ac:dyDescent="0.3">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x14ac:dyDescent="0.3">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x14ac:dyDescent="0.3">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x14ac:dyDescent="0.3">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x14ac:dyDescent="0.3">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x14ac:dyDescent="0.3">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x14ac:dyDescent="0.3">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x14ac:dyDescent="0.3">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x14ac:dyDescent="0.3">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x14ac:dyDescent="0.3">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x14ac:dyDescent="0.3">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x14ac:dyDescent="0.3">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x14ac:dyDescent="0.3">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x14ac:dyDescent="0.3">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x14ac:dyDescent="0.3">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x14ac:dyDescent="0.3">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x14ac:dyDescent="0.3">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x14ac:dyDescent="0.3">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x14ac:dyDescent="0.3">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x14ac:dyDescent="0.3">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x14ac:dyDescent="0.3">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x14ac:dyDescent="0.3">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x14ac:dyDescent="0.3">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x14ac:dyDescent="0.3">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x14ac:dyDescent="0.3">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x14ac:dyDescent="0.3">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x14ac:dyDescent="0.3">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x14ac:dyDescent="0.3">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x14ac:dyDescent="0.3">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x14ac:dyDescent="0.3">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x14ac:dyDescent="0.3">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x14ac:dyDescent="0.3">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x14ac:dyDescent="0.3">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x14ac:dyDescent="0.3">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x14ac:dyDescent="0.3">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x14ac:dyDescent="0.3">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x14ac:dyDescent="0.3">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x14ac:dyDescent="0.3">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x14ac:dyDescent="0.3">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x14ac:dyDescent="0.3">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x14ac:dyDescent="0.3">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x14ac:dyDescent="0.3">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x14ac:dyDescent="0.3">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x14ac:dyDescent="0.3">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x14ac:dyDescent="0.3">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x14ac:dyDescent="0.3">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x14ac:dyDescent="0.3">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x14ac:dyDescent="0.3">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x14ac:dyDescent="0.3">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x14ac:dyDescent="0.3">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x14ac:dyDescent="0.3">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x14ac:dyDescent="0.3">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x14ac:dyDescent="0.3">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x14ac:dyDescent="0.3">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x14ac:dyDescent="0.3">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x14ac:dyDescent="0.3">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x14ac:dyDescent="0.3">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x14ac:dyDescent="0.3">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x14ac:dyDescent="0.3">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x14ac:dyDescent="0.3">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x14ac:dyDescent="0.3">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x14ac:dyDescent="0.3">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x14ac:dyDescent="0.3">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x14ac:dyDescent="0.3">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x14ac:dyDescent="0.3">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x14ac:dyDescent="0.3">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x14ac:dyDescent="0.3">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x14ac:dyDescent="0.3">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x14ac:dyDescent="0.3">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x14ac:dyDescent="0.3">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x14ac:dyDescent="0.3">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x14ac:dyDescent="0.3">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x14ac:dyDescent="0.3">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x14ac:dyDescent="0.3">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x14ac:dyDescent="0.3">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x14ac:dyDescent="0.3">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x14ac:dyDescent="0.3">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x14ac:dyDescent="0.3">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x14ac:dyDescent="0.3">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x14ac:dyDescent="0.3">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x14ac:dyDescent="0.3">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x14ac:dyDescent="0.3">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x14ac:dyDescent="0.3">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x14ac:dyDescent="0.3">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x14ac:dyDescent="0.3">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x14ac:dyDescent="0.3">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x14ac:dyDescent="0.3">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x14ac:dyDescent="0.3">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x14ac:dyDescent="0.3">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x14ac:dyDescent="0.3">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x14ac:dyDescent="0.3">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x14ac:dyDescent="0.3">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x14ac:dyDescent="0.3">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x14ac:dyDescent="0.3">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x14ac:dyDescent="0.3">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x14ac:dyDescent="0.3">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x14ac:dyDescent="0.3">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x14ac:dyDescent="0.3">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x14ac:dyDescent="0.3">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x14ac:dyDescent="0.3">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x14ac:dyDescent="0.3">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x14ac:dyDescent="0.3">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x14ac:dyDescent="0.3">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x14ac:dyDescent="0.3">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x14ac:dyDescent="0.3">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x14ac:dyDescent="0.3">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x14ac:dyDescent="0.3">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x14ac:dyDescent="0.3">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x14ac:dyDescent="0.3">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x14ac:dyDescent="0.3">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x14ac:dyDescent="0.3">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x14ac:dyDescent="0.3">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x14ac:dyDescent="0.3">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x14ac:dyDescent="0.3">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x14ac:dyDescent="0.3">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x14ac:dyDescent="0.3">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x14ac:dyDescent="0.3">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x14ac:dyDescent="0.3">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x14ac:dyDescent="0.3">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x14ac:dyDescent="0.3">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x14ac:dyDescent="0.3">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x14ac:dyDescent="0.3">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x14ac:dyDescent="0.3">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x14ac:dyDescent="0.3">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x14ac:dyDescent="0.3">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x14ac:dyDescent="0.3">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x14ac:dyDescent="0.3">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x14ac:dyDescent="0.3">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x14ac:dyDescent="0.3">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x14ac:dyDescent="0.3">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x14ac:dyDescent="0.3">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x14ac:dyDescent="0.3">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x14ac:dyDescent="0.3">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x14ac:dyDescent="0.3">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x14ac:dyDescent="0.3">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x14ac:dyDescent="0.3">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x14ac:dyDescent="0.3">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x14ac:dyDescent="0.3">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x14ac:dyDescent="0.3">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x14ac:dyDescent="0.3">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x14ac:dyDescent="0.3">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x14ac:dyDescent="0.3">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x14ac:dyDescent="0.3">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x14ac:dyDescent="0.3">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x14ac:dyDescent="0.3">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x14ac:dyDescent="0.3">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x14ac:dyDescent="0.3">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x14ac:dyDescent="0.3">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x14ac:dyDescent="0.3">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x14ac:dyDescent="0.3">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x14ac:dyDescent="0.3">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x14ac:dyDescent="0.3">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x14ac:dyDescent="0.3">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x14ac:dyDescent="0.3">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x14ac:dyDescent="0.3">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x14ac:dyDescent="0.3">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x14ac:dyDescent="0.3">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x14ac:dyDescent="0.3">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x14ac:dyDescent="0.3">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x14ac:dyDescent="0.3">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x14ac:dyDescent="0.3">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x14ac:dyDescent="0.3">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x14ac:dyDescent="0.3">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x14ac:dyDescent="0.3">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x14ac:dyDescent="0.3">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x14ac:dyDescent="0.3">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x14ac:dyDescent="0.3">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x14ac:dyDescent="0.3">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x14ac:dyDescent="0.3">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x14ac:dyDescent="0.3">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x14ac:dyDescent="0.3">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x14ac:dyDescent="0.3">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x14ac:dyDescent="0.3">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x14ac:dyDescent="0.3">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x14ac:dyDescent="0.3">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x14ac:dyDescent="0.3">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x14ac:dyDescent="0.3">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x14ac:dyDescent="0.3">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x14ac:dyDescent="0.3">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x14ac:dyDescent="0.3">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x14ac:dyDescent="0.3">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x14ac:dyDescent="0.3">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x14ac:dyDescent="0.3">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x14ac:dyDescent="0.3">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x14ac:dyDescent="0.3">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x14ac:dyDescent="0.3">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x14ac:dyDescent="0.3">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x14ac:dyDescent="0.3">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x14ac:dyDescent="0.3">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x14ac:dyDescent="0.3">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x14ac:dyDescent="0.3">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x14ac:dyDescent="0.3">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x14ac:dyDescent="0.3">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x14ac:dyDescent="0.3">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x14ac:dyDescent="0.3">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x14ac:dyDescent="0.3">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x14ac:dyDescent="0.3">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x14ac:dyDescent="0.3">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x14ac:dyDescent="0.3">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x14ac:dyDescent="0.3">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x14ac:dyDescent="0.3">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x14ac:dyDescent="0.3">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x14ac:dyDescent="0.3">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x14ac:dyDescent="0.3">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x14ac:dyDescent="0.3">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x14ac:dyDescent="0.3">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x14ac:dyDescent="0.3">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x14ac:dyDescent="0.3">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x14ac:dyDescent="0.3">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x14ac:dyDescent="0.3">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x14ac:dyDescent="0.3">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x14ac:dyDescent="0.3">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x14ac:dyDescent="0.3">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x14ac:dyDescent="0.3">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x14ac:dyDescent="0.3">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x14ac:dyDescent="0.3">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x14ac:dyDescent="0.3">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x14ac:dyDescent="0.3">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x14ac:dyDescent="0.3">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x14ac:dyDescent="0.3">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x14ac:dyDescent="0.3">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x14ac:dyDescent="0.3">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x14ac:dyDescent="0.3">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x14ac:dyDescent="0.3">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x14ac:dyDescent="0.3">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x14ac:dyDescent="0.3">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x14ac:dyDescent="0.3">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x14ac:dyDescent="0.3">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x14ac:dyDescent="0.3">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x14ac:dyDescent="0.3">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x14ac:dyDescent="0.3">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x14ac:dyDescent="0.3">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x14ac:dyDescent="0.3">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x14ac:dyDescent="0.3">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x14ac:dyDescent="0.3">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x14ac:dyDescent="0.3">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x14ac:dyDescent="0.3">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x14ac:dyDescent="0.3">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x14ac:dyDescent="0.3">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x14ac:dyDescent="0.3">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x14ac:dyDescent="0.3">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x14ac:dyDescent="0.3">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x14ac:dyDescent="0.3">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x14ac:dyDescent="0.3">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x14ac:dyDescent="0.3">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x14ac:dyDescent="0.3">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x14ac:dyDescent="0.3">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x14ac:dyDescent="0.3">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x14ac:dyDescent="0.3">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x14ac:dyDescent="0.3">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x14ac:dyDescent="0.3">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x14ac:dyDescent="0.3">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x14ac:dyDescent="0.3">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x14ac:dyDescent="0.3">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x14ac:dyDescent="0.3">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x14ac:dyDescent="0.3">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x14ac:dyDescent="0.3">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x14ac:dyDescent="0.3">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x14ac:dyDescent="0.3">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x14ac:dyDescent="0.3">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x14ac:dyDescent="0.3">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x14ac:dyDescent="0.3">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x14ac:dyDescent="0.3">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x14ac:dyDescent="0.3">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x14ac:dyDescent="0.3">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x14ac:dyDescent="0.3">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x14ac:dyDescent="0.3">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x14ac:dyDescent="0.3">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x14ac:dyDescent="0.3">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x14ac:dyDescent="0.3">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x14ac:dyDescent="0.3">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x14ac:dyDescent="0.3">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x14ac:dyDescent="0.3">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x14ac:dyDescent="0.3">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x14ac:dyDescent="0.3">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x14ac:dyDescent="0.3">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x14ac:dyDescent="0.3">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x14ac:dyDescent="0.3">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x14ac:dyDescent="0.3">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x14ac:dyDescent="0.3">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x14ac:dyDescent="0.3">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x14ac:dyDescent="0.3">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x14ac:dyDescent="0.3">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x14ac:dyDescent="0.3">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x14ac:dyDescent="0.3">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x14ac:dyDescent="0.3">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x14ac:dyDescent="0.3">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x14ac:dyDescent="0.3">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x14ac:dyDescent="0.3">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x14ac:dyDescent="0.3">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x14ac:dyDescent="0.3">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x14ac:dyDescent="0.3">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x14ac:dyDescent="0.3">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x14ac:dyDescent="0.3">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x14ac:dyDescent="0.3">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x14ac:dyDescent="0.3">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x14ac:dyDescent="0.3">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x14ac:dyDescent="0.3">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x14ac:dyDescent="0.3">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x14ac:dyDescent="0.3">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x14ac:dyDescent="0.3">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x14ac:dyDescent="0.3">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x14ac:dyDescent="0.3">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x14ac:dyDescent="0.3">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x14ac:dyDescent="0.3">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x14ac:dyDescent="0.3">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x14ac:dyDescent="0.3">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x14ac:dyDescent="0.3">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x14ac:dyDescent="0.3">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x14ac:dyDescent="0.3">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x14ac:dyDescent="0.3">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x14ac:dyDescent="0.3">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x14ac:dyDescent="0.3">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x14ac:dyDescent="0.3">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x14ac:dyDescent="0.3">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x14ac:dyDescent="0.3">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x14ac:dyDescent="0.3">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x14ac:dyDescent="0.3">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x14ac:dyDescent="0.3">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x14ac:dyDescent="0.3">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x14ac:dyDescent="0.3">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x14ac:dyDescent="0.3">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x14ac:dyDescent="0.3">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x14ac:dyDescent="0.3">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x14ac:dyDescent="0.3">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x14ac:dyDescent="0.3">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x14ac:dyDescent="0.3">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x14ac:dyDescent="0.3">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x14ac:dyDescent="0.3">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x14ac:dyDescent="0.3">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x14ac:dyDescent="0.3">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x14ac:dyDescent="0.3">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x14ac:dyDescent="0.3">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x14ac:dyDescent="0.3">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x14ac:dyDescent="0.3">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x14ac:dyDescent="0.3">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x14ac:dyDescent="0.3">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x14ac:dyDescent="0.3">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x14ac:dyDescent="0.3">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x14ac:dyDescent="0.3">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x14ac:dyDescent="0.3">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x14ac:dyDescent="0.3">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x14ac:dyDescent="0.3">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x14ac:dyDescent="0.3">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x14ac:dyDescent="0.3">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x14ac:dyDescent="0.3">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x14ac:dyDescent="0.3">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x14ac:dyDescent="0.3">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x14ac:dyDescent="0.3">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x14ac:dyDescent="0.3">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x14ac:dyDescent="0.3">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x14ac:dyDescent="0.3">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x14ac:dyDescent="0.3">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x14ac:dyDescent="0.3">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x14ac:dyDescent="0.3">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x14ac:dyDescent="0.3">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x14ac:dyDescent="0.3">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x14ac:dyDescent="0.3">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x14ac:dyDescent="0.3">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x14ac:dyDescent="0.3">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x14ac:dyDescent="0.3">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x14ac:dyDescent="0.3">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x14ac:dyDescent="0.3">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x14ac:dyDescent="0.3">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x14ac:dyDescent="0.3">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x14ac:dyDescent="0.3">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x14ac:dyDescent="0.3">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x14ac:dyDescent="0.3">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x14ac:dyDescent="0.3">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x14ac:dyDescent="0.3">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x14ac:dyDescent="0.3">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x14ac:dyDescent="0.3">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x14ac:dyDescent="0.3">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x14ac:dyDescent="0.3">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x14ac:dyDescent="0.3">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x14ac:dyDescent="0.3">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x14ac:dyDescent="0.3">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x14ac:dyDescent="0.3">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x14ac:dyDescent="0.3">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x14ac:dyDescent="0.3">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x14ac:dyDescent="0.3">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x14ac:dyDescent="0.3">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x14ac:dyDescent="0.3">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x14ac:dyDescent="0.3">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x14ac:dyDescent="0.3">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x14ac:dyDescent="0.3">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x14ac:dyDescent="0.3">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x14ac:dyDescent="0.3">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x14ac:dyDescent="0.3">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x14ac:dyDescent="0.3">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x14ac:dyDescent="0.3">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x14ac:dyDescent="0.3">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x14ac:dyDescent="0.3">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x14ac:dyDescent="0.3">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x14ac:dyDescent="0.3">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x14ac:dyDescent="0.3">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x14ac:dyDescent="0.3">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x14ac:dyDescent="0.3">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x14ac:dyDescent="0.3">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x14ac:dyDescent="0.3">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x14ac:dyDescent="0.3">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x14ac:dyDescent="0.3">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x14ac:dyDescent="0.3">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x14ac:dyDescent="0.3">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x14ac:dyDescent="0.3">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x14ac:dyDescent="0.3">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x14ac:dyDescent="0.3">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x14ac:dyDescent="0.3">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x14ac:dyDescent="0.3">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x14ac:dyDescent="0.3">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x14ac:dyDescent="0.3">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x14ac:dyDescent="0.3">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x14ac:dyDescent="0.3">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x14ac:dyDescent="0.3">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x14ac:dyDescent="0.3">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x14ac:dyDescent="0.3">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x14ac:dyDescent="0.3">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x14ac:dyDescent="0.3">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x14ac:dyDescent="0.3">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x14ac:dyDescent="0.3">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x14ac:dyDescent="0.3">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x14ac:dyDescent="0.3">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x14ac:dyDescent="0.3">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x14ac:dyDescent="0.3">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x14ac:dyDescent="0.3">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x14ac:dyDescent="0.3">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x14ac:dyDescent="0.3">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x14ac:dyDescent="0.3">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x14ac:dyDescent="0.3">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x14ac:dyDescent="0.3">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x14ac:dyDescent="0.3">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x14ac:dyDescent="0.3">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x14ac:dyDescent="0.3">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x14ac:dyDescent="0.3">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x14ac:dyDescent="0.3">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x14ac:dyDescent="0.3">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x14ac:dyDescent="0.3">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x14ac:dyDescent="0.3">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x14ac:dyDescent="0.3">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x14ac:dyDescent="0.3">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x14ac:dyDescent="0.3">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x14ac:dyDescent="0.3">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x14ac:dyDescent="0.3">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x14ac:dyDescent="0.3">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x14ac:dyDescent="0.3">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x14ac:dyDescent="0.3">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x14ac:dyDescent="0.3">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x14ac:dyDescent="0.3">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x14ac:dyDescent="0.3">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x14ac:dyDescent="0.3">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x14ac:dyDescent="0.3">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x14ac:dyDescent="0.3">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x14ac:dyDescent="0.3">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x14ac:dyDescent="0.3">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x14ac:dyDescent="0.3">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x14ac:dyDescent="0.3">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x14ac:dyDescent="0.3">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x14ac:dyDescent="0.3">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x14ac:dyDescent="0.3">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x14ac:dyDescent="0.3">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x14ac:dyDescent="0.3">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x14ac:dyDescent="0.3">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x14ac:dyDescent="0.3">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x14ac:dyDescent="0.3">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x14ac:dyDescent="0.3">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x14ac:dyDescent="0.3">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x14ac:dyDescent="0.3">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x14ac:dyDescent="0.3">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x14ac:dyDescent="0.3">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x14ac:dyDescent="0.3">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x14ac:dyDescent="0.3">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x14ac:dyDescent="0.3">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x14ac:dyDescent="0.3">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x14ac:dyDescent="0.3">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x14ac:dyDescent="0.3">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x14ac:dyDescent="0.3">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x14ac:dyDescent="0.3">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x14ac:dyDescent="0.3">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x14ac:dyDescent="0.3">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x14ac:dyDescent="0.3">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x14ac:dyDescent="0.3">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x14ac:dyDescent="0.3">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x14ac:dyDescent="0.3">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x14ac:dyDescent="0.3">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x14ac:dyDescent="0.3">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x14ac:dyDescent="0.3">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x14ac:dyDescent="0.3">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x14ac:dyDescent="0.3">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x14ac:dyDescent="0.3">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x14ac:dyDescent="0.3">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x14ac:dyDescent="0.3">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x14ac:dyDescent="0.3">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x14ac:dyDescent="0.3">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x14ac:dyDescent="0.3">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x14ac:dyDescent="0.3">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x14ac:dyDescent="0.3">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x14ac:dyDescent="0.3">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x14ac:dyDescent="0.3">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x14ac:dyDescent="0.3">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x14ac:dyDescent="0.3">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x14ac:dyDescent="0.3">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x14ac:dyDescent="0.3">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x14ac:dyDescent="0.3">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x14ac:dyDescent="0.3">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x14ac:dyDescent="0.3">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x14ac:dyDescent="0.3">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x14ac:dyDescent="0.3">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x14ac:dyDescent="0.3">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x14ac:dyDescent="0.3">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x14ac:dyDescent="0.3">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x14ac:dyDescent="0.3">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x14ac:dyDescent="0.3">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x14ac:dyDescent="0.3">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x14ac:dyDescent="0.3">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x14ac:dyDescent="0.3">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x14ac:dyDescent="0.3">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x14ac:dyDescent="0.3">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x14ac:dyDescent="0.3">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x14ac:dyDescent="0.3">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x14ac:dyDescent="0.3">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x14ac:dyDescent="0.3">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x14ac:dyDescent="0.3">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x14ac:dyDescent="0.3">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x14ac:dyDescent="0.3">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x14ac:dyDescent="0.3">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x14ac:dyDescent="0.3">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x14ac:dyDescent="0.3">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x14ac:dyDescent="0.3">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x14ac:dyDescent="0.3">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x14ac:dyDescent="0.3">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x14ac:dyDescent="0.3">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x14ac:dyDescent="0.3">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x14ac:dyDescent="0.3">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x14ac:dyDescent="0.3">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x14ac:dyDescent="0.3">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x14ac:dyDescent="0.3">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x14ac:dyDescent="0.3">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x14ac:dyDescent="0.3">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x14ac:dyDescent="0.3">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x14ac:dyDescent="0.3">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x14ac:dyDescent="0.3">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x14ac:dyDescent="0.3">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x14ac:dyDescent="0.3">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x14ac:dyDescent="0.3">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x14ac:dyDescent="0.3">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x14ac:dyDescent="0.3">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x14ac:dyDescent="0.3">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x14ac:dyDescent="0.3">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x14ac:dyDescent="0.3">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x14ac:dyDescent="0.3">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x14ac:dyDescent="0.3">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x14ac:dyDescent="0.3">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x14ac:dyDescent="0.3">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x14ac:dyDescent="0.3">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x14ac:dyDescent="0.3">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x14ac:dyDescent="0.3">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x14ac:dyDescent="0.3">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x14ac:dyDescent="0.3">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x14ac:dyDescent="0.3">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x14ac:dyDescent="0.3">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x14ac:dyDescent="0.3">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x14ac:dyDescent="0.3">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x14ac:dyDescent="0.3">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x14ac:dyDescent="0.3">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x14ac:dyDescent="0.3">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x14ac:dyDescent="0.3">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x14ac:dyDescent="0.3">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x14ac:dyDescent="0.3">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x14ac:dyDescent="0.3">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x14ac:dyDescent="0.3">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x14ac:dyDescent="0.3">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x14ac:dyDescent="0.3">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x14ac:dyDescent="0.3">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x14ac:dyDescent="0.3">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x14ac:dyDescent="0.3">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x14ac:dyDescent="0.3">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x14ac:dyDescent="0.3">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x14ac:dyDescent="0.3">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x14ac:dyDescent="0.3">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x14ac:dyDescent="0.3">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x14ac:dyDescent="0.3">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x14ac:dyDescent="0.3">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x14ac:dyDescent="0.3">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x14ac:dyDescent="0.3">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x14ac:dyDescent="0.3">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x14ac:dyDescent="0.3">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x14ac:dyDescent="0.3">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x14ac:dyDescent="0.3">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x14ac:dyDescent="0.3">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x14ac:dyDescent="0.3">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x14ac:dyDescent="0.3">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x14ac:dyDescent="0.3">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x14ac:dyDescent="0.3">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x14ac:dyDescent="0.3">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x14ac:dyDescent="0.3">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x14ac:dyDescent="0.3">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x14ac:dyDescent="0.3">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x14ac:dyDescent="0.3">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x14ac:dyDescent="0.3">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x14ac:dyDescent="0.3">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x14ac:dyDescent="0.3">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x14ac:dyDescent="0.3">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x14ac:dyDescent="0.3">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x14ac:dyDescent="0.3">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x14ac:dyDescent="0.3">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x14ac:dyDescent="0.3">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x14ac:dyDescent="0.3">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x14ac:dyDescent="0.3">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x14ac:dyDescent="0.3">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x14ac:dyDescent="0.3">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x14ac:dyDescent="0.3">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x14ac:dyDescent="0.3">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x14ac:dyDescent="0.3">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x14ac:dyDescent="0.3">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x14ac:dyDescent="0.3">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x14ac:dyDescent="0.3">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x14ac:dyDescent="0.3">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x14ac:dyDescent="0.3">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x14ac:dyDescent="0.3">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x14ac:dyDescent="0.3">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x14ac:dyDescent="0.3">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x14ac:dyDescent="0.3">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x14ac:dyDescent="0.3">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x14ac:dyDescent="0.3">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x14ac:dyDescent="0.3">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x14ac:dyDescent="0.3">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x14ac:dyDescent="0.3">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x14ac:dyDescent="0.3">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x14ac:dyDescent="0.3">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x14ac:dyDescent="0.3">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x14ac:dyDescent="0.3">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x14ac:dyDescent="0.3">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x14ac:dyDescent="0.3">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x14ac:dyDescent="0.3">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x14ac:dyDescent="0.3">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x14ac:dyDescent="0.3">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x14ac:dyDescent="0.3">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x14ac:dyDescent="0.3">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x14ac:dyDescent="0.3">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x14ac:dyDescent="0.3">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x14ac:dyDescent="0.3">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x14ac:dyDescent="0.3">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x14ac:dyDescent="0.3">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x14ac:dyDescent="0.3">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x14ac:dyDescent="0.3">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x14ac:dyDescent="0.3">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x14ac:dyDescent="0.3">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x14ac:dyDescent="0.3">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x14ac:dyDescent="0.3">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x14ac:dyDescent="0.3">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x14ac:dyDescent="0.3">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x14ac:dyDescent="0.3">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x14ac:dyDescent="0.3">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x14ac:dyDescent="0.3">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x14ac:dyDescent="0.3">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x14ac:dyDescent="0.3">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x14ac:dyDescent="0.3">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x14ac:dyDescent="0.3">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x14ac:dyDescent="0.3">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x14ac:dyDescent="0.3">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x14ac:dyDescent="0.3">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x14ac:dyDescent="0.3">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x14ac:dyDescent="0.3">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x14ac:dyDescent="0.3">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x14ac:dyDescent="0.3">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x14ac:dyDescent="0.3">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x14ac:dyDescent="0.3">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x14ac:dyDescent="0.3">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x14ac:dyDescent="0.3">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x14ac:dyDescent="0.3">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x14ac:dyDescent="0.3">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x14ac:dyDescent="0.3">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x14ac:dyDescent="0.3">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x14ac:dyDescent="0.3">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x14ac:dyDescent="0.3">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x14ac:dyDescent="0.3">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x14ac:dyDescent="0.3">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x14ac:dyDescent="0.3">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x14ac:dyDescent="0.3">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x14ac:dyDescent="0.3">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x14ac:dyDescent="0.3">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x14ac:dyDescent="0.3">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x14ac:dyDescent="0.3">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x14ac:dyDescent="0.3">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x14ac:dyDescent="0.3">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x14ac:dyDescent="0.3">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x14ac:dyDescent="0.3">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x14ac:dyDescent="0.3">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x14ac:dyDescent="0.3">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x14ac:dyDescent="0.3">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x14ac:dyDescent="0.3">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x14ac:dyDescent="0.3">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x14ac:dyDescent="0.3">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x14ac:dyDescent="0.3">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x14ac:dyDescent="0.3">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x14ac:dyDescent="0.3">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x14ac:dyDescent="0.3">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x14ac:dyDescent="0.3">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x14ac:dyDescent="0.3">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x14ac:dyDescent="0.3">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x14ac:dyDescent="0.3">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x14ac:dyDescent="0.3">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x14ac:dyDescent="0.3">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x14ac:dyDescent="0.3">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x14ac:dyDescent="0.3">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x14ac:dyDescent="0.3">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x14ac:dyDescent="0.3">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x14ac:dyDescent="0.3">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x14ac:dyDescent="0.3">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x14ac:dyDescent="0.3">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x14ac:dyDescent="0.3">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x14ac:dyDescent="0.3">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x14ac:dyDescent="0.3">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x14ac:dyDescent="0.3">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x14ac:dyDescent="0.3">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x14ac:dyDescent="0.3">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x14ac:dyDescent="0.3">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x14ac:dyDescent="0.3">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x14ac:dyDescent="0.3">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x14ac:dyDescent="0.3">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x14ac:dyDescent="0.3">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x14ac:dyDescent="0.3">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x14ac:dyDescent="0.3">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x14ac:dyDescent="0.3">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x14ac:dyDescent="0.3">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x14ac:dyDescent="0.3">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x14ac:dyDescent="0.3">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x14ac:dyDescent="0.3">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x14ac:dyDescent="0.3">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x14ac:dyDescent="0.3">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x14ac:dyDescent="0.3">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x14ac:dyDescent="0.3">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x14ac:dyDescent="0.3">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x14ac:dyDescent="0.3">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x14ac:dyDescent="0.3">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x14ac:dyDescent="0.3">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x14ac:dyDescent="0.3">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x14ac:dyDescent="0.3">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x14ac:dyDescent="0.3">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x14ac:dyDescent="0.3">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x14ac:dyDescent="0.3">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x14ac:dyDescent="0.3">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x14ac:dyDescent="0.3">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x14ac:dyDescent="0.3">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x14ac:dyDescent="0.3">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x14ac:dyDescent="0.3">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x14ac:dyDescent="0.3">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x14ac:dyDescent="0.3">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x14ac:dyDescent="0.3">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x14ac:dyDescent="0.3">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x14ac:dyDescent="0.3">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x14ac:dyDescent="0.3">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workbookViewId="0">
      <selection activeCell="B12" sqref="B12"/>
    </sheetView>
  </sheetViews>
  <sheetFormatPr defaultRowHeight="14.4" x14ac:dyDescent="0.3"/>
  <cols>
    <col min="1" max="1" width="3.6640625" customWidth="1"/>
    <col min="2" max="2" width="52.77734375" customWidth="1"/>
  </cols>
  <sheetData>
    <row r="2" spans="2:2" x14ac:dyDescent="0.3">
      <c r="B2" s="3" t="s">
        <v>2503</v>
      </c>
    </row>
    <row r="3" spans="2:2" x14ac:dyDescent="0.3">
      <c r="B3" s="4" t="s">
        <v>2504</v>
      </c>
    </row>
    <row r="4" spans="2:2" x14ac:dyDescent="0.3">
      <c r="B4" s="4" t="s">
        <v>2505</v>
      </c>
    </row>
    <row r="5" spans="2:2" x14ac:dyDescent="0.3">
      <c r="B5" s="4" t="s">
        <v>2506</v>
      </c>
    </row>
    <row r="6" spans="2:2" x14ac:dyDescent="0.3">
      <c r="B6" s="4" t="s">
        <v>2507</v>
      </c>
    </row>
    <row r="7" spans="2:2" x14ac:dyDescent="0.3">
      <c r="B7" s="4" t="s">
        <v>2508</v>
      </c>
    </row>
    <row r="10" spans="2:2" x14ac:dyDescent="0.3">
      <c r="B10" s="3" t="s">
        <v>2509</v>
      </c>
    </row>
    <row r="11" spans="2:2" x14ac:dyDescent="0.3">
      <c r="B11" t="s">
        <v>2510</v>
      </c>
    </row>
    <row r="12" spans="2:2" x14ac:dyDescent="0.3">
      <c r="B12" t="s">
        <v>2545</v>
      </c>
    </row>
    <row r="13" spans="2:2" x14ac:dyDescent="0.3">
      <c r="B13" t="s">
        <v>2562</v>
      </c>
    </row>
    <row r="14" spans="2:2" x14ac:dyDescent="0.3">
      <c r="B14" t="s">
        <v>2511</v>
      </c>
    </row>
    <row r="15" spans="2:2" x14ac:dyDescent="0.3">
      <c r="B15" s="12" t="s">
        <v>2512</v>
      </c>
    </row>
    <row r="16" spans="2:2" x14ac:dyDescent="0.3">
      <c r="B16" t="s">
        <v>2513</v>
      </c>
    </row>
    <row r="17" spans="2:2" x14ac:dyDescent="0.3">
      <c r="B17" t="s">
        <v>2572</v>
      </c>
    </row>
    <row r="18" spans="2:2" x14ac:dyDescent="0.3">
      <c r="B18" s="12" t="s">
        <v>2514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7A375-A16B-4A71-B7EB-209E1013A8A5}">
  <dimension ref="A1"/>
  <sheetViews>
    <sheetView tabSelected="1" zoomScale="80" zoomScaleNormal="80" workbookViewId="0">
      <selection activeCell="AC20" sqref="AC20"/>
    </sheetView>
  </sheetViews>
  <sheetFormatPr defaultRowHeight="14.4" x14ac:dyDescent="0.3"/>
  <cols>
    <col min="1" max="1" width="5.44140625" customWidth="1"/>
    <col min="2" max="2" width="16.109375" customWidth="1"/>
    <col min="3" max="3" width="5.44140625" customWidth="1"/>
  </cols>
  <sheetData>
    <row r="1" spans="1:1" ht="23.4" x14ac:dyDescent="0.45">
      <c r="A1" s="18"/>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1D30B-60E4-4685-B421-10EFD7769A97}">
  <dimension ref="B3:H24"/>
  <sheetViews>
    <sheetView topLeftCell="A21" workbookViewId="0">
      <selection activeCell="G3" sqref="G3:H6"/>
    </sheetView>
  </sheetViews>
  <sheetFormatPr defaultRowHeight="14.4" x14ac:dyDescent="0.3"/>
  <cols>
    <col min="1" max="1" width="3.33203125" customWidth="1"/>
    <col min="8" max="8" width="37.33203125" customWidth="1"/>
  </cols>
  <sheetData>
    <row r="3" spans="2:8" x14ac:dyDescent="0.3">
      <c r="B3" t="s">
        <v>2515</v>
      </c>
    </row>
    <row r="4" spans="2:8" x14ac:dyDescent="0.3">
      <c r="H4" s="11"/>
    </row>
    <row r="5" spans="2:8" x14ac:dyDescent="0.3">
      <c r="B5" t="s">
        <v>2516</v>
      </c>
      <c r="H5" s="11"/>
    </row>
    <row r="6" spans="2:8" x14ac:dyDescent="0.3">
      <c r="B6" s="5"/>
      <c r="C6" t="s">
        <v>2517</v>
      </c>
      <c r="D6" t="s">
        <v>2523</v>
      </c>
    </row>
    <row r="7" spans="2:8" x14ac:dyDescent="0.3">
      <c r="B7" s="6"/>
      <c r="C7" t="s">
        <v>2518</v>
      </c>
      <c r="D7" t="s">
        <v>2524</v>
      </c>
    </row>
    <row r="8" spans="2:8" x14ac:dyDescent="0.3">
      <c r="B8" s="7"/>
      <c r="C8" t="s">
        <v>2519</v>
      </c>
      <c r="D8" t="s">
        <v>2525</v>
      </c>
    </row>
    <row r="9" spans="2:8" x14ac:dyDescent="0.3">
      <c r="B9" s="8"/>
      <c r="C9" t="s">
        <v>2520</v>
      </c>
      <c r="D9" t="s">
        <v>2526</v>
      </c>
    </row>
    <row r="10" spans="2:8" x14ac:dyDescent="0.3">
      <c r="B10" s="9"/>
      <c r="C10" t="s">
        <v>2521</v>
      </c>
      <c r="D10" t="s">
        <v>2527</v>
      </c>
    </row>
    <row r="11" spans="2:8" x14ac:dyDescent="0.3">
      <c r="B11" s="2"/>
      <c r="C11" t="s">
        <v>2522</v>
      </c>
      <c r="D11" t="s">
        <v>2528</v>
      </c>
    </row>
    <row r="13" spans="2:8" x14ac:dyDescent="0.3">
      <c r="B13" t="s">
        <v>2529</v>
      </c>
    </row>
    <row r="14" spans="2:8" x14ac:dyDescent="0.3">
      <c r="B14" t="s">
        <v>2530</v>
      </c>
      <c r="C14" t="s">
        <v>2535</v>
      </c>
    </row>
    <row r="15" spans="2:8" x14ac:dyDescent="0.3">
      <c r="B15" t="s">
        <v>2531</v>
      </c>
      <c r="C15" t="s">
        <v>2</v>
      </c>
    </row>
    <row r="16" spans="2:8" x14ac:dyDescent="0.3">
      <c r="B16" t="s">
        <v>2532</v>
      </c>
      <c r="C16" t="s">
        <v>4</v>
      </c>
    </row>
    <row r="17" spans="2:3" x14ac:dyDescent="0.3">
      <c r="B17" t="s">
        <v>2533</v>
      </c>
      <c r="C17" t="s">
        <v>2536</v>
      </c>
    </row>
    <row r="18" spans="2:3" x14ac:dyDescent="0.3">
      <c r="B18" t="s">
        <v>2534</v>
      </c>
      <c r="C18" t="s">
        <v>2537</v>
      </c>
    </row>
    <row r="21" spans="2:3" x14ac:dyDescent="0.3">
      <c r="B21" t="s">
        <v>2538</v>
      </c>
    </row>
    <row r="22" spans="2:3" x14ac:dyDescent="0.3">
      <c r="B22" t="s">
        <v>2539</v>
      </c>
      <c r="C22" t="s">
        <v>2540</v>
      </c>
    </row>
    <row r="23" spans="2:3" x14ac:dyDescent="0.3">
      <c r="B23" t="s">
        <v>2541</v>
      </c>
      <c r="C23" t="s">
        <v>2542</v>
      </c>
    </row>
    <row r="24" spans="2:3" x14ac:dyDescent="0.3">
      <c r="B24" s="10" t="s">
        <v>2543</v>
      </c>
      <c r="C24" t="s">
        <v>2544</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Pivots</vt:lpstr>
      <vt:lpstr>heatmap</vt:lpstr>
      <vt:lpstr>Data</vt:lpstr>
      <vt:lpstr>Questions &amp; KPIs</vt:lpstr>
      <vt:lpstr>Dashboard</vt:lpstr>
      <vt:lpstr>Logo &amp; Colors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Milton Mendieta Flores</cp:lastModifiedBy>
  <dcterms:created xsi:type="dcterms:W3CDTF">2025-06-13T02:42:26Z</dcterms:created>
  <dcterms:modified xsi:type="dcterms:W3CDTF">2026-10-23T00:08:21Z</dcterms:modified>
</cp:coreProperties>
</file>